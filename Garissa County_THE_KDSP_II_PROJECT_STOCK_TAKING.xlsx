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1" sheetId="1" r:id="rId4"/>
    <sheet state="visible" name="Project Stocktaking Template" sheetId="2" r:id="rId5"/>
    <sheet state="visible" name="Summary List for Dashboard" sheetId="3" r:id="rId6"/>
    <sheet state="visible" name="Formula Sheet" sheetId="4" r:id="rId7"/>
    <sheet state="visible" name="Sheet1" sheetId="5" r:id="rId8"/>
    <sheet state="visible" name="Departments" sheetId="6" r:id="rId9"/>
    <sheet state="visible" name="SubcountyLookup" sheetId="7" r:id="rId10"/>
  </sheets>
  <definedNames>
    <definedName name="Fafi">#REF!</definedName>
    <definedName name="Dadaab">#REF!</definedName>
    <definedName name="Lagdera">#REF!</definedName>
    <definedName name="GarissaTownship">#REF!</definedName>
    <definedName name="Balambala">#REF!</definedName>
    <definedName name="Ijara">#REF!</definedName>
  </definedNames>
  <calcPr/>
  <extLst>
    <ext uri="GoogleSheetsCustomDataVersion2">
      <go:sheetsCustomData xmlns:go="http://customooxmlschemas.google.com/" r:id="rId11" roundtripDataChecksum="p/GNo//7OL2DilsL5lAkm9epNeQAZUvpzg8FU5gB5h8="/>
    </ext>
  </extLst>
</workbook>
</file>

<file path=xl/sharedStrings.xml><?xml version="1.0" encoding="utf-8"?>
<sst xmlns="http://schemas.openxmlformats.org/spreadsheetml/2006/main" count="8591" uniqueCount="1037">
  <si>
    <t>INSTRUCTIONS ON COMPLETION OF PROJECT STOCK TAKE TEMPLATE</t>
  </si>
  <si>
    <t>1. All fields are mandatory and should be populated.</t>
  </si>
  <si>
    <r>
      <rPr>
        <rFont val="Calibri"/>
        <color theme="1"/>
        <sz val="13.0"/>
      </rPr>
      <t>2.</t>
    </r>
    <r>
      <rPr>
        <rFont val="Calibri"/>
        <b/>
        <color theme="1"/>
        <sz val="13.0"/>
      </rPr>
      <t xml:space="preserve"> DO NOT EDIT</t>
    </r>
    <r>
      <rPr>
        <rFont val="Calibri"/>
        <color theme="1"/>
        <sz val="13.0"/>
      </rPr>
      <t xml:space="preserve"> the </t>
    </r>
    <r>
      <rPr>
        <rFont val="Calibri"/>
        <b/>
        <color theme="1"/>
        <sz val="13.0"/>
      </rPr>
      <t>CONFIGURATION</t>
    </r>
    <r>
      <rPr>
        <rFont val="Calibri"/>
        <color theme="1"/>
        <sz val="13.0"/>
      </rPr>
      <t xml:space="preserve"> worksheet.</t>
    </r>
  </si>
  <si>
    <r>
      <rPr>
        <rFont val="Calibri"/>
        <color theme="1"/>
        <sz val="13.0"/>
      </rPr>
      <t xml:space="preserve">3. </t>
    </r>
    <r>
      <rPr>
        <rFont val="Calibri"/>
        <b/>
        <color theme="1"/>
        <sz val="13.0"/>
      </rPr>
      <t>ONLY</t>
    </r>
    <r>
      <rPr>
        <rFont val="Calibri"/>
        <color theme="1"/>
        <sz val="13.0"/>
      </rPr>
      <t xml:space="preserve"> populate rows applicable in your respective Counties &amp;Ward Location(s) and Hide the rest of the rows (</t>
    </r>
    <r>
      <rPr>
        <rFont val="Calibri"/>
        <b/>
        <color theme="1"/>
        <sz val="13.0"/>
      </rPr>
      <t>DO NOT DELETE the Rows</t>
    </r>
    <r>
      <rPr>
        <rFont val="Calibri"/>
        <color theme="1"/>
        <sz val="13.0"/>
      </rPr>
      <t>).</t>
    </r>
  </si>
  <si>
    <r>
      <rPr>
        <rFont val="Calibri"/>
        <color theme="1"/>
        <sz val="13.0"/>
      </rPr>
      <t xml:space="preserve">4. The scope of this exercise is projects started between the year </t>
    </r>
    <r>
      <rPr>
        <rFont val="Calibri"/>
        <b/>
        <color theme="1"/>
        <sz val="13.0"/>
      </rPr>
      <t>2013 and 30th June, 2024</t>
    </r>
  </si>
  <si>
    <r>
      <rPr>
        <rFont val="Calibri"/>
        <color theme="1"/>
        <sz val="13.0"/>
      </rPr>
      <t xml:space="preserve">5.Remember to </t>
    </r>
    <r>
      <rPr>
        <rFont val="Calibri"/>
        <b/>
        <color theme="1"/>
        <sz val="13.0"/>
      </rPr>
      <t>SAVE the document</t>
    </r>
    <r>
      <rPr>
        <rFont val="Calibri"/>
        <color theme="1"/>
        <sz val="13.0"/>
      </rPr>
      <t xml:space="preserve"> after populating the required details in the worksheet.</t>
    </r>
  </si>
  <si>
    <t>PROJECT DETAILS</t>
  </si>
  <si>
    <t>PROJECT LOCATION</t>
  </si>
  <si>
    <t>IMPLEMENTATION DETAILS</t>
  </si>
  <si>
    <t>FINANCIAL INFORMATION</t>
  </si>
  <si>
    <t>DISBURSMENT</t>
  </si>
  <si>
    <t xml:space="preserve">EXPENDITURE </t>
  </si>
  <si>
    <t>PROJECT STATUS</t>
  </si>
  <si>
    <t>ACTIONS FOR STALLED</t>
  </si>
  <si>
    <t>RISKS AND RECOMMENDATIONS</t>
  </si>
  <si>
    <t>CLIMATE &amp; DISASTER RISK SCREENING</t>
  </si>
  <si>
    <t>ENVIRONMENTAL , SOCIAL AND OCCUPATIONAL HEALTH, SAFETY AND GENDER SCREENING</t>
  </si>
  <si>
    <t xml:space="preserve">TECHNICAL, FINANCIAL, AND ECONOMIC VIABILITY SCREENING </t>
  </si>
  <si>
    <t>ADDITIONAL REMARKS</t>
  </si>
  <si>
    <t>S/No.</t>
  </si>
  <si>
    <t>Project Name/Title</t>
  </si>
  <si>
    <t>Project Description</t>
  </si>
  <si>
    <t xml:space="preserve">Project Goal/Objective </t>
  </si>
  <si>
    <t>Project Output</t>
  </si>
  <si>
    <t>Project Code (Budget line)</t>
  </si>
  <si>
    <t>Budget Item Name</t>
  </si>
  <si>
    <t>Sub-County</t>
  </si>
  <si>
    <t>Ward</t>
  </si>
  <si>
    <t>Geographic Location (Latitude &amp; Longitude)</t>
  </si>
  <si>
    <t>Sector/ Vote Name</t>
  </si>
  <si>
    <t>Department, Directorate, Units, Agencies</t>
  </si>
  <si>
    <t>Implementing Department/Agency / Muncipalities</t>
  </si>
  <si>
    <t>Date of Approval/Financial Approval</t>
  </si>
  <si>
    <t>Project Start Date</t>
  </si>
  <si>
    <t>Expected Project Completion Date</t>
  </si>
  <si>
    <t>Actual Project Completion Date</t>
  </si>
  <si>
    <t>Estimated Project Cost (Kshs.)</t>
  </si>
  <si>
    <t>Approved Project Cost</t>
  </si>
  <si>
    <t>Funds available in the specific year</t>
  </si>
  <si>
    <t xml:space="preserve">Project Funding Source </t>
  </si>
  <si>
    <t>If Development Partners, Please specify .</t>
  </si>
  <si>
    <t>County Government component in the Project Cost (Kshs.)</t>
  </si>
  <si>
    <t>Development Partner component in the Project Cost (Kshs.)</t>
  </si>
  <si>
    <t>Total Disbursed Funds as at 30th June 2024 (Kshs.)</t>
  </si>
  <si>
    <t>Percentage (%) Disbursed Amount  = (Disbursed/ Approved)</t>
  </si>
  <si>
    <t xml:space="preserve">Expenditure to date </t>
  </si>
  <si>
    <t>Pending Bill/Outstanding commitment not paid but work done</t>
  </si>
  <si>
    <t>Project Balance (Kshs.) i.e (Approved Project Cost - Disbursed Amount)</t>
  </si>
  <si>
    <t>Project Status at the time of the Exercise (i.e Completed, Ongoing, Stalled)</t>
  </si>
  <si>
    <t>% completion for ongoing/stalled projects</t>
  </si>
  <si>
    <t>If Stalled, what is the percentage (%) completion at the time of stalling (Physical completion status)</t>
  </si>
  <si>
    <t>If stalled give reasons;</t>
  </si>
  <si>
    <t>Year the project stalled</t>
  </si>
  <si>
    <t>Time required to complete the stalled project (in months)</t>
  </si>
  <si>
    <t>Estimated cost required to complete the stalled project (in Kshs.)</t>
  </si>
  <si>
    <t>Is the project still appering in the budget or is it still receiving funds in the annual budgets? (Yes/No)</t>
  </si>
  <si>
    <t>Recommendation for the Stalled Project (Complete/ Cancel/ Defer)</t>
  </si>
  <si>
    <t>Identify the Risks associated with the stalled/completed/ongoing project ie. (Contractual/legal/Financial/Environmental etc.)</t>
  </si>
  <si>
    <t>Has this project been screened for Climate &amp; Disaster Risks? Yes/No</t>
  </si>
  <si>
    <t>If yes, what action has been taken to mitigate? IF Not, give reasons and the immediate plans for conducting the screening.</t>
  </si>
  <si>
    <t>Has the project been screened for Environmental, Social, Occupational Health, Safety and gender risks</t>
  </si>
  <si>
    <t>Has the project been screened for Technical, Financial, and Economic Viability and a fesibility report been prepared? (yes/No)</t>
  </si>
  <si>
    <t>If yes, what action has been taken to mitigate? IF Not, what is being used to measure viability of the project? Additionally, indicate immediate plans on when the screening and feasibility study will be undertaken</t>
  </si>
  <si>
    <t>REMARKS</t>
  </si>
  <si>
    <t>PROPOSED POWER UPGRADE AT GARISSA REFERAL HOSPITAL Waberi</t>
  </si>
  <si>
    <t>GarissaTownship</t>
  </si>
  <si>
    <t>Township</t>
  </si>
  <si>
    <t>Health services</t>
  </si>
  <si>
    <t>1st july 2022</t>
  </si>
  <si>
    <t>1st aug 2022</t>
  </si>
  <si>
    <t>30th june 2023</t>
  </si>
  <si>
    <t>CGG</t>
  </si>
  <si>
    <t>Completed</t>
  </si>
  <si>
    <t>PROPOSED DRILLINGAND EQUIPPING  OF ADC FARM BOREHOLE</t>
  </si>
  <si>
    <t>Galbet</t>
  </si>
  <si>
    <t>WATER,ENVIRONMENT,CLIMATE CHANGE AND NATURAL RESOURCES</t>
  </si>
  <si>
    <t>PROPOSED EQUIPING OF DERTU BOREHOLE</t>
  </si>
  <si>
    <t>Dadaab</t>
  </si>
  <si>
    <t>Dertu</t>
  </si>
  <si>
    <t>PROPOSED  DRILLING OF DERTU BOREHOLE</t>
  </si>
  <si>
    <t>PROPOSED DESILTING AT MOIT WATER PAN IJARA SUB COUNTY</t>
  </si>
  <si>
    <t>Ijara</t>
  </si>
  <si>
    <t>PROPOSED RENOVATION OF 4NO ECD CLASSROOM AT MAI PRIMARY</t>
  </si>
  <si>
    <t>Masalani</t>
  </si>
  <si>
    <t>EDUCATION,INFORMATION AND ICT</t>
  </si>
  <si>
    <t>PROPOSED RENOVATION OF 3NO. ECD CLASSROOMS CONSTRUCTION OF 2 STANCE PIT LATRINE RENOVATION OF 10K WATER TANK AT YATHRIB PRIMARY</t>
  </si>
  <si>
    <t>PROPOSED RENOVATION OF 3NO. ECD CLASSROOMS CONSTRUCTION OF CHAINLINK FENCE AND HEAVY BUSH CLEARING2 STANCE PIT LATRINE RENOVATION K AT IFTIN PRIMARY</t>
  </si>
  <si>
    <t>Iftin</t>
  </si>
  <si>
    <t>PROPOSED RENOVATION OF 3NO. ECD CLASSROOMS CONSTRUCTION OF 2 STANCE PIT LATRINE RENOVATION OF 10K WATER TANK AT AP GOODWISH TOWNSHIP WARD</t>
  </si>
  <si>
    <t>PROPOSED RENOVATION 2NO ECD CLASSROOMS AND HEAVY BUSH CLEARING AND FENCING AT BULA MZURI PRIMARY</t>
  </si>
  <si>
    <t>Waberi</t>
  </si>
  <si>
    <t>PRPOSED RENOVATION OF AND ROOFING AT WATER GARAGE GARISSA COUNTY</t>
  </si>
  <si>
    <t xml:space="preserve">PROPOSED RENOVATION AND REFURBISHMENT OF DIRECTORS OFFICE </t>
  </si>
  <si>
    <t>RENOVATION OF CEC OFFICES</t>
  </si>
  <si>
    <t>PROPOSED REHABILATATION WORKS AT GAWASCO PIPE WORKS</t>
  </si>
  <si>
    <t>PROPOSED RENOVATION AT DADAAB SUB COUNTY HOSPITAL</t>
  </si>
  <si>
    <t>PROPOSED RENOVATION OF 4NO ECD CLASSROOMS AT DIHLENUR PRIMARY SCHOOL</t>
  </si>
  <si>
    <t>PROPOSED RENOVATION AT GARISSA FIRE STATION</t>
  </si>
  <si>
    <t>LANDS,PHYSICAL PLANNING AND URBAN DEVELOPMENT</t>
  </si>
  <si>
    <t>PROPOSED FENCING AND PIT LATRINE AT MASALANI LIVESTOCK OFFICE</t>
  </si>
  <si>
    <t>AGRICULTURE,LIVESTOCK AND PASTORAL ECONOMY</t>
  </si>
  <si>
    <t>PROPOSED RENOVATION AND REFURBISHMENT OF COUNTY HQ</t>
  </si>
  <si>
    <t>COUNTY AFFAIRS,PUBLIC SERVICES AND INTERGOVERNMENTAL RELATIONS</t>
  </si>
  <si>
    <t>PROPOSED DRILLING AND DEVELOPMENT OF BOREHOLE ASSOCIATED WORKS AT KONE MODOGASHE</t>
  </si>
  <si>
    <t>Balambala</t>
  </si>
  <si>
    <t>PROPOSED RENOVATION OF AGRICULTURE AND LIVESTOCK OFFICE IN MASALANI</t>
  </si>
  <si>
    <t>PROPOSED RENOVATION OF COUNTY COUNCIL OFFICE</t>
  </si>
  <si>
    <t>ROADS,TRANSPORT AND PUBLIC WORKS</t>
  </si>
  <si>
    <t>PROPOSED FENCING AND OTHER WORKS AT MASALANI MARKET</t>
  </si>
  <si>
    <t>PRPOSED RENOVATION OF WARDS AND WALK WAY AT IJARA SUB COUNTY OFFICE</t>
  </si>
  <si>
    <t>PRPOSED RENOVATION OF ADMIN BLOCKS AND CONSTRUCTION OF PIT LATRINE</t>
  </si>
  <si>
    <t>PROPOSED FACELIFT OF ADMIN BLOCKS AND RENOVATION OF ACCIDENT AND EMERGENCY AT GCRH</t>
  </si>
  <si>
    <t>RENOVATION OF MODOGASHE HOSPITAL</t>
  </si>
  <si>
    <t>Lagdera</t>
  </si>
  <si>
    <t>Modogashe</t>
  </si>
  <si>
    <t>RENOVATION OF MBALAMBALA HOSPITAL</t>
  </si>
  <si>
    <t>RENOVATION OF MBALABALA SUB COUNTY HOSPITAL</t>
  </si>
  <si>
    <t>RENOVATION FIRE STATION</t>
  </si>
  <si>
    <t>ADC WATER PROJECT</t>
  </si>
  <si>
    <t>1st july 2023</t>
  </si>
  <si>
    <t>1st aug 2023</t>
  </si>
  <si>
    <t>30th june 2024</t>
  </si>
  <si>
    <t>MARAMTU WATER PROJECT</t>
  </si>
  <si>
    <t>EXTENSION OF PIPELINE IN MASALANI</t>
  </si>
  <si>
    <t>SOLARIZATION AT SUQ MUQDI MARKET AND BULA MADINA</t>
  </si>
  <si>
    <t>DESILTING OF BULLA ABASS WATER PAN</t>
  </si>
  <si>
    <t>SUPPLY AND DELIVERY OF VETNARY DRUGS</t>
  </si>
  <si>
    <t>EXTESION OF PIPELINE IN DAMAJALEWATER SUPPLY</t>
  </si>
  <si>
    <t>Damajale</t>
  </si>
  <si>
    <t xml:space="preserve">WATER PAN </t>
  </si>
  <si>
    <t>EXTENSION OF PIPELINE FOR QONE MODOGASHE PIPELINE</t>
  </si>
  <si>
    <t>RENOVATION OF MAALIM DISPENSARY</t>
  </si>
  <si>
    <t>Maalimin</t>
  </si>
  <si>
    <t>RENNOVATION OF PROCUREMNET OFFICES</t>
  </si>
  <si>
    <t>FINANCE AND ECONOMIC PLANNING</t>
  </si>
  <si>
    <t>RENOVATION OF CLASSROOM AT NASIB PRIMARY</t>
  </si>
  <si>
    <t>RENNOVATION OF ECD CLASSROOM AT DELHELE PRIMARY</t>
  </si>
  <si>
    <t>RENNOVATION AT AHAGAR JAREER DISPENSARY</t>
  </si>
  <si>
    <t>RENOVATION OF ECD CLASSROOM AT DOLOLO PRIMARY</t>
  </si>
  <si>
    <t>RENOVATION OF ECD CLASSROOM AT BULO PRIMARY</t>
  </si>
  <si>
    <t>RENOVATION AT DALHELE DISPENSARY</t>
  </si>
  <si>
    <t xml:space="preserve">RENOVATION OF ECD AT ELMAAN PRIMARY </t>
  </si>
  <si>
    <t>RENOVATION OF DEPARTMENT OF WORKS OFFICES</t>
  </si>
  <si>
    <t>OPENING OF INLET AT DAMAJALEY ABAQ 11 WATER PAN</t>
  </si>
  <si>
    <t>RENOVATION OF ECD AT DAHIR PRIMARY SCHOOL</t>
  </si>
  <si>
    <t>RENOVATION AND REPAIR OF DCC OFFICES</t>
  </si>
  <si>
    <t>RENOVATION AND EXPANSION OF EYE UNIT AT GARISSA REFERAL</t>
  </si>
  <si>
    <t>EXTENSION OF QONE MODOGASHE PIPELINE</t>
  </si>
  <si>
    <t>EXTENSION OF PIPELINE IN BALAMBALA</t>
  </si>
  <si>
    <t>RENNOVATION OF CED CLASSROOM AT BOYSTOWN PRIMARY</t>
  </si>
  <si>
    <t>RENOVATION OF GENRAL WARD OUTPATIENT AT HULUGHO CENTRE</t>
  </si>
  <si>
    <t>Hulugho</t>
  </si>
  <si>
    <t>RENOVATION OF MARE DISPENSARY</t>
  </si>
  <si>
    <t>RENOVATION OF ECD CLASSROOM AT EGE IJARA SUB COUNTY</t>
  </si>
  <si>
    <t>RENOVATION OF MODOGASHE HOSPITAL KICTCHEN</t>
  </si>
  <si>
    <t>RENNOVATION OF JILANGO DISPENSARY</t>
  </si>
  <si>
    <t>RENOVATION OF KULAN DISPENSARY</t>
  </si>
  <si>
    <t>Liboi</t>
  </si>
  <si>
    <t>RENOVATION OF SHANTABAQ DISPENSARY</t>
  </si>
  <si>
    <t>REHABILITATION OF ABDI SUGOW BOREHOLE</t>
  </si>
  <si>
    <t>Fafi</t>
  </si>
  <si>
    <t>RENOVATION OF ECONOMIC PLANNING OFFICE</t>
  </si>
  <si>
    <t>RENOVATION OF REVENUE MAIN OFFICES</t>
  </si>
  <si>
    <t>RENOVATION OF ECD CLASSROOMS</t>
  </si>
  <si>
    <t>RENOVATION OF ECD CLASSROOM AT KASHA PRIMARY</t>
  </si>
  <si>
    <t>Saka</t>
  </si>
  <si>
    <t>RENOVATION DALEY DISPENSARY</t>
  </si>
  <si>
    <t>Sankuri</t>
  </si>
  <si>
    <t>RENOVATION OF AMUMA PRIMARY</t>
  </si>
  <si>
    <t>RENOVATION OF POLICE LINE DISPENSARY</t>
  </si>
  <si>
    <t>RENNOVATION AND CHAINLINK FENCE AT HARA PRIMARY</t>
  </si>
  <si>
    <t>RENOVATION OF BURA SUB COUNTY OFFICES</t>
  </si>
  <si>
    <t>RENOVATION OF CECM AGRICULTURE OFFICESS</t>
  </si>
  <si>
    <t>RENOVATION OF GOVERNMENET OFFICES AND STAFF QIUATERS AT SHANTABAQ SUB COUNTY</t>
  </si>
  <si>
    <t>REHABILTATION OF SLAUTHER HOUSE</t>
  </si>
  <si>
    <t>RENOVATION OF MODOGASHE MUNICIPALITY HEADQUATER</t>
  </si>
  <si>
    <t>RENOVATION OF HOSPITAL MAIN KITCHEN</t>
  </si>
  <si>
    <t>RENOVATION OF SHIMBIREY DISPENSARY</t>
  </si>
  <si>
    <t>RENOVATION OF OPD AND LAB IN IFTIN HOSPITAL</t>
  </si>
  <si>
    <t>ECD CLASSROOM AT ABAKAILE PRIMARY</t>
  </si>
  <si>
    <t>Abakaile</t>
  </si>
  <si>
    <t>REHABILITATION OF MASALANI WATER SUPPLY</t>
  </si>
  <si>
    <t>Jarajara</t>
  </si>
  <si>
    <t>CHAINLINK FENCE AT SHANTABAQ SUB COUNTY OFFICES</t>
  </si>
  <si>
    <t>RENOVATION OF ECD AT BOYSTWON PRIMARY</t>
  </si>
  <si>
    <t>RENOVATION OF ECD AT TETU PRIMARY</t>
  </si>
  <si>
    <t>RENOVATION OF ECD AT SPECIAL SCHOOL</t>
  </si>
  <si>
    <t>MAINTAINANCE OF ROAD</t>
  </si>
  <si>
    <t>POWER UPDGRADE AT GARISSA REFERAL HOSPITAL</t>
  </si>
  <si>
    <t>SUPPLY OF DOUBLE DECKER BEDS</t>
  </si>
  <si>
    <t>EXTESION OF QONE PIPLEINE</t>
  </si>
  <si>
    <t>Jarajila</t>
  </si>
  <si>
    <t>RENOVATION AT MASALANI ECD CLASSROM</t>
  </si>
  <si>
    <t>RENOVATION OF DADAAB MUNICIPALITY OFFICES</t>
  </si>
  <si>
    <t>RENOVATION OF ECD CLASSROOM</t>
  </si>
  <si>
    <t>RENOVATION OF WORKS OFFICES</t>
  </si>
  <si>
    <t>Proposed Drilling and Equiping of Makah Borehole in Dadaab Sub County</t>
  </si>
  <si>
    <t>CONSTRUCTION OF NEW MAIN GATE AT COUNTY HEADQUATER</t>
  </si>
  <si>
    <t>CONSTRUCTION OF ECD CLASSROOM AT TOGDUB PRIMARY</t>
  </si>
  <si>
    <t>Danyere</t>
  </si>
  <si>
    <t>CONSTRUCTION OF SUSPENDED SLAB AT QORAHEY MARKET</t>
  </si>
  <si>
    <t>CONSTRUCTION OF OUTPATIENT BLOCK AT MADINA HEALTH CENTRE</t>
  </si>
  <si>
    <t>CONSTRUCTION OF STEEL TANK AT COUNTY HEADQUATERS</t>
  </si>
  <si>
    <t>CONSTRUCTION OF GARISSA COUNTY REFERAL MEDICAL RECORDS OFFICES</t>
  </si>
  <si>
    <t>CONSTRCTION OF PERIMETER WALL AT FTC</t>
  </si>
  <si>
    <t>CONSTRUCTION OF PARKING SLOT AT DADAAB MUNICIPALITIES</t>
  </si>
  <si>
    <t>CONSTRUCTION WALKWAYS AND CONSTRUCTIONS OF AT BURA SUB COUNTY</t>
  </si>
  <si>
    <t>Bura</t>
  </si>
  <si>
    <t>PROPOSED EXTENSION OF COUNTY HQS</t>
  </si>
  <si>
    <t>CONSTRUCTION OF MASONARY WALL AT LAND OFFICES</t>
  </si>
  <si>
    <t>CONSTRUCTION OF MOTHER AND CHILD HOPSITAL</t>
  </si>
  <si>
    <t>CONSTRUCTION OF PARKING AND FENCING AT QORAHEY MARKET</t>
  </si>
  <si>
    <t>CONSTRUCTION OF COUNTY HEADQUATERS</t>
  </si>
  <si>
    <t>CONSTRUCTION OF WABERI POLICE POST</t>
  </si>
  <si>
    <t>CONSTRUCTION OF PARKING LOT AT DADAAB MUNICIPALITY OFFICES</t>
  </si>
  <si>
    <t>MAINATANCE OF LIKOLEY ACCESS FARM ROAD</t>
  </si>
  <si>
    <t>MAINATAINACE OF AINUSHAMSI GRAYE YARD ROAD</t>
  </si>
  <si>
    <t>MAINATAINACE OF NAJAH MADARASA ROAD</t>
  </si>
  <si>
    <t>MIANTAINANCE OF EID GROUND GALTOTHOW ROAD</t>
  </si>
  <si>
    <t xml:space="preserve">MAINTAINANCE OF NASIB BATHIA FARM ROAD </t>
  </si>
  <si>
    <t>MAINATAINANCE OF BULLA GAME ACCESS ROAD</t>
  </si>
  <si>
    <t>MAINTAINACE OF IFTIN DEKABUREY ROAD</t>
  </si>
  <si>
    <t>MAINATAINANCE OF SHANTABAQ ROAD</t>
  </si>
  <si>
    <t>MAINTAINANCE OF SOKO NGOMBE IQRA ROAD</t>
  </si>
  <si>
    <t>MAINATAINANCE OF MIKONO GARISSA ACADEMAY ROAD</t>
  </si>
  <si>
    <t>MAINATAINNACE OF BULA BASHAL TAWAKAL ROAD</t>
  </si>
  <si>
    <t>MAINATAINACE OF MUSTAQBAL UNIVERSITY ROAD</t>
  </si>
  <si>
    <t>MAINATAINANACE OF IFTIN GIRLS BULLA RAHMA ROAD</t>
  </si>
  <si>
    <t>MAINATANACE OF DOBALE BULLA HIGHLAND ROAD</t>
  </si>
  <si>
    <t>MAINTAINANCE OF BULLA KAMOR JUNCTION</t>
  </si>
  <si>
    <t>MAINTAIANCE OF ORE MARKET GARISSA NDOGO ROAD</t>
  </si>
  <si>
    <t>MAINTAINACE OF DPP -IHSAN ACCESS ROAD</t>
  </si>
  <si>
    <t>MAINATAINANACE OF WATHAJIR ADC FARM ACCESS</t>
  </si>
  <si>
    <t>MAINTAINCE OF WATHAJIR ADC ROAD</t>
  </si>
  <si>
    <t>MAINATAINANCE OF BULLA MUNAWAR GARYEYARD ROAD</t>
  </si>
  <si>
    <t>MAINTAINANCE OF BULLA MADINA ACCESS ROAD</t>
  </si>
  <si>
    <t>MAINATAINANCE OF YATHRIOB KUNASO ROAD</t>
  </si>
  <si>
    <t>MAINATANCE OF KRA BULLA IJARA ROAD</t>
  </si>
  <si>
    <t>MAINATAINACE OF GARISSA UNIVERSITY ROAD</t>
  </si>
  <si>
    <t>MAINATAINACE OF LAGDERA FARM ACCESS</t>
  </si>
  <si>
    <t>MAINTAINANCE OF WATHAJIR DIYAT FARM ACCESS ROAD</t>
  </si>
  <si>
    <t>MAINATAINCE OF REDCROSS TOWFIQ ROAD</t>
  </si>
  <si>
    <t>MAINTAOINACE OF BULA NYUKLI ACCESS ROAD</t>
  </si>
  <si>
    <t>MAINTAINANCE OF BULLA GAME  BULA NURA ROAD</t>
  </si>
  <si>
    <t>MAINATINACE OF LEHELEY TASBIH FARM ACCESS</t>
  </si>
  <si>
    <t>UPGRADING AND GRAVELING OF ABDI SUGOW DAMAJALE ROAD</t>
  </si>
  <si>
    <t>MAINTAINACE OF CHANA FARM</t>
  </si>
  <si>
    <t>MAINATANCE OF FIRST DASHEKFARM ACCESS ROAD</t>
  </si>
  <si>
    <t>MAINATAINACE OF GENERAL MOHAMUD EID GROUND ROAD</t>
  </si>
  <si>
    <t>MAINTAINANCE OF ORE MARKET GARISSA NDOGO ROAD</t>
  </si>
  <si>
    <t>MAINATAINACE OF MASALANI TWO ACCESS ROAD</t>
  </si>
  <si>
    <t>MAINATANANCE OF MASALANI 1 ACCESS ROAD</t>
  </si>
  <si>
    <t>MAINTANCE OF ADC WATER POINT ACCESS ROAD</t>
  </si>
  <si>
    <t>MAINTAINANCE OF IFTIN MID PRISON MASJID ROAD</t>
  </si>
  <si>
    <t>MAINATAINANCE OF LIBOI DAQURA ROAD</t>
  </si>
  <si>
    <t>MAINTANACE AT QAHIRA ACCESS ROAD IN LADGERA</t>
  </si>
  <si>
    <t>CONSTRUCTION OF NEW CULVERT AT DOBALE ROAD</t>
  </si>
  <si>
    <t>UPGRADING TO BITUMEN MADINA JUNCTION ROAD</t>
  </si>
  <si>
    <t>MAINTANCE OF DERTU BORANSIS ROAD</t>
  </si>
  <si>
    <t>MAINTANCE OF BULAHAGAR</t>
  </si>
  <si>
    <t>PROPOSED RENOVATION OF 5NO CLASSROOMS AND 1 NO DORMITORY BLOCK AT MADINA PRIMARY SCHOOL</t>
  </si>
  <si>
    <t>PROPOSED CONSTRUCTION OF MORDERN SUBCOUNTY OFFICES AT GARISSA FOR GARISSA COUNTY</t>
  </si>
  <si>
    <t>PROPOSED AUGMENTATION AND REHABILITATION OF MASALANI WATER SUPPLY</t>
  </si>
  <si>
    <t>PROPOSED CONSTRUCTION OF SUBCOUNTY OFFICE FACILITIES AT BURA FOR GARISSA COUNTY</t>
  </si>
  <si>
    <t>PROPOSED CONSTRUCTION OF SUBCOUNTY OFFICE FACILITIES AT MASALANI FOR GARISSA COUNTY</t>
  </si>
  <si>
    <t>CONSTRUCTION OF PERIMETER WALL</t>
  </si>
  <si>
    <t>PROPOSED CONSTRUCTION OF PERIMETER FENCE AT DADAAB SOCIAL GROUND</t>
  </si>
  <si>
    <t>EQUIPING &amp; EXTENSION OF BARAKI AND MAALIMIN PIPELINE LAGDERA SUBCOUNTY</t>
  </si>
  <si>
    <t>CONSTRUCTION OF JABA WATER PAN DADAAB SUBCOUNTY</t>
  </si>
  <si>
    <t>PROPOSED MASONARY PERIMETER FENCE AT BULLA MASALANI GRAVEYARD TOWNSHIP SUBCOUNTY</t>
  </si>
  <si>
    <t>CONSTRUCTION OF GOVERNMENT HOUSE</t>
  </si>
  <si>
    <t>PROPOSED RENOVATION AT DADAAB HEALTH CENTRE GARISSA COUNTY</t>
  </si>
  <si>
    <t>IMPROVEMENT ROAD IN MODOGASHE SHANTA ROAD</t>
  </si>
  <si>
    <t>PROPOSED EQUIPING OF BOREHOLE AT DEGELEMA CENTRE IN DADAAB SUBCOUNTY</t>
  </si>
  <si>
    <t>CONSTRUCTION OF NEW WATER PAN AT DARKENELY CENTRE DADAAB SUBCOUNTY</t>
  </si>
  <si>
    <t>BOREHOLE WORKS AT AQAL ARR</t>
  </si>
  <si>
    <t>EQUIPING OF HAMEY BOREHOLE</t>
  </si>
  <si>
    <t>DESILTING AND FENCING OF GUBIS WATER PAN</t>
  </si>
  <si>
    <t>PREPARATION OF SPATIAL DEVELOPMENT PLANS FOR SUB COUNTIES</t>
  </si>
  <si>
    <t>PROVISION OF CONSULTENCY FOR DESIGN AND CONSTRUCTION SUPERVION MAIN GARISSA TOWNSHIP MARKET-SUUQMUGDI</t>
  </si>
  <si>
    <t>PROSED RENOVATION OF 5NO CLAASSROOM, STAFFROOM AND TWO PITLATRINE AT AMUMA PRIMARY SCHOOL FAFI SUNCOUNTY</t>
  </si>
  <si>
    <t>PROPOSED CONSTRUCTION OF CHAINLINK FENCE AT KAMBI SAMAKI PRIMARY SCHOOL</t>
  </si>
  <si>
    <t>PROPOSED MAINTENANCE OF BAHURI-MAHMED TUKALE ROAD</t>
  </si>
  <si>
    <t>PROPOSED RENOVATION OF URBAN DEVELOPMENT OFFICES</t>
  </si>
  <si>
    <t>CONSTRUCTION OF 50,000M CUBIC WATER PAN AT BISIQORE CENTRE IN HULUGHO SUBCOUNTY</t>
  </si>
  <si>
    <t>PROPOSED REFURBISHMENT OF GARISSA COUNTY HEADQUARTERS</t>
  </si>
  <si>
    <t>CONSTRUCTION OF CHAINLINK FENCING LIGHT BUSH CLEARING,SENTRY BOX AT WARABLE PRIMARY SCHOOL HULUGHO</t>
  </si>
  <si>
    <t>PROPOSED CONSTRUCTION OF CHAINLINK HEAVY CLEARING AND SENTRY BOX AT  BURA SECONDARY SCHOOL</t>
  </si>
  <si>
    <t>CONSTRUCTION OF BOREHOLE AT MAKA CENTRE</t>
  </si>
  <si>
    <t>PROPOSED MAINTENANCE OF MODOGASHE-RIGDAM ROAD</t>
  </si>
  <si>
    <t>RENOVATION OF ADMIN FACELIFT AT GARISSA REFERAL HOSPITAL</t>
  </si>
  <si>
    <t>PROPOSED CONSTRUCTION MASONARY PERIMETER FENCE, PUBLIC PARKING AND 2 NO TOILETS SENTRY BOX, TWIN PIT LATRINE AT GCRH</t>
  </si>
  <si>
    <t>PROPOSED FACELIFT OF ADMINSTRATION BLOCK AND RENOVATION OF ACCIDENT AND EMERGENCY UNIT AT GCRH</t>
  </si>
  <si>
    <t>DRILLING ,EQUIPING AND PIPING OF ADC FARM BOREHOLE FORR GAWASCO IN TOWNSHIP</t>
  </si>
  <si>
    <t>DESILTING AND EXPANSION OF MOIT WATER PAN PROJECT</t>
  </si>
  <si>
    <t>REHABILITATION WORKS FOR GAWASCO WATER TREATMENT KAPID SAND FILTERS AND ASSOCIATED WORKS</t>
  </si>
  <si>
    <t>BOREHOLE DEVELOPMENT AND ASSOCIATED WORKS AT KONE</t>
  </si>
  <si>
    <t>UPGRADING OF BULLA HAGAR-BULLA MADINA ACCESS ROAD TO BITUMEN STANDARD</t>
  </si>
  <si>
    <t>PROPOSED RENOVATION TO GOVERNMENT HOUSE MG104, LG 75</t>
  </si>
  <si>
    <t>CHAINLINK FENCE AT GARSE PRIMARY</t>
  </si>
  <si>
    <t>PERIODIC MAINTENANCE OF JAMHURI FARM ACCESS ROAD</t>
  </si>
  <si>
    <t>DRILLING OF SHALLOW WEL BOREHOLE AT KUNO BALAMBALA SUBCOUNTY</t>
  </si>
  <si>
    <t>BOREHOLE DEVELOPMENT AND ASSOCIATED WORKS AT AQAL ARR</t>
  </si>
  <si>
    <t>CHAINLINK FENCE</t>
  </si>
  <si>
    <t xml:space="preserve">CONSTRUCTION OF BOREHOLE </t>
  </si>
  <si>
    <t>CONSTRUCTION OF WARD ADMIN</t>
  </si>
  <si>
    <t>CONSTRUCTION OF CHAINLINK FENCING LIGHT BUSH CLEARING,SENTRY BOX AT HAME PRIMARY SCHOOL HULUGHO</t>
  </si>
  <si>
    <t>CONSTRUCTION OF UNDERDGROUND TANK</t>
  </si>
  <si>
    <t>CONSTRUCTION OF ROAD AT SUQ MUQDI MARKET</t>
  </si>
  <si>
    <t>RENOVATION OF DADAAD SUB COUNTY HOSPITAL</t>
  </si>
  <si>
    <t>RENOVATION OF DIRECTORS OFFICE</t>
  </si>
  <si>
    <t>RENNOVATION AT HULUGHO DISPENSARY</t>
  </si>
  <si>
    <t xml:space="preserve">CONSTRUCTION OF WARD </t>
  </si>
  <si>
    <t>RENOVATION OF FIRE STATIONS</t>
  </si>
  <si>
    <t>PROPOSED  CLEARING AND GRADING OF ABDISUGOW ROAD</t>
  </si>
  <si>
    <t>PROPOSED  BUSH CLEARING AND GRADING OF DADAAB MUNICIPALITY GROUND</t>
  </si>
  <si>
    <t>IMPROVEMENT OF BULLA MEDINA ACCESS ROAD</t>
  </si>
  <si>
    <t>RENOVATION TO GOVERNMENT HOUSE MG15,MG10, MG21, FOR GARISSA COUNTY</t>
  </si>
  <si>
    <t>CONSTRUCTION OF ADMINSTRATION BLOCK AT DAMAJALEY PRIMARY SCHOOL</t>
  </si>
  <si>
    <t>CONSTRUCTION OF EXTENSION OF COUNTY HEADQUATERS</t>
  </si>
  <si>
    <t>REHABILITATION WORKS FOR GAWASCO PIPE WORKS FOR VARIOUS LOCATIONS</t>
  </si>
  <si>
    <t xml:space="preserve">CHAINLINK FENCE </t>
  </si>
  <si>
    <t>CONSTRUCTION OF MASONARY  PERIMETER FENCE,PUBLIC PARKING AND 2 NOTOILET, SENTRY BOX,TWIN PIT LATRINE AT GCRH</t>
  </si>
  <si>
    <t>SUUQ MUQDI MARKET ROAD</t>
  </si>
  <si>
    <t>RENOVATION OF DEPARTMENT OF FINACE CEMS OFFICES AT THE COUNTY HEADQUATERS</t>
  </si>
  <si>
    <t>PROPOSED CONSTRUCTION OF MAIN GATE,GUARD HOUSE, BUSH CLAERING AND INERTNAL CHAINLINK FENCING</t>
  </si>
  <si>
    <t>MAINTAINANACE OF FARM ACCESS ROAD</t>
  </si>
  <si>
    <t>CONSTRUCTION AND CHAINLINK FENCING</t>
  </si>
  <si>
    <t>MAINATAINACE OF FARM ACCESSS</t>
  </si>
  <si>
    <t>RENNOVATION OF MASALANI OFFICES</t>
  </si>
  <si>
    <t>RENOVATION OF MASALANI MUNICIPALITY OFFICES</t>
  </si>
  <si>
    <t>SUPPLY OF FARM SEEDS</t>
  </si>
  <si>
    <t>REHABILITATION WORKS FOR GAWASCO INTAKES</t>
  </si>
  <si>
    <t>IMPROVEMEMENT OF MODOGASHE SHANTA ROAD</t>
  </si>
  <si>
    <t>RENNOVATION OF GARISSA REFERAL HOSPTAL ADMIN BLOCK</t>
  </si>
  <si>
    <t>RENNOVATION OF ECD CLASSROOM AT BULLA MAZURI PRIMARY</t>
  </si>
  <si>
    <t xml:space="preserve">MAINATAINACE OF ROAD DADAAB </t>
  </si>
  <si>
    <t>CONSTRUCTION OF GALBET POLICE POST</t>
  </si>
  <si>
    <t>BITUMEN ROAD AT BULA MADINA BULA HAGAR ROAD</t>
  </si>
  <si>
    <t>RENOVATION AT COUNTY HEADQUATER OFFICES</t>
  </si>
  <si>
    <t>RENOVATION AT DG AND COUNTY AFFAIR OFFICES</t>
  </si>
  <si>
    <t>REHABILATATION AT BOGYAR BOREHOLES</t>
  </si>
  <si>
    <t>RENOVATION OF BALAMBALA DISPENSARY</t>
  </si>
  <si>
    <t>RENOVATION OF IJARA HOSPITAL</t>
  </si>
  <si>
    <t>RENOVATIONNOF MODOGAHSE HOSPITAL</t>
  </si>
  <si>
    <t>MOIT WATER PAN</t>
  </si>
  <si>
    <t>CONSTRUTCION OF WARD ADMIN</t>
  </si>
  <si>
    <t>CONSTRUCTION OF WARD ADMIN AT BARAKI</t>
  </si>
  <si>
    <t>Baraki</t>
  </si>
  <si>
    <t>CONSTRUCTION OF WARD ADMIN AT DADAAB</t>
  </si>
  <si>
    <t>CONSTRUCTION OF WARD ADMIN AT DAMAJALEY</t>
  </si>
  <si>
    <t>CONSTRUCTION OF WARD ADMIN AT HULUGHO</t>
  </si>
  <si>
    <t>CONSTRUCTION OF WARD ADMIN AT SABENA</t>
  </si>
  <si>
    <t>Sabena</t>
  </si>
  <si>
    <t>CONSTRUCTION OF WARD ADMIN AT DANYERE</t>
  </si>
  <si>
    <t>CONSTRUCTION OF WARD ADMIN AT NANINGI</t>
  </si>
  <si>
    <t>Nanighi</t>
  </si>
  <si>
    <t>CONSTRUCTION OF WARD JARAJILA</t>
  </si>
  <si>
    <t>CONSTRUCTION OF WARD ADMIN AT SAKA</t>
  </si>
  <si>
    <t>RENOVATION OF ECD CLASSROOM AT AP CAMP PRIMARY</t>
  </si>
  <si>
    <t>CONSTRUCTION OF WARD ADMIN AT SANGAILU</t>
  </si>
  <si>
    <t>CONSTRUCTION OF WARD ADMIN AT BURA</t>
  </si>
  <si>
    <t>CONSTRUCTION OIF WARD ADMIN</t>
  </si>
  <si>
    <t>CONSTRUCTION OF WARD ADMIN AT JARAJARA</t>
  </si>
  <si>
    <t>CONSTRUCTION OF WARD ADMIN AT BALAMABALA</t>
  </si>
  <si>
    <t xml:space="preserve">CONSTRUCTION OF WARD ADMIN </t>
  </si>
  <si>
    <t>RENNOVATION ECD CLASSROOM AT HAMEY</t>
  </si>
  <si>
    <t>CHAINLINK FENCE AT MASLAH PRIMARY</t>
  </si>
  <si>
    <t>RENNOVATION OF GK HOUSE MG23</t>
  </si>
  <si>
    <t>CHAINLINK FENCE AT BULLA BANAN BOREHOLE</t>
  </si>
  <si>
    <t>CHAINLINK FENCE AT HARA  PRIMARY IN MASALANI</t>
  </si>
  <si>
    <t>DESILTING OF WAKBAHAERY WATER PAN</t>
  </si>
  <si>
    <t>EQUIPING OF ABDI SUGOW BOREHOLE</t>
  </si>
  <si>
    <t>RENOVATION OF STAFF QAUTERS AT DADDAABN</t>
  </si>
  <si>
    <t>CONSTRUCTION OF NEW WATER PAN AT DAGAHLEY</t>
  </si>
  <si>
    <t>CONSTRUCTION OF NEW WATER PAN AT JILO MATA CENTRE</t>
  </si>
  <si>
    <t>CONSTRUCTION OF  RIIG WATER PAN</t>
  </si>
  <si>
    <t>RENOVATION WORKS TO GOVERNMENT HOUSE</t>
  </si>
  <si>
    <t>RENOVATION OF ADMIN BLOCK AT DAMAJALE PRIMARY</t>
  </si>
  <si>
    <t>CONSTRUCTION OF STAFF QUARTER AT SKANSA</t>
  </si>
  <si>
    <t>HIRE OF TRUCKS  FOR TWON CLEANING</t>
  </si>
  <si>
    <t>DESILTING OF GOBGADUD WATER PAN IN DADAAB</t>
  </si>
  <si>
    <t>REFURBISHMENT OF ECD CLASSROM AT SAKA</t>
  </si>
  <si>
    <t>UPGRADING OF ELKAMBARE HULUGHO ROAD</t>
  </si>
  <si>
    <t>CONSTRUCTION CHAINLINK  FENCE AT SABENA CENTRE</t>
  </si>
  <si>
    <t>IMPROVEMENT OF GUYO BARAKI ROAD</t>
  </si>
  <si>
    <t>CHAINLINK FENCE AT HAGAR JARIR HEALTH CENTR</t>
  </si>
  <si>
    <t>HALUKA WATER PAN</t>
  </si>
  <si>
    <t>CONSTRUCTION OF 12 OF BODY CAPACITY MORTURY</t>
  </si>
  <si>
    <t>MAINTAINANCE OF LAGDERA FARM ACCESS ROAD</t>
  </si>
  <si>
    <t>6 BED MATERNITY UNIT AT KAMUTHE DISPENSARY</t>
  </si>
  <si>
    <t>CHAINLINK FENCE AT HAGARJARI PRIMARY</t>
  </si>
  <si>
    <t>CONSTRUCTION OF SHANTABAQ MARKETS</t>
  </si>
  <si>
    <t>PERIMETER WALL AT BULLA MASALANI GRAVE YARD</t>
  </si>
  <si>
    <t>EQUPING OF BAHURI BOREHOLE</t>
  </si>
  <si>
    <t>CHAINLINK FENCE AT MALEYLEY DISPENSARY</t>
  </si>
  <si>
    <t>CHAINLINK FENCE AT BANANE AP CAMP</t>
  </si>
  <si>
    <t>Benane</t>
  </si>
  <si>
    <t>CONSTRUCTION OF TWO ECDE CLASS ROOMS, CHAINLINK FENCING AND TWIN PIT LATRINE AT MADHAHGISI PRIMARY SCHOOL</t>
  </si>
  <si>
    <t>PROPOSED RENOVATION/REFURBISHMENT TO GOVERNMENT HOUSE MG15,MG21,MG10 IN GARISSA TOWN</t>
  </si>
  <si>
    <t>CONSTRUCTION OF BULA WABERI DRIFT ROAD</t>
  </si>
  <si>
    <t>CONSTRUCTION OF WATER PAN AT AGAGUDALEY IN IJARA</t>
  </si>
  <si>
    <t>CONSTRUCTION OF NEW WATER SUPPLY AT LIBOI CENTRE</t>
  </si>
  <si>
    <t>FENCING OF WILDLIFE DRINKING WATER PAN</t>
  </si>
  <si>
    <t>CONSTRUCTION OF ECD CLASSROM AT MADINA PRIMARY</t>
  </si>
  <si>
    <t>CHAINLINK FENCE AT KIWANJA PRIMARY</t>
  </si>
  <si>
    <t>CLEANING AND UPGRDAING OF MARE DAROW ROAD</t>
  </si>
  <si>
    <t>IMPROVEMENT OF MASALANI WEMA ROAD</t>
  </si>
  <si>
    <t xml:space="preserve">CONSTRUCTOION OF MARKET STALL AT GABABA </t>
  </si>
  <si>
    <t>MAINTAINANCE OF SHUKRI KABAHAY ROAD</t>
  </si>
  <si>
    <t>CHAINLINK FENCE AT HULIGJHPO PLAY GROUND</t>
  </si>
  <si>
    <t>CONSTRUCTION OF DEGELEMA WATER PAN</t>
  </si>
  <si>
    <t>CONSTRUCTION OF CHAINLINK AT DUJIS DISPENSARY</t>
  </si>
  <si>
    <t>CHAINLI K FENCE AT KULAN PRIMARY</t>
  </si>
  <si>
    <t>CHAINLINK FENCE AT MASALANI PRIMARY</t>
  </si>
  <si>
    <t>CHAINLINK FENCE AT BARQUKE DISPENSARY</t>
  </si>
  <si>
    <t>EQUIPING OF ALQARSADE BOREHOLE</t>
  </si>
  <si>
    <t>CONSTRUCTION OF DOBALE ACCESS ROAD</t>
  </si>
  <si>
    <t>CONSTRUCTION OF MARKET SHADE AT LIBOI CENTRE</t>
  </si>
  <si>
    <t>CHAINLINK FENCE AT KUMAHUMATO  PRIMARY</t>
  </si>
  <si>
    <t>RENOVATION WORKS AT DADAAB MUNICIPAL</t>
  </si>
  <si>
    <t>RENOVATION OF CECM FINANCE OFFICES</t>
  </si>
  <si>
    <t>CONSTRUCTION OF WILDLIFE CHAILINK AT SABENA CENTRE</t>
  </si>
  <si>
    <t>WATER TRUCKING SERVICES</t>
  </si>
  <si>
    <t>CHAINLINK FENCE AT HAMEY PRIMARY</t>
  </si>
  <si>
    <t>CONSTRUCTION OF ALMAGAN WATER PAN</t>
  </si>
  <si>
    <t>RENNOVATION OF ECONOMIC PLANNING OFFICE</t>
  </si>
  <si>
    <t>DELEIVERY OF LEARNING ,MATERIALS</t>
  </si>
  <si>
    <t>CONSTRUCTION OF WIREHOUSE AT PGH</t>
  </si>
  <si>
    <t>CONSTSTRUCTION OF CHAINLINK AT TOGDUB PRIMARY</t>
  </si>
  <si>
    <t>CHAINLINK FENCE AT ROKYAL IJARA SUB COUNTY</t>
  </si>
  <si>
    <t>MAINATAINCE OF DOGOB RAHOLE ROAD IN BALAMBALA</t>
  </si>
  <si>
    <t>WARD ADMIN AT BANANE WARD</t>
  </si>
  <si>
    <t>CONSTRUCTION OF 6 BED MATERNITY AT ILAN</t>
  </si>
  <si>
    <t>CONSTRUCTION OF WATER PAN</t>
  </si>
  <si>
    <t>CONSTRUCTION OF PERMANENT CANAL AT TAWAKAL CENTRE</t>
  </si>
  <si>
    <t>EQUIPING OF BOREHOLE AT GODLEY FIRM</t>
  </si>
  <si>
    <t>DESILSINTING FENCING AT BARFIN</t>
  </si>
  <si>
    <t>RENOVATION OF GK HOUSE</t>
  </si>
  <si>
    <t>DESILITING AND FENCING OF RIIG WATER DAM IN LAGDERA</t>
  </si>
  <si>
    <t>IMPROVEMENT OF GALMAGALA ROAD</t>
  </si>
  <si>
    <t>IMPROVEMENT OF BULLA CADAN ACCESS ROAD</t>
  </si>
  <si>
    <t>AND OF WARD ADMIN</t>
  </si>
  <si>
    <t>RENOVATION OF KENYA LIBRARY CENTTRE AT MASALANI</t>
  </si>
  <si>
    <t>CONSTRUCTION OF COUNTY  HEADQUATERS</t>
  </si>
  <si>
    <t xml:space="preserve">RENOVATION REPAIR CONSTRUCTION OF JARIBU PRIMARY </t>
  </si>
  <si>
    <t>REHABILITATION AND EXTENSION OF BURA WATER SUPPLY IN BURA TOWN</t>
  </si>
  <si>
    <t>CONSTRUCTION OF QURANQUKUTKTE WATER PAN</t>
  </si>
  <si>
    <t>CHAINLINK FENCE AT TETU PRIMARY</t>
  </si>
  <si>
    <t>CONSTRUCTION OF NEW WATER PAN ATWARSAME CENTRE</t>
  </si>
  <si>
    <t>DESILTING OF TUMTISH WATER PAN</t>
  </si>
  <si>
    <t>INSTALLATION OF COMMUNICATION EQUIPTMENT AT COUNTY AFFAIRS</t>
  </si>
  <si>
    <t>TAHRIR OF WATER PAN</t>
  </si>
  <si>
    <t>RENOVATION AND REFURBISHMENT CLASSROOM AT BULA COLLEGE PRIMARY</t>
  </si>
  <si>
    <t>CONSTRUCTION OF DEELA WATER AT GALMAGALA</t>
  </si>
  <si>
    <t>EQUPPING AND EXTENSION OF BARAKI MAALIMIN PIPELINE</t>
  </si>
  <si>
    <t>PATIAL DEVELOPMENT PLAN FOR GARISSA COUNTY</t>
  </si>
  <si>
    <t>CONSTRUCTION OF ECD CLASSROOM BULLA MAKKA</t>
  </si>
  <si>
    <t>CONSTRUCTION OF NEW DISPENSARY ATRIIG DAM</t>
  </si>
  <si>
    <t>CHAINLINK AT AFWEIN DISPENSARY</t>
  </si>
  <si>
    <t>BACKFILLING AND DEMOLITION OF OF EATH PITS AT MADAHGISI</t>
  </si>
  <si>
    <t>FENCING OF WILDLIFE WATER PAN AT HARHAR CENTRE</t>
  </si>
  <si>
    <t>CONSTRUCTION OF WARD ADMIN AT NANIGI WARD</t>
  </si>
  <si>
    <t>CONSTRUCTION OF WARD ADMIN AT SANKURI WARD</t>
  </si>
  <si>
    <t>RENOVATION OF DADAAB SUB COUNTY HOSPITAL</t>
  </si>
  <si>
    <t>RENOVATION OF ECD CLASSROOM AND WATER TANK AT YATHRIB PRIMARY</t>
  </si>
  <si>
    <t xml:space="preserve">CONSTRUCTION OF ECD CLASSROOMS AT BULLA MAZURI </t>
  </si>
  <si>
    <t>Construction OF WARD ADMIN</t>
  </si>
  <si>
    <t>CONSTRUCTION OF WARD ADMIN AT SAKA WARD</t>
  </si>
  <si>
    <t>CONSTRUCTION OF UNDERGROUND TANK AT PGH</t>
  </si>
  <si>
    <t>CONSTRUCTION OF KONE MODOGASHE BOREHOLE</t>
  </si>
  <si>
    <t>DRILLING AND EQUIPING OF GARBA GADUD</t>
  </si>
  <si>
    <t>CONSTRUCTION OF CHAINLINK FENCE</t>
  </si>
  <si>
    <t>CONSTRUCTION OF NEW WATER PAN</t>
  </si>
  <si>
    <t>REHABILITATION OF DUJIS WATER PAN</t>
  </si>
  <si>
    <t>CONSTRUCTION OF BULA MADINA ROAD</t>
  </si>
  <si>
    <t>EXTENSION OF BURA WATER SUPPLY</t>
  </si>
  <si>
    <t>DESILTING OF WAKABHAREY WATER PAN</t>
  </si>
  <si>
    <t xml:space="preserve">CHAINLINK FENCE AT BANANE PRIMARY </t>
  </si>
  <si>
    <t>EQUIPING OF BOREHOLE AT KONE1 CENTRE</t>
  </si>
  <si>
    <t xml:space="preserve">CHAINLINK FENCING </t>
  </si>
  <si>
    <t>RENNOVATION OF ECD CLASSROOM AT SAKA</t>
  </si>
  <si>
    <t>GEED OF WARD ADMIN</t>
  </si>
  <si>
    <t>Logistics OF WATER PAN</t>
  </si>
  <si>
    <t>Investments OF WATER PAN</t>
  </si>
  <si>
    <t>COMPANY OF WATER PAN</t>
  </si>
  <si>
    <t>REHABILITATION OF AMUMA BOREHOLE</t>
  </si>
  <si>
    <t>CONSTRUCTION OF WARD ADMIN AT FAFI WARD</t>
  </si>
  <si>
    <t>CONSTRUCTION OF WARD ADMIN AT DANAYERE</t>
  </si>
  <si>
    <t>CONSTRUCTION OF WARER WATER PAN AT MAKAH</t>
  </si>
  <si>
    <t>BUILDERS OF WARD ADMIN</t>
  </si>
  <si>
    <t>CHAINLINK FENCING</t>
  </si>
  <si>
    <t>RENOVATION OF ECD CLASSROM AT AP CHIEF CAMP PRIMARY</t>
  </si>
  <si>
    <t>CONSTRUCTION OF WARD ADMIN AT ABAKAILE</t>
  </si>
  <si>
    <t>CONSTRCUTION OF WARD ADMIN AT BARAKI</t>
  </si>
  <si>
    <t>SUPPPLY OF EQUIPTMENT</t>
  </si>
  <si>
    <t>RENOVATION AT WARABLE ECD</t>
  </si>
  <si>
    <t>RENOVATION AT BOGYAR ECD</t>
  </si>
  <si>
    <t>RENOVATION OF MAI PRIMARY</t>
  </si>
  <si>
    <t>RENOVATION AT GAWASCO TREATMENT CENTRE</t>
  </si>
  <si>
    <t>RENNOVATION OF ECD CLASSROOM AT BULA MZURI PRIMARY</t>
  </si>
  <si>
    <t>CONSTRUCTION OF UNDERGROUND WATER TANK</t>
  </si>
  <si>
    <t>CONSTRUCTION OF WARD ADMIN AT BANANE</t>
  </si>
  <si>
    <t>REPAIR OF MOTOR VEHICLE</t>
  </si>
  <si>
    <t>HIRE OF TRANSPORT</t>
  </si>
  <si>
    <t>RENNOVATION</t>
  </si>
  <si>
    <t>CHAINLINK FENCE AT AQAL ARR</t>
  </si>
  <si>
    <t>FACELIFT AT ADMIN BLOCK</t>
  </si>
  <si>
    <t>CONSTRUCTION OF MOIT WATER PAN</t>
  </si>
  <si>
    <t>PURCHASE OF MOTOR VEHICHLE</t>
  </si>
  <si>
    <t>1st july 2024</t>
  </si>
  <si>
    <t>1st aug 2024</t>
  </si>
  <si>
    <t>30th june 2025</t>
  </si>
  <si>
    <t>MEDICAL LAB EQUIPTMENT</t>
  </si>
  <si>
    <t>SUPPLY OF MEDICAL EQUIPTMENT</t>
  </si>
  <si>
    <t>AUGUMENTATION AND REHABILITATION OF MASALANI WATER SUPPLY</t>
  </si>
  <si>
    <t>INSTALLATION OF STREET LIGHT ALONG LAMU ROAD</t>
  </si>
  <si>
    <t>REPAIR AND PAINTING OF COUNTY HEADQUATER</t>
  </si>
  <si>
    <t>FENCING OF KORAKORA HEALTH CENTRE</t>
  </si>
  <si>
    <t xml:space="preserve">RENNOVATION OF BALAMBALA ECD </t>
  </si>
  <si>
    <t>RENOVATION OF ECD HAMEY</t>
  </si>
  <si>
    <t>RENNOVATION CEC -County Affairs Office</t>
  </si>
  <si>
    <t>RENNOVATION OF ECD CLASSROOM</t>
  </si>
  <si>
    <t>RENOVATION AND SOUND PROOFING AT DIRECTOR OPRTATION OFFICE</t>
  </si>
  <si>
    <t>RENOVATION OF ECD CLASSROOM AT CONSTRUCTION OF LATRINE AT GARISSA PRIMARY</t>
  </si>
  <si>
    <t>RENOVATION OF BOGYAR DISPENSARY</t>
  </si>
  <si>
    <t>RENOVATION OF LABASIGALE DISPENSARY</t>
  </si>
  <si>
    <t>Labasigale</t>
  </si>
  <si>
    <t>RENOVATION OF GALMAGAL DISPENSARY</t>
  </si>
  <si>
    <t>EXTENSION OF  OF PIPELINE FROM KONE TO MODOGASHE</t>
  </si>
  <si>
    <t>RENNOVATION AT SLAUTER HOUSE</t>
  </si>
  <si>
    <t>CONSTRUCTION OF PERIMTER WALL AT SLAUGHTER HOUSE</t>
  </si>
  <si>
    <t>AUGUMENTATION OF MASALANI WATER TREATMENT</t>
  </si>
  <si>
    <t>DESILTING AND FENCING OF BULO WATER PAN</t>
  </si>
  <si>
    <t>DESILTING AND FENCING OF DEGELEMA WATER PAN</t>
  </si>
  <si>
    <t>DESILTING OF WATER PAN AT DADAAB</t>
  </si>
  <si>
    <t>DRILLING OF ARGADUD BOREHOLE</t>
  </si>
  <si>
    <t>DRILLING OF BOREHOLE IN BALAMBALA</t>
  </si>
  <si>
    <t>EXENSION OF KONE MODOGASHE PIPPING</t>
  </si>
  <si>
    <t>EXTENSION OF COUNTY HQS</t>
  </si>
  <si>
    <t>EXTENSION OF DADAAB PIPELINE</t>
  </si>
  <si>
    <t>EXTENSION OF PIPELINE AND CONSTRUCTION OF WATER KIOSK AT LABASIGALE</t>
  </si>
  <si>
    <t>EXTENSION OF PIPPING AT ADC BOREHOLE</t>
  </si>
  <si>
    <t xml:space="preserve">EXTENSION OF PIPPING KONE MODOGASHE </t>
  </si>
  <si>
    <t>EXTESION PIPPING TO GUBAKIBIR PRIMARY</t>
  </si>
  <si>
    <t>INSTALLATION OF STREET LIGHT AT LAMU ROAD</t>
  </si>
  <si>
    <t>LAST MILE CONNECTIVITY FOR MARAMTU PROJECT</t>
  </si>
  <si>
    <t>REHABILITATION AND EQUIPING OF BAHURI WATER PROJECT</t>
  </si>
  <si>
    <t>REHABILITATION OF BOREHOLE IN BALAMBALA</t>
  </si>
  <si>
    <t>REHABILITATION OF BOREHOLE IN LABIQALOC CENTRE</t>
  </si>
  <si>
    <t>REHABILITATION OF BOREHOLE IN LANDERE</t>
  </si>
  <si>
    <t>REHABILITATION OF MASALANI WATER PLANT</t>
  </si>
  <si>
    <t>REHABILITATION OF TWO TWIN TANKS AT GARISSA UNIVERSITY</t>
  </si>
  <si>
    <t>REHABILTATION OF BURA BOREHOLE</t>
  </si>
  <si>
    <t>RENNOVATION OF BALAMBALA MUNICIPALITY OFFICES</t>
  </si>
  <si>
    <t>RENNOVATION OF GARISSA SLAUGHTER HOUSE</t>
  </si>
  <si>
    <t>RENNOVATION OF LIBOI SUB COUNTY HOSPITAL</t>
  </si>
  <si>
    <t>RENNOVATION WORKS AT MODOGASHE</t>
  </si>
  <si>
    <t>RENOVATION OF BALAMBALA LIVESTOCK MARKET</t>
  </si>
  <si>
    <t>RENOVATION OF BULTO HAMA DISPENSARY</t>
  </si>
  <si>
    <t>RENOVATION OF CAMEL MARKET IN MODOGASHE</t>
  </si>
  <si>
    <t>RENOVATION OF CHIEF OFFICER OFFICE AND CONSTRUCTION OF WATER TANK</t>
  </si>
  <si>
    <t>RENOVATION OF CLASSROOM NASIB PRIMARY AT IJARA</t>
  </si>
  <si>
    <t>RENOVATION OF COOPERATIVE OFFICES</t>
  </si>
  <si>
    <t>TRADE,INVESTMENT AND ENTERPRISE DEVELOPMENT</t>
  </si>
  <si>
    <t>RENOVATION OF DEPT OF HEALTH</t>
  </si>
  <si>
    <t>RENOVATION OF GARISSA COUNTY PUBLIC SERVICES BOARD</t>
  </si>
  <si>
    <t>RENOVATION OF KORKORA DISPENSARY</t>
  </si>
  <si>
    <t>RENOVATION OF KUMAHUMATO DISPENSARY</t>
  </si>
  <si>
    <t>RENOVATION OF MCH AND NUTRITION OFFICES</t>
  </si>
  <si>
    <t>RENOVATION OF MODOAGE SUB COUNTY OFFICES</t>
  </si>
  <si>
    <t>RENOVATION OF MODOGASHE MARKET</t>
  </si>
  <si>
    <t xml:space="preserve">RENOVATION OF VOCATIONAL TRAINING </t>
  </si>
  <si>
    <t>RENOVATION OF WATER OFFICES IN MASALANI</t>
  </si>
  <si>
    <t>RENOVATION WARD AT IJARA HOSPITAL</t>
  </si>
  <si>
    <t xml:space="preserve">RENNOVATION </t>
  </si>
  <si>
    <t>RENOVATION OF CEC LANDS OFFICES</t>
  </si>
  <si>
    <t>CONSTRUCTION OF MOTHER AND CHILD HOSPITAL</t>
  </si>
  <si>
    <t>CONSTRUCTION OF BULLA ARGI GIRAFE CENTURY IN GARISSA</t>
  </si>
  <si>
    <t>CONSTRUCTION OF KITCHEN AND DEMOLITION OF EXISTING METALIC STORE</t>
  </si>
  <si>
    <t>CONSTRUCTION OF MARAMTU WATER PROJECT</t>
  </si>
  <si>
    <t>CONSTRUCTION OF TERMINAL AT GARISSA AIRSTRIP</t>
  </si>
  <si>
    <t>CONSTRUCTION MARAMTU WATER PROJECT PHASE 1</t>
  </si>
  <si>
    <t>CONSTRUCTION OF GARISSA COUNTY REFERAL MEDICAL RECORDS OFFICE</t>
  </si>
  <si>
    <t>CONSTRUCTION OF TERMINAL BUILDING AT GARISSA AIRSTRIP</t>
  </si>
  <si>
    <t>CONSTRUCTION OF PAVILION AND PERIMETR WALL AT GARISSA PRIMARY STADIUM</t>
  </si>
  <si>
    <t>RELOCATION OF UTILITY FEEDER AT DADAB MUNICIPALTY</t>
  </si>
  <si>
    <t>CONSTRUCTION OF GARISSA PRIMARY STADIUM</t>
  </si>
  <si>
    <t xml:space="preserve">CONSTRUCTION OF GIRAFE CENTRE AT GARISSA TOWNSHIP </t>
  </si>
  <si>
    <t xml:space="preserve">CONSTRUCTION OF MOTHER AND CHILD HOSPITAL AT GARISSA COUNTY REFERAL </t>
  </si>
  <si>
    <t>CONSTRUCTION OF PERIMETER WALL AND RENOVATION OF OFFICES</t>
  </si>
  <si>
    <t>CONSTRUCTION OF PERIMETER WALL AT FTC</t>
  </si>
  <si>
    <t>CONSTRUCTION OF WALK WAY AT GARISSA REFERAL HOSPITAL</t>
  </si>
  <si>
    <t>CONSTRUCTION OF 7KM WATER PIPING WORKS AT BALAMBALA</t>
  </si>
  <si>
    <t>CONSTRUCTION NEW TERMINAL AT GARISSA AIRSTRIP</t>
  </si>
  <si>
    <t>CONSTRUCTION MARAMTU WATER PROJECT</t>
  </si>
  <si>
    <t>UPGRADING TO BITUMEN STANDARD BULLA MADINA DOBALE ROAD</t>
  </si>
  <si>
    <t>CONSTRUCTION OF NEW BOX CULVERT AT DOBALE</t>
  </si>
  <si>
    <t>MAINTAINANCE OF WABERI RING ROAD</t>
  </si>
  <si>
    <t>MAINATAINANCE OF IFTIN 2 ACCESS ROAD</t>
  </si>
  <si>
    <t>MAINTAINANCE OF ACCESS ROAD</t>
  </si>
  <si>
    <t>MAINTAINANCE OF IFTIN 1 ACCESS ROAD</t>
  </si>
  <si>
    <t>MAINTAINCE OF ACCESS ROAD</t>
  </si>
  <si>
    <t>MAINTAINACE OF ACCESS ROAD</t>
  </si>
  <si>
    <t>MAINATAINANCE OF  ACCESS ROAD</t>
  </si>
  <si>
    <t>MAINTANANINACE OF FARM ACCESS ROAD</t>
  </si>
  <si>
    <t>MAINTAINNCE OF FARM ACCESS</t>
  </si>
  <si>
    <t>MAINTAINANCE OF FARM ACCESS ROAD</t>
  </si>
  <si>
    <t>MAINTAINACE OF BULLA RAHMA ACCESS ROAD</t>
  </si>
  <si>
    <t xml:space="preserve">MAINATAINANCE OF  DOLAL ACCESS ROAD AT </t>
  </si>
  <si>
    <t>MAINTAINACE OF BULL TETU ACCESS ROAD</t>
  </si>
  <si>
    <t>MAINATAINACE OF BULLA HAGAR ACCESS ROAD</t>
  </si>
  <si>
    <t>MAINATAINACE OF GURUFA SKANSA ROAD</t>
  </si>
  <si>
    <t>MAINATAINACE OF GUYO GADHUD ROAD</t>
  </si>
  <si>
    <t>MAINATAINANCE OF LIBOI ACCESS ROAD</t>
  </si>
  <si>
    <t>MAINATAINCE OF DEKABUREY ACCESS ROAD</t>
  </si>
  <si>
    <t>MAINATANCE OF DADAAD HAGARDERE ROAD</t>
  </si>
  <si>
    <t>MAINTAINACE OF BALAMBALA JUNCTION ACCESS ROAD</t>
  </si>
  <si>
    <t>MAINTAINACE OF BISMILAHI FARM ACCESS ROAD</t>
  </si>
  <si>
    <t>MAINTAINACE OF BULA GAME ACCESS ROAD</t>
  </si>
  <si>
    <t>MAINTAINACE OF BURA TOWNSHIP ACCESS ROAD</t>
  </si>
  <si>
    <t>MAINTAINACE OF CEREAL ROAD BULLA IJARA</t>
  </si>
  <si>
    <t>MAINTAINACE OF CHUMA MREFU DOBAL ROAD</t>
  </si>
  <si>
    <t>MAINTAINACE OF ELAN ACCESS ROAD</t>
  </si>
  <si>
    <t>MAINTAINACE OF FARM ACCESS ROAS</t>
  </si>
  <si>
    <t>MAINTAINACE OF MUHUMAD ABDI ROAD</t>
  </si>
  <si>
    <t>MAINTAINANCE OF BULA HODHAN</t>
  </si>
  <si>
    <t>MAINTAINANCE OF BURA JUNCTION MANSABUBU</t>
  </si>
  <si>
    <t>MAINTAINANCE OF DOBAL ALI HAYTAR ROAR</t>
  </si>
  <si>
    <t>MAINTAINANCE OF JUNCTION POINT BURBURIS ROAD</t>
  </si>
  <si>
    <t>MAINTAINANCE OF LABASIGALE -WELHAR ROAD</t>
  </si>
  <si>
    <t>MAINTAINANCE OF NULA NASIB ACCESS ROAD</t>
  </si>
  <si>
    <t>MAINTAINANCE OF QABOBEY FARM ACCESS ROAD</t>
  </si>
  <si>
    <t>MAINTAINANCE OF WABERI ACCESS ROAD</t>
  </si>
  <si>
    <t>MAINTAINCE OF BULA GAME ACCESS ROAD</t>
  </si>
  <si>
    <t>MAINTANANCE OF ALRAHMA ORPHANAGE ROAD</t>
  </si>
  <si>
    <t>MAINTANCE OF BALAMABALA ACCESS ROAD</t>
  </si>
  <si>
    <t>MAINTANCE OF UNIVERISTY ROAD JUNCTION</t>
  </si>
  <si>
    <t>UPGRADING TO BITUMEN BULA MADINA ROAD</t>
  </si>
  <si>
    <t xml:space="preserve">CONSTRUCTION OF CULVERT </t>
  </si>
  <si>
    <t>MAINTAINANCE OF ROADS</t>
  </si>
  <si>
    <t>CONSTRUCTION NEW ACCESS ROAD AT SUG MUGDI MARKET CENTRE</t>
  </si>
  <si>
    <t>CONSTRUCTION AND UPGRADING TO BITUME STANDARD OF BULLA MADINA ROAD</t>
  </si>
  <si>
    <t>INSTALLATION OF MASS FLOOTLIGHT</t>
  </si>
  <si>
    <t>SUPPLY AND DELIVERY OF VETERNANRY DRUGS</t>
  </si>
  <si>
    <t>REHABILITATION WORKS AT GAWASCO</t>
  </si>
  <si>
    <t>EQUIPING OF GARBA GADUD BOREHOLE</t>
  </si>
  <si>
    <t>RENNOVATION AND IMPROVEMENT OF LIBOI HEALTH CENTRE</t>
  </si>
  <si>
    <t>MAINTAINACE OF ROADS</t>
  </si>
  <si>
    <t>UPGRADING OF ADMIN BLOCK AND FACELIFT</t>
  </si>
  <si>
    <t>DESILTING OF WATER PAN AT BULLA ABASS IN LAGDERA SUB COUNTY</t>
  </si>
  <si>
    <t>CHAINLINK FENCE AND RENNOVATION</t>
  </si>
  <si>
    <t>PIPELINE EXTENSION TO BULA HAGAR RIIG REHABILTATION OF STEEL TANK</t>
  </si>
  <si>
    <t>MAINTANCOF HAGRABUL ROAD</t>
  </si>
  <si>
    <t>REPAIR OF BULLA MADINA ELEVATED WATER TANKS</t>
  </si>
  <si>
    <t>EQUIPIN AND EXTENSION OF BARAKI MAALIM PIPLELINE</t>
  </si>
  <si>
    <t>CONSTRUCTION OF MARKET SHADE AT DADAAB</t>
  </si>
  <si>
    <t>STREET LIGHT SUQMUQDI</t>
  </si>
  <si>
    <t>IMPROVEMENT OF ROADS</t>
  </si>
  <si>
    <t>IMPROVEMENT OF FAFI BURA ROAD</t>
  </si>
  <si>
    <t>SUPPLY OF VETERNARY EQUIPTMENT</t>
  </si>
  <si>
    <t>ALUMINIUM PARTITION AND POWER UPGRADE AT EYE UNIT</t>
  </si>
  <si>
    <t>RENOVATION ECD CLASSROOM AT FURQAN PRIMARY IJARA SUB COUNTY</t>
  </si>
  <si>
    <t>STREET LIGHT BULLA MADINA</t>
  </si>
  <si>
    <t xml:space="preserve">CONSTRUCTION AND BACKFILLING OF EATH PITS AND DEMOLITION AT MADAHGISI DADAAB </t>
  </si>
  <si>
    <t>DRILLING AND SOLARIZALTION AT ABDISAMAT BOREHOLE</t>
  </si>
  <si>
    <t>PROVISION FOR RADIO ADVERTS</t>
  </si>
  <si>
    <t>CONSTRUCTION OF CHAINLINK FENCE AT TAGDUB PRIMARY</t>
  </si>
  <si>
    <t>CONSTRUCTION OF CHAINLINK FENCE AT AFWEIN  PRIMARY</t>
  </si>
  <si>
    <t>CONSTRUCTION OF CHAINLINK FENCE AT DUJIS DISPENSARY</t>
  </si>
  <si>
    <t>CONSTRUCTION OF CHAINLINK FENCE AT BANANE AP CAMP</t>
  </si>
  <si>
    <t>CONSTRUCTION OF NEW WILDLIFE WATER PAN RIIG RICHO FAFI</t>
  </si>
  <si>
    <t>CONSTRUCTION OF WILD LIFE CHAILINK FENCE AT SABENA</t>
  </si>
  <si>
    <t>DESILTING AND FENCING OF AHMED QALOW WATER PAN IN DADAAB</t>
  </si>
  <si>
    <t>CONSTRUCTION OF SHALLOW WELL AT KUNO BALAMBALA</t>
  </si>
  <si>
    <t>CONSTRUCTION OF DINING HALL AT DAIDADI PRIMARY</t>
  </si>
  <si>
    <t>CONSTRUCTION OF NEW WATER AT MADAH GISI</t>
  </si>
  <si>
    <t>CONSTRUCTION OF NEW WILDLIFE WATER PAN ATSARAKA GULL CENTRE\</t>
  </si>
  <si>
    <t>RENNOVATION OF WORKS AT BULLA MZURI</t>
  </si>
  <si>
    <t>CHAINLINK FENCE AT BURA SECONDARY</t>
  </si>
  <si>
    <t>CONSTRUCTION OF MASONANRY PERIMETER WALL</t>
  </si>
  <si>
    <t>CONSTRUCTION OF MORTUARY AT GCRH</t>
  </si>
  <si>
    <t>SUPPLY AND DELIVERY OF ALUMINIUM SULPHATE</t>
  </si>
  <si>
    <t>CLEARING AND UPGRADING OF MARE DAROW</t>
  </si>
  <si>
    <t>CONSTRUCTION OF NEW WATER AT RUQA FAFI SUB COUNTY</t>
  </si>
  <si>
    <t>CONSTRUCCTION OF NEW WATER PAN</t>
  </si>
  <si>
    <t>MAINTAINANCE OF DOGOB RAHOLE ROAD</t>
  </si>
  <si>
    <t>CONSTRUCTION ECD CLASSROOM AT HAMEY PRIMARY</t>
  </si>
  <si>
    <t>EQUIPING OF AL QARSADE BOREHOLE IN DADAAB SUB COUNTY</t>
  </si>
  <si>
    <t>CONSTRUCTION OF CHAINLINK FENCE AT MAALIM DISPENSARY</t>
  </si>
  <si>
    <t>CONSTRUCTION OF DISPENSARY ANS STAFF HOUSE BARAKI</t>
  </si>
  <si>
    <t>CONSTRUCTION OF NEW WATER PAN AT SABENA CENTRE HULUGHO SUB COUNTY</t>
  </si>
  <si>
    <t xml:space="preserve">CONSTRUCTION WATER PAN AT HALUKA </t>
  </si>
  <si>
    <t>CONSTRUCTION EQUIPING OF BOREHOLE AT KONE 1 CENTRE</t>
  </si>
  <si>
    <t>CHAINLINK FENCE AT JARIBU PRIMARY</t>
  </si>
  <si>
    <t>DEVELOPMENT SPATIAL PLAN</t>
  </si>
  <si>
    <t>INSTALLATION AND COMMISION INTERNET CABLE AT COUNTY AFFAIRS</t>
  </si>
  <si>
    <t>RENNOVATION OF GOVERNMENT HOUSE</t>
  </si>
  <si>
    <t>REFURBISHMENT OF PUBLIC WORKS OFFICE</t>
  </si>
  <si>
    <t xml:space="preserve">REFURBISHMENT OF AND RENNOVATION </t>
  </si>
  <si>
    <t>CONSTRUCTION OF NEW WILDLIFE DRINKING WATER AT IJARA</t>
  </si>
  <si>
    <t>CONSTRUCTION OF MASONARY PERIMETER FENCE AT SHANTABAQ GRAVEYARD</t>
  </si>
  <si>
    <t xml:space="preserve">DESILTING AND FENCING OF BRAFIN WATER PAN </t>
  </si>
  <si>
    <t>CONSTRUCTION OF CHAINLINK FENCE AT MASLAH PRIMARY SCHOOL</t>
  </si>
  <si>
    <t>CONSTRUCTION OF WAREHOUSE AT GARISSA REFERAL HOSPITAL</t>
  </si>
  <si>
    <t>CONSTRUCTION OF 6 BED MATERNITY ELAN DISPENSARY</t>
  </si>
  <si>
    <t xml:space="preserve">EQUPING OF BOREHOLE AT ABDI SUGOW DADAAB </t>
  </si>
  <si>
    <t>CHAINLINK FENCE AND RENNOVATION OF CIVILI WORKS</t>
  </si>
  <si>
    <t>CONSTRUCTION OF CHAINLINK FENCE AT HAGAR JAREER HEALTH CENTRE</t>
  </si>
  <si>
    <t>CONSTRUCTION AND CHAINLINK FENCE AT ALINJUUKUR HOSPITAL FAFI SUB COUNTY</t>
  </si>
  <si>
    <t>RENOVATION TO GK HOUSES</t>
  </si>
  <si>
    <t>CONSTRUCTION OF WABERI DRIFT GARISSA TOWNSHIP</t>
  </si>
  <si>
    <t>REHABILTATION OF MASALANI WATER SUPPLY</t>
  </si>
  <si>
    <t>IMPROVEMENT OF QURAN HINDI HULUGHO ROAD</t>
  </si>
  <si>
    <t>IMPROVEMENT OF GURUFA SHANTABAQ ROAD</t>
  </si>
  <si>
    <t>AUGUMENTATION OF DADERE WATER PAN FAFI</t>
  </si>
  <si>
    <t>CONSTRUCTION OF CHAINLINK FENCE BUSH CLEARING AFWEIN HOSPITAL</t>
  </si>
  <si>
    <t>CONTRUCTION OF WATER PAN</t>
  </si>
  <si>
    <t>RENOVATION OF GARSE PRIMARY</t>
  </si>
  <si>
    <t>CONSTRUCTION AND CHAINLINK FENCE AT GARSE PRIMARY</t>
  </si>
  <si>
    <t>CHAINLINK FENCE AT BORANSIS PRIMARY</t>
  </si>
  <si>
    <t>CONSTRUCTION OF PERIMETER FENCE AT DADAAB SOCIAL GROUND</t>
  </si>
  <si>
    <t>MASONARY FENCING AT BULLA TAWAKAL</t>
  </si>
  <si>
    <t>GRADING AND IMPROVEMENT OF ABDI SUGOW ROAD</t>
  </si>
  <si>
    <t>CONSTRUCTION OF BED MATERNITY BARKUKE HOSPITAL</t>
  </si>
  <si>
    <t>CONSTRUCTION OF NEW WATER AT BILIF</t>
  </si>
  <si>
    <t>CONSTRUCTION OF ADMIN BLOCK AT DAMAJALEY PRIMARY</t>
  </si>
  <si>
    <t>CONSTRUCTION OF NEW WARER PAN AT MAKAH DADAAB</t>
  </si>
  <si>
    <t>CONSTRUCTION OF OUTPATIENT AT FOR BULLA MADINA HEALTH CENTRE</t>
  </si>
  <si>
    <t>DESILTING AND FENCING OF RIG DAAAM AT LAGDERA</t>
  </si>
  <si>
    <t>CONSTRUCTION AND CHAINLINK FENCE AT LIBAHLOW PRIMARY SCHOOL</t>
  </si>
  <si>
    <t>CONSTRUCTION OF IFTIN DRIFT</t>
  </si>
  <si>
    <t xml:space="preserve">RENOVATION OF ECD </t>
  </si>
  <si>
    <t xml:space="preserve">RENOVATION OF ADMIN BLOCK STAFF ROOM </t>
  </si>
  <si>
    <t>CHAINLINK FENCE AT WEKAHBARE PRIMARY</t>
  </si>
  <si>
    <t>REHABILITATION OF SEDAHGOSE BOREHOLE</t>
  </si>
  <si>
    <t>REFURBISHMENT OF DISPENSARY BLOCK AT DADAAB SUB COUNTY HOSPITAL</t>
  </si>
  <si>
    <t>PROVIDION OF CAR HIRE SERVICES</t>
  </si>
  <si>
    <t>CAR HIRE SERVICE</t>
  </si>
  <si>
    <t>SUPPLY AND DELIVERY OF OFFICE FURNITURES</t>
  </si>
  <si>
    <t>CONSTRUCTION OF CLASSROOM AT TOKOJO PRIMARY</t>
  </si>
  <si>
    <t>RENOVATION WORKS AND CHAINLINK FENCE AT SHANTABAQ</t>
  </si>
  <si>
    <t>CONSTRUCTION OF DINNING HALL AT LIBOI</t>
  </si>
  <si>
    <t>GRADING AND IMPROVEMENT OF ROADS</t>
  </si>
  <si>
    <t>RENNOVATION AT SAKA PRIMARY</t>
  </si>
  <si>
    <t>CONSTRUCTION OF X RAY BLOCK DADAAB HOSPITAL</t>
  </si>
  <si>
    <t>CONSTRUCTION OF DEGELEMA WATER IN DADAAAB</t>
  </si>
  <si>
    <t>CHAINLINK FENCE BLOCK WALLING CAPROS PAVING WAITING BAY AT DADAAB MUNICIPLAITY HEADQUATER</t>
  </si>
  <si>
    <t>CHAINLINK FENCE AT MODIKAPRIMARY</t>
  </si>
  <si>
    <t>EQUIPING OF BAHURI BOREHOLE IN DERTU WARD</t>
  </si>
  <si>
    <t>RENNOVATION WORKS AND CHAILNLINK FENCE AT KIWANJA PRIMARY</t>
  </si>
  <si>
    <t>CONSTRUCTION OF MASONARY PERIMETER FENCE AT GARISSA COUNTY REFERAL HOSPITAL</t>
  </si>
  <si>
    <t>CONSTRUCTION OF IRRIGATION INFRUSTURE AT ABAROT FARM</t>
  </si>
  <si>
    <t>RENOVATION TO 72 A AND 72B</t>
  </si>
  <si>
    <t>CONSTRUCTION OF CHAINLINK FENCE BUSH CLEARING AT FAFI SUB COUNTY</t>
  </si>
  <si>
    <t>HIR OF MOTORVIHLE TRUCK</t>
  </si>
  <si>
    <t>RENOVATION OF VETERNARY OFFICE IN IJARA</t>
  </si>
  <si>
    <t>REHABILATION OF LEKU WATER SUPPLY</t>
  </si>
  <si>
    <t>HIRE OF TRUCT FOR WATER TRUCKING IN DADAAB</t>
  </si>
  <si>
    <t>CONSTRUCTION OF CANAL AT TAWAKAL FARM</t>
  </si>
  <si>
    <t>CONSTRUCTION OF CHAINLOINK FENCE AT BARKUKE DISPENSARY</t>
  </si>
  <si>
    <t>SUPPLY OF OFFICE EQUIPTMENT</t>
  </si>
  <si>
    <t>DRILLING AND SOLARIZALTION AT NUNO BOREHOLE</t>
  </si>
  <si>
    <t>RENNOVATION OF 5NO CLASSROOM AT MADINA PRIMARY</t>
  </si>
  <si>
    <t>RENOVATION POF CLASSROOM PIT LATRINE BULA MZURI PRIMARY</t>
  </si>
  <si>
    <t>CHAINLINK FENCCE AT BULA BANAN BOREHOLE</t>
  </si>
  <si>
    <t>CONSTRUCTION OF 2 BED ROOM STAFF AT SKANSA</t>
  </si>
  <si>
    <t>CONSTRUCTION OF 6 BED MATERNITY AT AFWEIN LAGDERA</t>
  </si>
  <si>
    <t xml:space="preserve">CLEANING AND GRADING OF ELKAMBERE HULUGHO ROAD </t>
  </si>
  <si>
    <t>CONSTRUCTION OF 72 MARKET AT LIBOI</t>
  </si>
  <si>
    <t>CONSTRUCTION OF NEW WATER PAN AT GARBA ADEY</t>
  </si>
  <si>
    <t>EXTENSION OF COUNTY HQ</t>
  </si>
  <si>
    <t xml:space="preserve">PROVISION OF GAS REFILL </t>
  </si>
  <si>
    <t>CONSTRUCTION AND CHAINLINK FENCE AT IFTIN PLAYGROUND</t>
  </si>
  <si>
    <t>SUPPLY AND DELIVERY OF FITTING FOR HULUGO WATER SUPPLY</t>
  </si>
  <si>
    <t>MAINATAINACE OF DAGAHLEY MADAHGISI ROAD</t>
  </si>
  <si>
    <t>EXOENSION OF ABAKHILE HAGRABUL PIPLELINE DADAAB</t>
  </si>
  <si>
    <t>RENOVATION AND REFURBISHMENT OF CLASSROOM AT BULLA COLLEGE PRIMARY</t>
  </si>
  <si>
    <t>RENNOVATION OF CHIEF OFFICER WATER SERVICES OFFICE</t>
  </si>
  <si>
    <t>PERIODIC MAINTAINACE OF KABAXAY ACCESS ROAD</t>
  </si>
  <si>
    <t>RENNOVATION OF GK HOUSES</t>
  </si>
  <si>
    <t>CHAINLINK FENCE AND RENOVATION AT WORKS OFFICE</t>
  </si>
  <si>
    <t>PERIMETER FENCING ATBULA MASALANI</t>
  </si>
  <si>
    <t>CONSTRUCTION OF NEW DISPENSARY AT RIIG DAM</t>
  </si>
  <si>
    <t>CONSTRUCTION OF CHAINLINK FENCE AT MASALANI PRIMARY</t>
  </si>
  <si>
    <t>RENNOVATION OF CEC FINANCE OFFICE</t>
  </si>
  <si>
    <t>CONSTRUCTION OF WARD OFFICE AT BALAMABALA</t>
  </si>
  <si>
    <t>CONSTRUCTION OF ACCESS ROAD FARM AT WATHAJIR</t>
  </si>
  <si>
    <t>CONSTRUCTION OF NEW WATER PAN AT DEG ADEY</t>
  </si>
  <si>
    <t>CONSTRUCTION OF MARKET STALL AT BURA</t>
  </si>
  <si>
    <t xml:space="preserve">RENOVATION TOGK HOUSE </t>
  </si>
  <si>
    <t>CONSTRUCTION OF IJARA WARD WARD OFFICES</t>
  </si>
  <si>
    <t>CONSTRUCTION OF WARD OFFICES AT SANGAILU</t>
  </si>
  <si>
    <t>CONSTRUCTION OF BURA WARD OFFICES</t>
  </si>
  <si>
    <t>CONSTRUCTION OF MARKET STALL PHASE 11 AT BALAMBALA</t>
  </si>
  <si>
    <t>CONSTRUCTION OF WARD ADMIN OFFICES AT BURA</t>
  </si>
  <si>
    <t>CONSTRUCTION OF WARD ADMIN IN NANIGI</t>
  </si>
  <si>
    <t>GRAVELING OF BULLA MADINA ROAD</t>
  </si>
  <si>
    <t>CONSTRUCTION OF TOURISM DINIING HALL AT ISHABKINI CONSERVANCY</t>
  </si>
  <si>
    <t xml:space="preserve">FENING OF PLAY GROUNG AT HULUGHO </t>
  </si>
  <si>
    <t>CONSTRUCTION WARD ADMIN JARAJILA</t>
  </si>
  <si>
    <t>CONSTRUCTION OF MARKET STALL AT BALAMABALA</t>
  </si>
  <si>
    <t>CONSTRUCTION OF WARD ADMIN AT FAFI</t>
  </si>
  <si>
    <t xml:space="preserve">CONSTRUCTION OF DUMPSITE AT MODOGASHE </t>
  </si>
  <si>
    <t>DESILTING AND FENCING OF OMAR MOHAMUD WATER PAN</t>
  </si>
  <si>
    <t>CONSTRUCTION OF MAIN GATE AND CHAINLINK FENCE AT IJARA SUB COUNTTY HOSPITAL</t>
  </si>
  <si>
    <t>CONSTRUCTION OF MARKET STALL AT MODOGASHE</t>
  </si>
  <si>
    <t>CHAINLINK FENCE AT DADAAB SUB COUNTY OFFICES</t>
  </si>
  <si>
    <t>CONSTRUCTION OF EYE UNIT AT GARISSA REFERAL HOSPITAL</t>
  </si>
  <si>
    <t>CONSTRUCTION HULUGHO MAIN TWIN TANK AND WATER PAN</t>
  </si>
  <si>
    <t>HEAVY BUSH CLEARINGUPRGRADING OF HAGRABUL ROAD</t>
  </si>
  <si>
    <t>MAINATAINACE OF  ROADS</t>
  </si>
  <si>
    <t>REHABILITATION WATER TANK IN AMUMA</t>
  </si>
  <si>
    <t>CONSTRUCTIONOF HULUGHO WARD ADMIN</t>
  </si>
  <si>
    <t>CONSTRUCTION OF DAMAJALEY WARD</t>
  </si>
  <si>
    <t>RENOVATION OF DEPARTMENT HEALTH OFFICE</t>
  </si>
  <si>
    <t>CHAINLINK FENCE AT BOGYAR DISPESARY</t>
  </si>
  <si>
    <t>CONSTRUCTION OF WARD OFFICE AT SABENA WARD</t>
  </si>
  <si>
    <t>RENOVATION OF CEC AGRICULTURE OFFICE</t>
  </si>
  <si>
    <t>RENOVATION OF ELDERE DISPENSARY</t>
  </si>
  <si>
    <t>CONSTRUCTION OF NEW DISPENDARY AT MADAH GISI</t>
  </si>
  <si>
    <t>REHABILATION WORKS FOR GARISSA WATER AND SEWERAGE COMPANY</t>
  </si>
  <si>
    <t>ADMINTRATION BLOCK AT PGH</t>
  </si>
  <si>
    <t>CHAINLINK FENCE AT SHANTABAQ</t>
  </si>
  <si>
    <t>DEMOLITION AND CONSTRUCTION OF PARKING AT QORAXEY MARKET</t>
  </si>
  <si>
    <t>PERIMETER FENCE BLOACK GUARD AND POWER HOUSE AT DADAAB MUNICIPALITY OFFICES</t>
  </si>
  <si>
    <t>PERIMTER WALL AT MG 16</t>
  </si>
  <si>
    <t>CHAINLINK FENCE AT GALNUNA CENTRE</t>
  </si>
  <si>
    <t>MAINTAINCE OF ELKAMBERE ROADS</t>
  </si>
  <si>
    <t>MAINTAINCE OF FARM ACCESS</t>
  </si>
  <si>
    <t>CHAINLINK FENCE AND CONSTRUCTION OF WATER PAN</t>
  </si>
  <si>
    <t>RENOVATION OF KITCHEN AT GARISSA URBAN PLANNING</t>
  </si>
  <si>
    <t>CONTRUCTION OF WATER</t>
  </si>
  <si>
    <t>RENOVATION OF ECONOMIC PLANNING OFFICES</t>
  </si>
  <si>
    <t xml:space="preserve">Project Start Date/expected start date </t>
  </si>
  <si>
    <t>GOK</t>
  </si>
  <si>
    <t>Development Partner</t>
  </si>
  <si>
    <t>GOK &amp; Development Partner</t>
  </si>
  <si>
    <t xml:space="preserve">Yes </t>
  </si>
  <si>
    <t>No</t>
  </si>
  <si>
    <t xml:space="preserve">Compete </t>
  </si>
  <si>
    <t xml:space="preserve">Cancel </t>
  </si>
  <si>
    <t>Defer</t>
  </si>
  <si>
    <t>Ongoing</t>
  </si>
  <si>
    <t>Stalled</t>
  </si>
  <si>
    <t>Report prepared by:</t>
  </si>
  <si>
    <t>Designation:</t>
  </si>
  <si>
    <t>Signature:</t>
  </si>
  <si>
    <t>Date:</t>
  </si>
  <si>
    <t>Report approved by:</t>
  </si>
  <si>
    <t>Department_ID</t>
  </si>
  <si>
    <t>Department_Name</t>
  </si>
  <si>
    <t>Directorate_Name</t>
  </si>
  <si>
    <t>1. WATER 
2. ENVIRONMENT
3. CLIMATE CHANGE
4. NATURAL RESOURCES</t>
  </si>
  <si>
    <t>1. AGRICULTURE
2. LIVESTOCK 
3. PASTORAL ECONOMY</t>
  </si>
  <si>
    <t>1. COUNTY AFFAIRS
2. PUBLIC SERVICES  
3. INTERGOVERNMENTAL RELATIONS</t>
  </si>
  <si>
    <t>1. TRADE
2. INVESTMENT  
3. ENTERPRISE DEVELOPMENT</t>
  </si>
  <si>
    <t>CULTURE,GENDER,YOUTH AND SPORTS</t>
  </si>
  <si>
    <t>1. CULTURE
2. GENDER
3. YOUTH AND SPORTS</t>
  </si>
  <si>
    <t>1. ROADS
2. TRANSPORT  
3. PUBLIC WORKS</t>
  </si>
  <si>
    <t>1. LANDS
2. PHYSICAL PLANNING 
3. URBAN DEVELOPMENT</t>
  </si>
  <si>
    <t>1. ECDE
2. Vocational
3. INFORMATION and Library Services
4. ICT</t>
  </si>
  <si>
    <t>HEALTH</t>
  </si>
  <si>
    <t>1. FINANCE 
2. ECONOMIC PLANNING</t>
  </si>
  <si>
    <t>Wards</t>
  </si>
  <si>
    <t>Wards Separate</t>
  </si>
  <si>
    <t>Villages</t>
  </si>
  <si>
    <t>G</t>
  </si>
  <si>
    <t>H</t>
  </si>
  <si>
    <t>Garissa Township</t>
  </si>
  <si>
    <t>Waberi, Galbet, Township, Iftin</t>
  </si>
  <si>
    <t>BALAMBALA</t>
  </si>
  <si>
    <t>Balambala, Danyere, Jarajara, Saka, Sankuri</t>
  </si>
  <si>
    <t>BURADANSA</t>
  </si>
  <si>
    <t>Hulugho, Sangailu, Ijara, Masalani</t>
  </si>
  <si>
    <t>DUJIS</t>
  </si>
  <si>
    <t>Bura, Dekaharia, Jarajila, Fafi, Nanighi</t>
  </si>
  <si>
    <t>SHIDLE</t>
  </si>
  <si>
    <t>Dertu, Dadaab, Labasigale, Damajale, Liboi, Abakaile</t>
  </si>
  <si>
    <t>JARAJARA</t>
  </si>
  <si>
    <t>Modogashe, Benane, Goreale, Maalimin, Sabena, Baraki</t>
  </si>
  <si>
    <t>KONE</t>
  </si>
  <si>
    <t>OHIO</t>
  </si>
  <si>
    <t>ABDIGAB</t>
  </si>
  <si>
    <t>ASHADIN</t>
  </si>
  <si>
    <t>DANYERE</t>
  </si>
  <si>
    <t>Sangailu</t>
  </si>
  <si>
    <t>URGAAD</t>
  </si>
  <si>
    <t>LIBAHLOW</t>
  </si>
  <si>
    <t>Dekaharia</t>
  </si>
  <si>
    <t>DOGOB</t>
  </si>
  <si>
    <t>MUDEY</t>
  </si>
  <si>
    <t>SAKA</t>
  </si>
  <si>
    <t>DALEY</t>
  </si>
  <si>
    <t>KASHA</t>
  </si>
  <si>
    <t>DABELEY</t>
  </si>
  <si>
    <t>KUNO</t>
  </si>
  <si>
    <t>HADLEY</t>
  </si>
  <si>
    <t>SAKA JUNCTION</t>
  </si>
  <si>
    <t>Goreale</t>
  </si>
  <si>
    <t>DADAAB</t>
  </si>
  <si>
    <t>ABAKAILE</t>
  </si>
  <si>
    <t>ALANGO ARBA</t>
  </si>
  <si>
    <t>ALIKUNE</t>
  </si>
  <si>
    <t>DAGAHALEY</t>
  </si>
  <si>
    <t>KUMAHUMATO</t>
  </si>
  <si>
    <t>LABISIGALE</t>
  </si>
  <si>
    <t>WELHAR</t>
  </si>
  <si>
    <t>MATHAGIS</t>
  </si>
  <si>
    <t>DERTU</t>
  </si>
  <si>
    <t>DAMAJALE</t>
  </si>
  <si>
    <t>KOKAR</t>
  </si>
  <si>
    <t>KULAN</t>
  </si>
  <si>
    <t>LIBOI</t>
  </si>
  <si>
    <t>HARHAR</t>
  </si>
  <si>
    <t>FAFI</t>
  </si>
  <si>
    <t>BURA</t>
  </si>
  <si>
    <t>JAMBELE</t>
  </si>
  <si>
    <t>GUYO</t>
  </si>
  <si>
    <t>KAMUTHE</t>
  </si>
  <si>
    <t>WARABLE</t>
  </si>
  <si>
    <t>MANSABUBU</t>
  </si>
  <si>
    <t>GARASWEINO</t>
  </si>
  <si>
    <t>NANIGHI</t>
  </si>
  <si>
    <t>ABAQDERA</t>
  </si>
  <si>
    <t>GALMAGALA</t>
  </si>
  <si>
    <t>BULLAGOLOL</t>
  </si>
  <si>
    <t>HAJIJIMAY</t>
  </si>
  <si>
    <t>DOI</t>
  </si>
  <si>
    <t>MARERKADER</t>
  </si>
  <si>
    <t>GUBIS</t>
  </si>
  <si>
    <t>DEKAHARJA</t>
  </si>
  <si>
    <t>JARAJILA</t>
  </si>
  <si>
    <t>ALINJUGUR</t>
  </si>
  <si>
    <t>AMUMA</t>
  </si>
  <si>
    <t>HAGADERA</t>
  </si>
  <si>
    <t>RUQA</t>
  </si>
  <si>
    <t>WELMERER</t>
  </si>
  <si>
    <t>YUMBIS</t>
  </si>
  <si>
    <t>CENTRAL</t>
  </si>
  <si>
    <t>TOWNSHIP</t>
  </si>
  <si>
    <t>GALBET</t>
  </si>
  <si>
    <t>IFTIN EAST</t>
  </si>
  <si>
    <t>IFTIN WEST</t>
  </si>
  <si>
    <t>MADINA</t>
  </si>
  <si>
    <t>MADINA EAST</t>
  </si>
  <si>
    <t>MADINA WEST</t>
  </si>
  <si>
    <t>MODIKA</t>
  </si>
  <si>
    <t>WABERI EAST</t>
  </si>
  <si>
    <t>WABERI WEST</t>
  </si>
  <si>
    <t>TAWAKAL</t>
  </si>
  <si>
    <t>KORAKORA</t>
  </si>
  <si>
    <t>BOURALGY</t>
  </si>
  <si>
    <t>JARRIOT</t>
  </si>
  <si>
    <t>ELDERT</t>
  </si>
  <si>
    <t>SANKURI</t>
  </si>
  <si>
    <t>ABDISAMIT</t>
  </si>
  <si>
    <t>LAAGO</t>
  </si>
  <si>
    <t>OWLIYA</t>
  </si>
  <si>
    <t>RAYA</t>
  </si>
  <si>
    <t>ATHEYLEY</t>
  </si>
  <si>
    <t>BALICH</t>
  </si>
  <si>
    <t>DOLOLO</t>
  </si>
  <si>
    <t>SHABAH</t>
  </si>
  <si>
    <t>SHITLE</t>
  </si>
  <si>
    <t>SHIMBIREY</t>
  </si>
  <si>
    <t>HULUGHO</t>
  </si>
  <si>
    <t>BODHAI</t>
  </si>
  <si>
    <t>JALISH</t>
  </si>
  <si>
    <t>BULTOHAMA</t>
  </si>
  <si>
    <t>FALAMA</t>
  </si>
  <si>
    <t>BOMA</t>
  </si>
  <si>
    <t>ELKAMBERE</t>
  </si>
  <si>
    <t>KURDE</t>
  </si>
  <si>
    <t>SARIRA</t>
  </si>
  <si>
    <t>GARABEY</t>
  </si>
  <si>
    <t>SINAI</t>
  </si>
  <si>
    <t>GESIREB</t>
  </si>
  <si>
    <t>HADI</t>
  </si>
  <si>
    <t>IRE</t>
  </si>
  <si>
    <t>JILOMATA</t>
  </si>
  <si>
    <t>KORAN HINDI</t>
  </si>
  <si>
    <t>MUFTU</t>
  </si>
  <si>
    <t>TUMTISH</t>
  </si>
  <si>
    <t>WARDEIJAB</t>
  </si>
  <si>
    <t>SANGAILU</t>
  </si>
  <si>
    <t>EGE</t>
  </si>
  <si>
    <t>GEDILUN</t>
  </si>
  <si>
    <t>HANDARO</t>
  </si>
  <si>
    <t>SABENAL</t>
  </si>
  <si>
    <t>MARE</t>
  </si>
  <si>
    <t>MATAARBA</t>
  </si>
  <si>
    <t>WAKAB-HAREY</t>
  </si>
  <si>
    <t>IJARA</t>
  </si>
  <si>
    <t>BULA GOLOL</t>
  </si>
  <si>
    <t>WARDEGOGA</t>
  </si>
  <si>
    <t>BULLA WACHA</t>
  </si>
  <si>
    <t>SANGOLE</t>
  </si>
  <si>
    <t>ABALATIRO</t>
  </si>
  <si>
    <t>KORISA</t>
  </si>
  <si>
    <t>BULA WARIDE</t>
  </si>
  <si>
    <t>KOTILLE</t>
  </si>
  <si>
    <t>MASALANI</t>
  </si>
  <si>
    <t>GABABA</t>
  </si>
  <si>
    <t>ABDI GURE</t>
  </si>
  <si>
    <t>GUMAREY</t>
  </si>
  <si>
    <t>HARA</t>
  </si>
  <si>
    <t>QARMADHA</t>
  </si>
  <si>
    <t>RAHMA</t>
  </si>
  <si>
    <t>M. DAHIR</t>
  </si>
  <si>
    <t>TORABORA</t>
  </si>
  <si>
    <t>BULA HAJI</t>
  </si>
  <si>
    <t>GERILLE</t>
  </si>
  <si>
    <t>WARSAME</t>
  </si>
  <si>
    <t>LAGDERA</t>
  </si>
  <si>
    <t>BENANE</t>
  </si>
  <si>
    <t>HAGARJERER</t>
  </si>
  <si>
    <t>ELDERE</t>
  </si>
  <si>
    <t>ALI SAGAR</t>
  </si>
  <si>
    <t>BULLO</t>
  </si>
  <si>
    <t>TOKOJO</t>
  </si>
  <si>
    <t>MODOGASHE</t>
  </si>
  <si>
    <t>BARKUKE</t>
  </si>
  <si>
    <t>GARSE</t>
  </si>
  <si>
    <t>ILAN</t>
  </si>
  <si>
    <t>MAALIMIN</t>
  </si>
  <si>
    <t>DIHILE</t>
  </si>
  <si>
    <t>WAYAMAJIBRIL</t>
  </si>
  <si>
    <t>JANJU</t>
  </si>
  <si>
    <t>JILANGO</t>
  </si>
  <si>
    <t>SHANT ABAQ</t>
  </si>
  <si>
    <t>AFWEIN</t>
  </si>
  <si>
    <t>BARAKI</t>
  </si>
  <si>
    <t>GOREAL</t>
  </si>
  <si>
    <t>GURUFA</t>
  </si>
  <si>
    <t>CHERON</t>
  </si>
  <si>
    <t>SHANT ABAK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</si>
</sst>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 #,##0.00_-;_-* &quot;-&quot;??_-;_-@"/>
  </numFmts>
  <fonts count="16">
    <font>
      <sz val="11.0"/>
      <color rgb="FF000000"/>
      <name val="Calibri"/>
      <scheme val="minor"/>
    </font>
    <font>
      <b/>
      <u/>
      <sz val="14.0"/>
      <color theme="1"/>
      <name val="Calibri"/>
    </font>
    <font/>
    <font>
      <sz val="11.0"/>
      <color theme="1"/>
      <name val="Calibri"/>
    </font>
    <font>
      <sz val="11.0"/>
      <color rgb="FFFF0000"/>
      <name val="Calibri"/>
    </font>
    <font>
      <sz val="13.0"/>
      <color theme="1"/>
      <name val="Calibri"/>
    </font>
    <font>
      <b/>
      <sz val="8.0"/>
      <color theme="1"/>
      <name val="Candara"/>
    </font>
    <font>
      <sz val="8.0"/>
      <color theme="1"/>
      <name val="Candara"/>
    </font>
    <font>
      <sz val="8.0"/>
      <color rgb="FFFF0000"/>
      <name val="Candara"/>
    </font>
    <font>
      <b/>
      <sz val="11.0"/>
      <color theme="1"/>
      <name val="Calibri"/>
    </font>
    <font>
      <b/>
      <sz val="11.0"/>
      <color rgb="FF1B1C1D"/>
      <name val="Arial"/>
    </font>
    <font>
      <sz val="11.0"/>
      <color rgb="FF1B1C1D"/>
      <name val="Arial"/>
    </font>
    <font>
      <sz val="8.0"/>
      <color theme="1"/>
      <name val="Helvetica Neue"/>
    </font>
    <font>
      <b/>
      <sz val="60.0"/>
      <color rgb="FF1B1C1D"/>
      <name val="Arial"/>
    </font>
    <font>
      <b/>
      <sz val="65.0"/>
      <color theme="1"/>
      <name val="Calibri"/>
    </font>
    <font>
      <b/>
      <sz val="100.0"/>
      <color theme="1"/>
      <name val="Calibri"/>
    </font>
  </fonts>
  <fills count="14">
    <fill>
      <patternFill patternType="none"/>
    </fill>
    <fill>
      <patternFill patternType="lightGray"/>
    </fill>
    <fill>
      <patternFill patternType="solid">
        <fgColor rgb="FFFFE598"/>
        <bgColor rgb="FFFFE598"/>
      </patternFill>
    </fill>
    <fill>
      <patternFill patternType="solid">
        <fgColor theme="0"/>
        <bgColor theme="0"/>
      </patternFill>
    </fill>
    <fill>
      <patternFill patternType="solid">
        <fgColor rgb="FFED7D31"/>
        <bgColor rgb="FFED7D31"/>
      </patternFill>
    </fill>
    <fill>
      <patternFill patternType="solid">
        <fgColor rgb="FFD9E2F3"/>
        <bgColor rgb="FFD9E2F3"/>
      </patternFill>
    </fill>
    <fill>
      <patternFill patternType="solid">
        <fgColor rgb="FFB4C6E7"/>
        <bgColor rgb="FFB4C6E7"/>
      </patternFill>
    </fill>
    <fill>
      <patternFill patternType="solid">
        <fgColor rgb="FFFF0000"/>
        <bgColor rgb="FFFF0000"/>
      </patternFill>
    </fill>
    <fill>
      <patternFill patternType="solid">
        <fgColor rgb="FFFFFF00"/>
        <bgColor rgb="FFFFFF00"/>
      </patternFill>
    </fill>
    <fill>
      <patternFill patternType="solid">
        <fgColor theme="8"/>
        <bgColor theme="8"/>
      </patternFill>
    </fill>
    <fill>
      <patternFill patternType="solid">
        <fgColor rgb="FF9900FF"/>
        <bgColor rgb="FF9900FF"/>
      </patternFill>
    </fill>
    <fill>
      <patternFill patternType="solid">
        <fgColor rgb="FF00FF00"/>
        <bgColor rgb="FF00FF00"/>
      </patternFill>
    </fill>
    <fill>
      <patternFill patternType="solid">
        <fgColor rgb="FFA64D79"/>
        <bgColor rgb="FFA64D79"/>
      </patternFill>
    </fill>
    <fill>
      <patternFill patternType="solid">
        <fgColor rgb="FF666666"/>
        <bgColor rgb="FF666666"/>
      </patternFill>
    </fill>
  </fills>
  <borders count="30">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top style="thin">
        <color rgb="FF963500"/>
      </top>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2" fillId="0" fontId="3" numFmtId="0" xfId="0" applyBorder="1" applyFont="1"/>
    <xf borderId="2" fillId="0" fontId="4" numFmtId="0" xfId="0" applyBorder="1" applyFont="1"/>
    <xf borderId="4" fillId="0" fontId="5" numFmtId="0" xfId="0" applyAlignment="1" applyBorder="1" applyFont="1">
      <alignment horizontal="center" shrinkToFit="0" vertical="center" wrapText="1"/>
    </xf>
    <xf borderId="5" fillId="0" fontId="2" numFmtId="0" xfId="0" applyBorder="1" applyFont="1"/>
    <xf borderId="0" fillId="0" fontId="3" numFmtId="0" xfId="0" applyFont="1"/>
    <xf borderId="0" fillId="0" fontId="4" numFmtId="0" xfId="0" applyFont="1"/>
    <xf borderId="6" fillId="0" fontId="5" numFmtId="0" xfId="0" applyAlignment="1" applyBorder="1" applyFont="1">
      <alignment horizontal="center" shrinkToFit="0" vertical="center" wrapText="1"/>
    </xf>
    <xf borderId="7" fillId="0" fontId="2" numFmtId="0" xfId="0" applyBorder="1" applyFont="1"/>
    <xf borderId="8" fillId="0" fontId="2" numFmtId="0" xfId="0" applyBorder="1" applyFont="1"/>
    <xf borderId="9" fillId="2" fontId="6" numFmtId="0" xfId="0" applyAlignment="1" applyBorder="1" applyFill="1" applyFont="1">
      <alignment horizontal="left" shrinkToFit="0" vertical="top" wrapText="1"/>
    </xf>
    <xf borderId="10" fillId="0" fontId="2" numFmtId="0" xfId="0" applyBorder="1" applyFont="1"/>
    <xf borderId="11" fillId="0" fontId="2" numFmtId="0" xfId="0" applyBorder="1" applyFont="1"/>
    <xf borderId="9" fillId="2" fontId="6" numFmtId="0" xfId="0" applyAlignment="1" applyBorder="1" applyFont="1">
      <alignment horizontal="left" vertical="top"/>
    </xf>
    <xf borderId="12" fillId="2" fontId="6" numFmtId="0" xfId="0" applyAlignment="1" applyBorder="1" applyFont="1">
      <alignment horizontal="left" shrinkToFit="0" vertical="top" wrapText="1"/>
    </xf>
    <xf borderId="12" fillId="2" fontId="6" numFmtId="9" xfId="0" applyAlignment="1" applyBorder="1" applyFont="1" applyNumberFormat="1">
      <alignment horizontal="left" shrinkToFit="0" vertical="top" wrapText="1"/>
    </xf>
    <xf borderId="12" fillId="2" fontId="6" numFmtId="164" xfId="0" applyAlignment="1" applyBorder="1" applyFont="1" applyNumberFormat="1">
      <alignment horizontal="left" shrinkToFit="0" vertical="top" wrapText="1"/>
    </xf>
    <xf borderId="12" fillId="0" fontId="7" numFmtId="0" xfId="0" applyAlignment="1" applyBorder="1" applyFont="1">
      <alignment horizontal="left" vertical="top"/>
    </xf>
    <xf borderId="0" fillId="0" fontId="7" numFmtId="0" xfId="0" applyAlignment="1" applyFont="1">
      <alignment horizontal="left"/>
    </xf>
    <xf borderId="12" fillId="0" fontId="7" numFmtId="14" xfId="0" applyAlignment="1" applyBorder="1" applyFont="1" applyNumberFormat="1">
      <alignment horizontal="left" vertical="top"/>
    </xf>
    <xf borderId="12" fillId="0" fontId="7" numFmtId="164" xfId="0" applyAlignment="1" applyBorder="1" applyFont="1" applyNumberFormat="1">
      <alignment horizontal="left" vertical="top"/>
    </xf>
    <xf borderId="12" fillId="0" fontId="7" numFmtId="9" xfId="0" applyAlignment="1" applyBorder="1" applyFont="1" applyNumberFormat="1">
      <alignment horizontal="left" vertical="top"/>
    </xf>
    <xf borderId="12" fillId="0" fontId="8" numFmtId="164" xfId="0" applyAlignment="1" applyBorder="1" applyFont="1" applyNumberFormat="1">
      <alignment horizontal="left" vertical="top"/>
    </xf>
    <xf borderId="12" fillId="0" fontId="8" numFmtId="0" xfId="0" applyAlignment="1" applyBorder="1" applyFont="1">
      <alignment horizontal="left" vertical="top"/>
    </xf>
    <xf borderId="12" fillId="3" fontId="7" numFmtId="0" xfId="0" applyAlignment="1" applyBorder="1" applyFill="1" applyFont="1">
      <alignment horizontal="left" vertical="top"/>
    </xf>
    <xf borderId="12" fillId="3" fontId="7" numFmtId="164" xfId="0" applyAlignment="1" applyBorder="1" applyFont="1" applyNumberFormat="1">
      <alignment horizontal="left" vertical="top"/>
    </xf>
    <xf borderId="12" fillId="0" fontId="7" numFmtId="0" xfId="0" applyAlignment="1" applyBorder="1" applyFont="1">
      <alignment horizontal="left"/>
    </xf>
    <xf borderId="12" fillId="0" fontId="7" numFmtId="164" xfId="0" applyAlignment="1" applyBorder="1" applyFont="1" applyNumberFormat="1">
      <alignment horizontal="left"/>
    </xf>
    <xf borderId="12" fillId="3" fontId="7" numFmtId="0" xfId="0" applyAlignment="1" applyBorder="1" applyFont="1">
      <alignment horizontal="left"/>
    </xf>
    <xf borderId="12" fillId="3" fontId="7" numFmtId="164" xfId="0" applyAlignment="1" applyBorder="1" applyFont="1" applyNumberFormat="1">
      <alignment horizontal="left"/>
    </xf>
    <xf borderId="12" fillId="0" fontId="7" numFmtId="0" xfId="0" applyAlignment="1" applyBorder="1" applyFont="1">
      <alignment horizontal="left" readingOrder="0" vertical="top"/>
    </xf>
    <xf borderId="12" fillId="0" fontId="7" numFmtId="4" xfId="0" applyAlignment="1" applyBorder="1" applyFont="1" applyNumberFormat="1">
      <alignment horizontal="left"/>
    </xf>
    <xf borderId="12" fillId="0" fontId="8" numFmtId="4" xfId="0" applyAlignment="1" applyBorder="1" applyFont="1" applyNumberFormat="1">
      <alignment horizontal="left" vertical="top"/>
    </xf>
    <xf borderId="12" fillId="0" fontId="7" numFmtId="0" xfId="0" applyAlignment="1" applyBorder="1" applyFont="1">
      <alignment horizontal="left" shrinkToFit="0" vertical="top" wrapText="1"/>
    </xf>
    <xf borderId="12" fillId="0" fontId="7" numFmtId="0" xfId="0" applyAlignment="1" applyBorder="1" applyFont="1">
      <alignment horizontal="left" shrinkToFit="0" wrapText="1"/>
    </xf>
    <xf borderId="12" fillId="0" fontId="7" numFmtId="4" xfId="0" applyAlignment="1" applyBorder="1" applyFont="1" applyNumberFormat="1">
      <alignment horizontal="left" vertical="top"/>
    </xf>
    <xf borderId="12" fillId="3" fontId="7" numFmtId="4" xfId="0" applyAlignment="1" applyBorder="1" applyFont="1" applyNumberFormat="1">
      <alignment horizontal="left"/>
    </xf>
    <xf borderId="12" fillId="0" fontId="7" numFmtId="0" xfId="0" applyAlignment="1" applyBorder="1" applyFont="1">
      <alignment horizontal="left" readingOrder="0"/>
    </xf>
    <xf borderId="13" fillId="0" fontId="6" numFmtId="0" xfId="0" applyAlignment="1" applyBorder="1" applyFont="1">
      <alignment shrinkToFit="0" vertical="top" wrapText="1"/>
    </xf>
    <xf borderId="14" fillId="0" fontId="6" numFmtId="0" xfId="0" applyAlignment="1" applyBorder="1" applyFont="1">
      <alignment shrinkToFit="0" vertical="top" wrapText="1"/>
    </xf>
    <xf borderId="15" fillId="0" fontId="6" numFmtId="0" xfId="0" applyAlignment="1" applyBorder="1" applyFont="1">
      <alignment shrinkToFit="0" vertical="top" wrapText="1"/>
    </xf>
    <xf borderId="0" fillId="0" fontId="6" numFmtId="0" xfId="0" applyFont="1"/>
    <xf borderId="0" fillId="0" fontId="7" numFmtId="0" xfId="0" applyFont="1"/>
    <xf borderId="16" fillId="0" fontId="7" numFmtId="0" xfId="0" applyAlignment="1" applyBorder="1" applyFont="1">
      <alignment shrinkToFit="0" wrapText="1"/>
    </xf>
    <xf borderId="17" fillId="0" fontId="7" numFmtId="0" xfId="0" applyAlignment="1" applyBorder="1" applyFont="1">
      <alignment shrinkToFit="0" wrapText="1"/>
    </xf>
    <xf borderId="17" fillId="0" fontId="7" numFmtId="14" xfId="0" applyAlignment="1" applyBorder="1" applyFont="1" applyNumberFormat="1">
      <alignment shrinkToFit="0" wrapText="1"/>
    </xf>
    <xf borderId="17" fillId="0" fontId="7" numFmtId="164" xfId="0" applyAlignment="1" applyBorder="1" applyFont="1" applyNumberFormat="1">
      <alignment shrinkToFit="0" wrapText="1"/>
    </xf>
    <xf borderId="18" fillId="0" fontId="7" numFmtId="0" xfId="0" applyAlignment="1" applyBorder="1" applyFont="1">
      <alignment shrinkToFit="0" wrapText="1"/>
    </xf>
    <xf borderId="19" fillId="0" fontId="7" numFmtId="0" xfId="0" applyAlignment="1" applyBorder="1" applyFont="1">
      <alignment shrinkToFit="0" wrapText="1"/>
    </xf>
    <xf borderId="20" fillId="0" fontId="6" numFmtId="0" xfId="0" applyBorder="1" applyFont="1"/>
    <xf borderId="21" fillId="0" fontId="7" numFmtId="0" xfId="0" applyBorder="1" applyFont="1"/>
    <xf borderId="22" fillId="0" fontId="7" numFmtId="0" xfId="0" applyBorder="1" applyFont="1"/>
    <xf borderId="0" fillId="0" fontId="8" numFmtId="0" xfId="0" applyFont="1"/>
    <xf borderId="0" fillId="0" fontId="7" numFmtId="9" xfId="0" applyFont="1" applyNumberFormat="1"/>
    <xf borderId="23" fillId="0" fontId="6" numFmtId="0" xfId="0" applyBorder="1" applyFont="1"/>
    <xf borderId="24" fillId="0" fontId="7" numFmtId="0" xfId="0" applyBorder="1" applyFont="1"/>
    <xf borderId="23" fillId="0" fontId="7" numFmtId="0" xfId="0" applyBorder="1" applyFont="1"/>
    <xf borderId="25" fillId="0" fontId="6" numFmtId="0" xfId="0" applyBorder="1" applyFont="1"/>
    <xf borderId="26" fillId="0" fontId="7" numFmtId="0" xfId="0" applyBorder="1" applyFont="1"/>
    <xf borderId="27" fillId="0" fontId="7" numFmtId="0" xfId="0" applyBorder="1" applyFont="1"/>
    <xf borderId="28" fillId="4" fontId="3" numFmtId="0" xfId="0" applyBorder="1" applyFill="1" applyFont="1"/>
    <xf borderId="28" fillId="5" fontId="3" numFmtId="0" xfId="0" applyBorder="1" applyFill="1" applyFont="1"/>
    <xf borderId="28" fillId="5" fontId="3" numFmtId="0" xfId="0" applyAlignment="1" applyBorder="1" applyFont="1">
      <alignment shrinkToFit="0" wrapText="1"/>
    </xf>
    <xf borderId="28" fillId="6" fontId="3" numFmtId="0" xfId="0" applyBorder="1" applyFill="1" applyFont="1"/>
    <xf borderId="28" fillId="6" fontId="3" numFmtId="0" xfId="0" applyAlignment="1" applyBorder="1" applyFont="1">
      <alignment shrinkToFit="0" wrapText="1"/>
    </xf>
    <xf borderId="12" fillId="0" fontId="9" numFmtId="0" xfId="0" applyAlignment="1" applyBorder="1" applyFont="1">
      <alignment horizontal="center" vertical="top"/>
    </xf>
    <xf borderId="0" fillId="0" fontId="9" numFmtId="0" xfId="0" applyFont="1"/>
    <xf borderId="0" fillId="0" fontId="10" numFmtId="0" xfId="0" applyFont="1"/>
    <xf borderId="0" fillId="0" fontId="11" numFmtId="0" xfId="0" applyFont="1"/>
    <xf borderId="12" fillId="0" fontId="3" numFmtId="0" xfId="0" applyBorder="1" applyFont="1"/>
    <xf borderId="0" fillId="0" fontId="12" numFmtId="0" xfId="0" applyAlignment="1" applyFont="1">
      <alignment horizontal="center" vertical="top"/>
    </xf>
    <xf borderId="0" fillId="7" fontId="13" numFmtId="0" xfId="0" applyAlignment="1" applyFill="1" applyFont="1">
      <alignment horizontal="center" textRotation="90"/>
    </xf>
    <xf borderId="0" fillId="8" fontId="14" numFmtId="0" xfId="0" applyAlignment="1" applyFill="1" applyFont="1">
      <alignment horizontal="center" textRotation="90"/>
    </xf>
    <xf borderId="29" fillId="0" fontId="12" numFmtId="0" xfId="0" applyAlignment="1" applyBorder="1" applyFont="1">
      <alignment horizontal="center" vertical="top"/>
    </xf>
    <xf borderId="0" fillId="9" fontId="15" numFmtId="0" xfId="0" applyAlignment="1" applyFill="1" applyFont="1">
      <alignment horizontal="center" textRotation="90"/>
    </xf>
    <xf borderId="0" fillId="10" fontId="15" numFmtId="0" xfId="0" applyAlignment="1" applyFill="1" applyFont="1">
      <alignment horizontal="center" textRotation="90"/>
    </xf>
    <xf borderId="0" fillId="11" fontId="15" numFmtId="0" xfId="0" applyAlignment="1" applyFill="1" applyFont="1">
      <alignment textRotation="90"/>
    </xf>
    <xf borderId="0" fillId="12" fontId="15" numFmtId="0" xfId="0" applyAlignment="1" applyFill="1" applyFont="1">
      <alignment textRotation="90"/>
    </xf>
    <xf borderId="0" fillId="13" fontId="15" numFmtId="0" xfId="0" applyAlignment="1" applyFill="1" applyFont="1">
      <alignment textRotation="90"/>
    </xf>
  </cellXfs>
  <cellStyles count="1">
    <cellStyle xfId="0" name="Normal" builtinId="0"/>
  </cellStyles>
  <dxfs count="4">
    <dxf>
      <font/>
      <fill>
        <patternFill patternType="none"/>
      </fill>
      <border/>
    </dxf>
    <dxf>
      <font/>
      <fill>
        <patternFill patternType="solid">
          <fgColor theme="5"/>
          <bgColor theme="5"/>
        </patternFill>
      </fill>
      <border/>
    </dxf>
    <dxf>
      <font/>
      <fill>
        <patternFill patternType="solid">
          <fgColor rgb="FFD9E2F3"/>
          <bgColor rgb="FFD9E2F3"/>
        </patternFill>
      </fill>
      <border/>
    </dxf>
    <dxf>
      <font/>
      <fill>
        <patternFill patternType="solid">
          <fgColor rgb="FFB4C6E7"/>
          <bgColor rgb="FFB4C6E7"/>
        </patternFill>
      </fill>
      <border/>
    </dxf>
  </dxfs>
  <tableStyles count="1">
    <tableStyle count="3" pivot="0" name="Departmen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20" displayName="Table_1" name="Table_1" id="1">
  <tableColumns count="3">
    <tableColumn name="Department_ID" id="1"/>
    <tableColumn name="Department_Name" id="2"/>
    <tableColumn name="Directorate_Name" id="3"/>
  </tableColumns>
  <tableStyleInfo name="Departmen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66.43"/>
    <col customWidth="1" min="6" max="21" width="8.71"/>
  </cols>
  <sheetData>
    <row r="1" ht="15.0" customHeight="1">
      <c r="A1" s="1" t="s">
        <v>0</v>
      </c>
      <c r="B1" s="2"/>
      <c r="C1" s="2"/>
      <c r="D1" s="2"/>
      <c r="E1" s="3"/>
      <c r="F1" s="4"/>
      <c r="G1" s="4"/>
      <c r="H1" s="4"/>
      <c r="I1" s="4"/>
      <c r="J1" s="4"/>
      <c r="K1" s="4"/>
      <c r="L1" s="4"/>
      <c r="M1" s="5"/>
      <c r="N1" s="5"/>
      <c r="O1" s="4"/>
      <c r="P1" s="4"/>
      <c r="Q1" s="4"/>
      <c r="R1" s="4"/>
      <c r="S1" s="4"/>
      <c r="T1" s="4"/>
      <c r="U1" s="4"/>
    </row>
    <row r="2" ht="42.75" customHeight="1">
      <c r="A2" s="6" t="s">
        <v>1</v>
      </c>
      <c r="E2" s="7"/>
      <c r="F2" s="8"/>
      <c r="G2" s="8"/>
      <c r="H2" s="8"/>
      <c r="I2" s="8"/>
      <c r="J2" s="8"/>
      <c r="K2" s="8"/>
      <c r="L2" s="8"/>
      <c r="M2" s="9"/>
      <c r="N2" s="9"/>
      <c r="O2" s="8"/>
      <c r="P2" s="8"/>
      <c r="Q2" s="8"/>
      <c r="R2" s="8"/>
      <c r="S2" s="8"/>
      <c r="T2" s="8"/>
      <c r="U2" s="8"/>
    </row>
    <row r="3" ht="40.5" customHeight="1">
      <c r="A3" s="6" t="s">
        <v>2</v>
      </c>
      <c r="E3" s="7"/>
      <c r="F3" s="8"/>
      <c r="G3" s="8"/>
      <c r="H3" s="8"/>
      <c r="I3" s="8"/>
      <c r="J3" s="8"/>
      <c r="K3" s="8"/>
      <c r="L3" s="8"/>
      <c r="M3" s="9"/>
      <c r="N3" s="9"/>
      <c r="O3" s="8"/>
      <c r="P3" s="8"/>
      <c r="Q3" s="8"/>
      <c r="R3" s="8"/>
      <c r="S3" s="8"/>
      <c r="T3" s="8"/>
      <c r="U3" s="8"/>
    </row>
    <row r="4" ht="46.5" customHeight="1">
      <c r="A4" s="6" t="s">
        <v>3</v>
      </c>
      <c r="E4" s="7"/>
      <c r="F4" s="8"/>
      <c r="G4" s="8"/>
      <c r="H4" s="8"/>
      <c r="I4" s="8"/>
      <c r="J4" s="8"/>
      <c r="K4" s="8"/>
      <c r="L4" s="8"/>
      <c r="M4" s="9"/>
      <c r="N4" s="9"/>
      <c r="O4" s="8"/>
      <c r="P4" s="8"/>
      <c r="Q4" s="8"/>
      <c r="R4" s="8"/>
      <c r="S4" s="8"/>
      <c r="T4" s="8"/>
      <c r="U4" s="8"/>
    </row>
    <row r="5" ht="46.5" customHeight="1">
      <c r="A5" s="6" t="s">
        <v>4</v>
      </c>
      <c r="E5" s="7"/>
      <c r="F5" s="8"/>
      <c r="G5" s="8"/>
      <c r="H5" s="8"/>
      <c r="I5" s="8"/>
      <c r="J5" s="8"/>
      <c r="K5" s="8"/>
      <c r="L5" s="8"/>
      <c r="M5" s="9"/>
      <c r="N5" s="9"/>
      <c r="O5" s="8"/>
      <c r="P5" s="8"/>
      <c r="Q5" s="8"/>
      <c r="R5" s="8"/>
      <c r="S5" s="8"/>
      <c r="T5" s="8"/>
      <c r="U5" s="8"/>
    </row>
    <row r="6" ht="54.0" customHeight="1">
      <c r="A6" s="10" t="s">
        <v>5</v>
      </c>
      <c r="B6" s="11"/>
      <c r="C6" s="11"/>
      <c r="D6" s="11"/>
      <c r="E6" s="12"/>
      <c r="F6" s="8"/>
      <c r="G6" s="8"/>
      <c r="H6" s="8"/>
      <c r="I6" s="8"/>
      <c r="J6" s="8"/>
      <c r="K6" s="8"/>
      <c r="L6" s="8"/>
      <c r="M6" s="9"/>
      <c r="N6" s="9"/>
      <c r="O6" s="8"/>
      <c r="P6" s="8"/>
      <c r="Q6" s="8"/>
      <c r="R6" s="8"/>
      <c r="S6" s="9"/>
      <c r="T6" s="9"/>
      <c r="U6" s="8"/>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E1"/>
    <mergeCell ref="A2:E2"/>
    <mergeCell ref="A3:E3"/>
    <mergeCell ref="A4:E4"/>
    <mergeCell ref="A5:E5"/>
    <mergeCell ref="A6:E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7.86"/>
    <col customWidth="1" min="2" max="2" width="100.57"/>
    <col customWidth="1" hidden="1" min="3" max="5" width="16.57"/>
    <col customWidth="1" hidden="1" min="6" max="7" width="18.71"/>
    <col customWidth="1" min="8" max="8" width="15.71"/>
    <col customWidth="1" min="9" max="9" width="14.0"/>
    <col customWidth="1" min="10" max="10" width="24.0"/>
    <col customWidth="1" min="11" max="11" width="46.43"/>
    <col customWidth="1" min="12" max="12" width="55.86"/>
    <col customWidth="1" min="13" max="13" width="53.86"/>
    <col customWidth="1" min="14" max="14" width="23.29"/>
    <col customWidth="1" min="15" max="15" width="27.14"/>
    <col customWidth="1" min="16" max="17" width="24.43"/>
    <col customWidth="1" min="18" max="20" width="28.71"/>
    <col customWidth="1" min="21" max="21" width="24.43"/>
    <col customWidth="1" min="22" max="22" width="24.0"/>
    <col customWidth="1" min="23" max="23" width="23.71"/>
    <col customWidth="1" min="24" max="24" width="25.29"/>
    <col customWidth="1" min="25" max="31" width="19.57"/>
    <col customWidth="1" min="32" max="33" width="22.0"/>
    <col customWidth="1" min="34" max="34" width="18.43"/>
    <col customWidth="1" min="35" max="35" width="20.43"/>
    <col customWidth="1" min="36" max="37" width="33.86"/>
    <col customWidth="1" min="38" max="38" width="28.43"/>
    <col customWidth="1" min="39" max="39" width="30.71"/>
    <col customWidth="1" min="40" max="46" width="19.57"/>
  </cols>
  <sheetData>
    <row r="1">
      <c r="A1" s="13" t="s">
        <v>6</v>
      </c>
      <c r="B1" s="14"/>
      <c r="C1" s="14"/>
      <c r="D1" s="14"/>
      <c r="E1" s="14"/>
      <c r="F1" s="14"/>
      <c r="G1" s="15"/>
      <c r="H1" s="13" t="s">
        <v>7</v>
      </c>
      <c r="I1" s="14"/>
      <c r="J1" s="15"/>
      <c r="K1" s="13" t="s">
        <v>8</v>
      </c>
      <c r="L1" s="14"/>
      <c r="M1" s="14"/>
      <c r="N1" s="14"/>
      <c r="O1" s="14"/>
      <c r="P1" s="14"/>
      <c r="Q1" s="15"/>
      <c r="R1" s="16" t="s">
        <v>9</v>
      </c>
      <c r="S1" s="14"/>
      <c r="T1" s="14"/>
      <c r="U1" s="14"/>
      <c r="V1" s="15"/>
      <c r="W1" s="16" t="s">
        <v>10</v>
      </c>
      <c r="X1" s="14"/>
      <c r="Y1" s="14"/>
      <c r="Z1" s="15"/>
      <c r="AA1" s="16" t="s">
        <v>11</v>
      </c>
      <c r="AB1" s="14"/>
      <c r="AC1" s="15"/>
      <c r="AD1" s="16" t="s">
        <v>12</v>
      </c>
      <c r="AE1" s="14"/>
      <c r="AF1" s="15"/>
      <c r="AG1" s="16" t="s">
        <v>13</v>
      </c>
      <c r="AH1" s="14"/>
      <c r="AI1" s="14"/>
      <c r="AJ1" s="15"/>
      <c r="AK1" s="16" t="s">
        <v>14</v>
      </c>
      <c r="AL1" s="14"/>
      <c r="AM1" s="15"/>
      <c r="AN1" s="13" t="s">
        <v>15</v>
      </c>
      <c r="AO1" s="15"/>
      <c r="AP1" s="13" t="s">
        <v>16</v>
      </c>
      <c r="AQ1" s="15"/>
      <c r="AR1" s="13" t="s">
        <v>17</v>
      </c>
      <c r="AS1" s="15"/>
      <c r="AT1" s="17" t="s">
        <v>18</v>
      </c>
    </row>
    <row r="2">
      <c r="A2" s="17" t="s">
        <v>19</v>
      </c>
      <c r="B2" s="17" t="s">
        <v>20</v>
      </c>
      <c r="C2" s="17" t="s">
        <v>21</v>
      </c>
      <c r="D2" s="17" t="s">
        <v>22</v>
      </c>
      <c r="E2" s="17" t="s">
        <v>23</v>
      </c>
      <c r="F2" s="17" t="s">
        <v>24</v>
      </c>
      <c r="G2" s="17" t="s">
        <v>25</v>
      </c>
      <c r="H2" s="17" t="s">
        <v>26</v>
      </c>
      <c r="I2" s="17" t="s">
        <v>27</v>
      </c>
      <c r="J2" s="17" t="s">
        <v>28</v>
      </c>
      <c r="K2" s="17" t="s">
        <v>29</v>
      </c>
      <c r="L2" s="17" t="s">
        <v>30</v>
      </c>
      <c r="M2" s="17" t="s">
        <v>31</v>
      </c>
      <c r="N2" s="17" t="s">
        <v>32</v>
      </c>
      <c r="O2" s="17" t="s">
        <v>33</v>
      </c>
      <c r="P2" s="17" t="s">
        <v>34</v>
      </c>
      <c r="Q2" s="17" t="s">
        <v>35</v>
      </c>
      <c r="R2" s="17" t="s">
        <v>36</v>
      </c>
      <c r="S2" s="17" t="s">
        <v>37</v>
      </c>
      <c r="T2" s="17" t="s">
        <v>38</v>
      </c>
      <c r="U2" s="17" t="s">
        <v>39</v>
      </c>
      <c r="V2" s="17" t="s">
        <v>40</v>
      </c>
      <c r="W2" s="17" t="s">
        <v>41</v>
      </c>
      <c r="X2" s="17" t="s">
        <v>42</v>
      </c>
      <c r="Y2" s="17" t="s">
        <v>43</v>
      </c>
      <c r="Z2" s="18" t="s">
        <v>44</v>
      </c>
      <c r="AA2" s="17" t="s">
        <v>45</v>
      </c>
      <c r="AB2" s="17" t="s">
        <v>46</v>
      </c>
      <c r="AC2" s="17" t="s">
        <v>47</v>
      </c>
      <c r="AD2" s="17" t="s">
        <v>48</v>
      </c>
      <c r="AE2" s="17" t="s">
        <v>49</v>
      </c>
      <c r="AF2" s="17" t="s">
        <v>50</v>
      </c>
      <c r="AG2" s="17" t="s">
        <v>51</v>
      </c>
      <c r="AH2" s="17" t="s">
        <v>52</v>
      </c>
      <c r="AI2" s="17" t="s">
        <v>53</v>
      </c>
      <c r="AJ2" s="19" t="s">
        <v>54</v>
      </c>
      <c r="AK2" s="19" t="s">
        <v>55</v>
      </c>
      <c r="AL2" s="17" t="s">
        <v>56</v>
      </c>
      <c r="AM2" s="17" t="s">
        <v>57</v>
      </c>
      <c r="AN2" s="17" t="s">
        <v>58</v>
      </c>
      <c r="AO2" s="17" t="s">
        <v>59</v>
      </c>
      <c r="AP2" s="17" t="s">
        <v>60</v>
      </c>
      <c r="AQ2" s="17" t="s">
        <v>59</v>
      </c>
      <c r="AR2" s="17" t="s">
        <v>61</v>
      </c>
      <c r="AS2" s="17" t="s">
        <v>62</v>
      </c>
      <c r="AT2" s="17" t="s">
        <v>63</v>
      </c>
    </row>
    <row r="3">
      <c r="A3" s="20">
        <v>1.0</v>
      </c>
      <c r="B3" s="20" t="s">
        <v>64</v>
      </c>
      <c r="C3" s="20"/>
      <c r="D3" s="20"/>
      <c r="E3" s="20"/>
      <c r="F3" s="20"/>
      <c r="G3" s="20"/>
      <c r="H3" s="20" t="s">
        <v>65</v>
      </c>
      <c r="I3" s="21" t="s">
        <v>66</v>
      </c>
      <c r="J3" s="21"/>
      <c r="K3" s="20" t="str">
        <f t="shared" ref="K3:K868" si="1">L3</f>
        <v>Health services</v>
      </c>
      <c r="L3" s="20" t="s">
        <v>67</v>
      </c>
      <c r="M3" s="20" t="str">
        <f t="shared" ref="M3:M868" si="2">L3</f>
        <v>Health services</v>
      </c>
      <c r="N3" s="22" t="s">
        <v>68</v>
      </c>
      <c r="O3" s="22" t="s">
        <v>69</v>
      </c>
      <c r="P3" s="22" t="s">
        <v>70</v>
      </c>
      <c r="Q3" s="22" t="s">
        <v>70</v>
      </c>
      <c r="R3" s="23">
        <v>8550000.0</v>
      </c>
      <c r="S3" s="23">
        <v>8550000.0</v>
      </c>
      <c r="T3" s="23">
        <v>8550000.0</v>
      </c>
      <c r="U3" s="20" t="s">
        <v>71</v>
      </c>
      <c r="V3" s="20"/>
      <c r="W3" s="23">
        <v>8550000.0</v>
      </c>
      <c r="X3" s="20"/>
      <c r="Y3" s="23">
        <v>8550000.0</v>
      </c>
      <c r="Z3" s="24">
        <f t="shared" ref="Z3:Z868" si="3">Y3/T3</f>
        <v>1</v>
      </c>
      <c r="AA3" s="23">
        <v>8550000.0</v>
      </c>
      <c r="AB3" s="20"/>
      <c r="AC3" s="25">
        <f t="shared" ref="AC3:AC463" si="4">S3-Y3</f>
        <v>0</v>
      </c>
      <c r="AD3" s="20" t="s">
        <v>72</v>
      </c>
      <c r="AE3" s="20"/>
      <c r="AF3" s="20"/>
      <c r="AG3" s="20"/>
      <c r="AH3" s="20"/>
      <c r="AI3" s="20"/>
      <c r="AJ3" s="20"/>
      <c r="AK3" s="20"/>
      <c r="AL3" s="20"/>
      <c r="AM3" s="20"/>
      <c r="AN3" s="26"/>
      <c r="AO3" s="26"/>
      <c r="AP3" s="26"/>
      <c r="AQ3" s="26"/>
      <c r="AR3" s="26"/>
      <c r="AS3" s="26"/>
      <c r="AT3" s="26"/>
    </row>
    <row r="4">
      <c r="A4" s="20">
        <v>2.0</v>
      </c>
      <c r="B4" s="20" t="s">
        <v>73</v>
      </c>
      <c r="C4" s="20"/>
      <c r="D4" s="20"/>
      <c r="E4" s="20"/>
      <c r="F4" s="20"/>
      <c r="G4" s="20"/>
      <c r="H4" s="20" t="s">
        <v>65</v>
      </c>
      <c r="I4" s="20" t="s">
        <v>74</v>
      </c>
      <c r="J4" s="21"/>
      <c r="K4" s="20" t="str">
        <f t="shared" si="1"/>
        <v>WATER,ENVIRONMENT,CLIMATE CHANGE AND NATURAL RESOURCES</v>
      </c>
      <c r="L4" s="20" t="s">
        <v>75</v>
      </c>
      <c r="M4" s="20" t="str">
        <f t="shared" si="2"/>
        <v>WATER,ENVIRONMENT,CLIMATE CHANGE AND NATURAL RESOURCES</v>
      </c>
      <c r="N4" s="22" t="s">
        <v>68</v>
      </c>
      <c r="O4" s="22" t="s">
        <v>69</v>
      </c>
      <c r="P4" s="22" t="s">
        <v>70</v>
      </c>
      <c r="Q4" s="22" t="s">
        <v>70</v>
      </c>
      <c r="R4" s="23">
        <v>9025000.0</v>
      </c>
      <c r="S4" s="23">
        <v>9025000.0</v>
      </c>
      <c r="T4" s="23">
        <v>9025000.0</v>
      </c>
      <c r="U4" s="20" t="s">
        <v>71</v>
      </c>
      <c r="V4" s="20"/>
      <c r="W4" s="23">
        <v>9025000.0</v>
      </c>
      <c r="X4" s="20"/>
      <c r="Y4" s="23">
        <v>9025000.0</v>
      </c>
      <c r="Z4" s="24">
        <f t="shared" si="3"/>
        <v>1</v>
      </c>
      <c r="AA4" s="23">
        <v>9025000.0</v>
      </c>
      <c r="AB4" s="20"/>
      <c r="AC4" s="25">
        <f t="shared" si="4"/>
        <v>0</v>
      </c>
      <c r="AD4" s="20" t="s">
        <v>72</v>
      </c>
      <c r="AE4" s="20"/>
      <c r="AF4" s="20"/>
      <c r="AG4" s="20"/>
      <c r="AH4" s="20"/>
      <c r="AI4" s="20"/>
      <c r="AJ4" s="20"/>
      <c r="AK4" s="20"/>
      <c r="AL4" s="20"/>
      <c r="AM4" s="20"/>
      <c r="AN4" s="26"/>
      <c r="AO4" s="26"/>
      <c r="AP4" s="26"/>
      <c r="AQ4" s="26"/>
      <c r="AR4" s="26"/>
      <c r="AS4" s="26"/>
      <c r="AT4" s="26"/>
    </row>
    <row r="5">
      <c r="A5" s="20">
        <v>3.0</v>
      </c>
      <c r="B5" s="20" t="s">
        <v>76</v>
      </c>
      <c r="C5" s="20"/>
      <c r="D5" s="20"/>
      <c r="E5" s="20"/>
      <c r="F5" s="20"/>
      <c r="G5" s="20"/>
      <c r="H5" s="20" t="s">
        <v>77</v>
      </c>
      <c r="I5" s="21" t="s">
        <v>78</v>
      </c>
      <c r="J5" s="21"/>
      <c r="K5" s="20" t="str">
        <f t="shared" si="1"/>
        <v>WATER,ENVIRONMENT,CLIMATE CHANGE AND NATURAL RESOURCES</v>
      </c>
      <c r="L5" s="20" t="s">
        <v>75</v>
      </c>
      <c r="M5" s="20" t="str">
        <f t="shared" si="2"/>
        <v>WATER,ENVIRONMENT,CLIMATE CHANGE AND NATURAL RESOURCES</v>
      </c>
      <c r="N5" s="22" t="s">
        <v>68</v>
      </c>
      <c r="O5" s="22" t="s">
        <v>69</v>
      </c>
      <c r="P5" s="22" t="s">
        <v>70</v>
      </c>
      <c r="Q5" s="22" t="s">
        <v>70</v>
      </c>
      <c r="R5" s="23">
        <v>4625407.0</v>
      </c>
      <c r="S5" s="23">
        <v>4625407.0</v>
      </c>
      <c r="T5" s="23">
        <v>4625407.0</v>
      </c>
      <c r="U5" s="20" t="s">
        <v>71</v>
      </c>
      <c r="V5" s="20"/>
      <c r="W5" s="23">
        <v>4625407.0</v>
      </c>
      <c r="X5" s="20"/>
      <c r="Y5" s="23">
        <v>4625407.0</v>
      </c>
      <c r="Z5" s="24">
        <f t="shared" si="3"/>
        <v>1</v>
      </c>
      <c r="AA5" s="23">
        <v>4625407.0</v>
      </c>
      <c r="AB5" s="20"/>
      <c r="AC5" s="25">
        <f t="shared" si="4"/>
        <v>0</v>
      </c>
      <c r="AD5" s="20" t="s">
        <v>72</v>
      </c>
      <c r="AE5" s="20"/>
      <c r="AF5" s="20"/>
      <c r="AG5" s="20"/>
      <c r="AH5" s="20"/>
      <c r="AI5" s="20"/>
      <c r="AJ5" s="20"/>
      <c r="AK5" s="20"/>
      <c r="AL5" s="20"/>
      <c r="AM5" s="20"/>
      <c r="AN5" s="26"/>
      <c r="AO5" s="26"/>
      <c r="AP5" s="26"/>
      <c r="AQ5" s="26"/>
      <c r="AR5" s="26"/>
      <c r="AS5" s="26"/>
      <c r="AT5" s="26"/>
    </row>
    <row r="6">
      <c r="A6" s="20">
        <v>4.0</v>
      </c>
      <c r="B6" s="20" t="s">
        <v>79</v>
      </c>
      <c r="C6" s="20"/>
      <c r="D6" s="20"/>
      <c r="E6" s="20"/>
      <c r="F6" s="20"/>
      <c r="G6" s="20"/>
      <c r="H6" s="20" t="s">
        <v>77</v>
      </c>
      <c r="I6" s="20" t="s">
        <v>78</v>
      </c>
      <c r="J6" s="21"/>
      <c r="K6" s="20" t="str">
        <f t="shared" si="1"/>
        <v>WATER,ENVIRONMENT,CLIMATE CHANGE AND NATURAL RESOURCES</v>
      </c>
      <c r="L6" s="20" t="s">
        <v>75</v>
      </c>
      <c r="M6" s="20" t="str">
        <f t="shared" si="2"/>
        <v>WATER,ENVIRONMENT,CLIMATE CHANGE AND NATURAL RESOURCES</v>
      </c>
      <c r="N6" s="22" t="s">
        <v>68</v>
      </c>
      <c r="O6" s="22" t="s">
        <v>69</v>
      </c>
      <c r="P6" s="22" t="s">
        <v>70</v>
      </c>
      <c r="Q6" s="22" t="s">
        <v>70</v>
      </c>
      <c r="R6" s="23">
        <v>4693418.0</v>
      </c>
      <c r="S6" s="23">
        <v>4693418.0</v>
      </c>
      <c r="T6" s="23">
        <v>4693418.0</v>
      </c>
      <c r="U6" s="20" t="s">
        <v>71</v>
      </c>
      <c r="V6" s="20"/>
      <c r="W6" s="23">
        <v>4693418.0</v>
      </c>
      <c r="X6" s="20"/>
      <c r="Y6" s="23">
        <v>4693418.0</v>
      </c>
      <c r="Z6" s="24">
        <f t="shared" si="3"/>
        <v>1</v>
      </c>
      <c r="AA6" s="23">
        <v>4693418.0</v>
      </c>
      <c r="AB6" s="20"/>
      <c r="AC6" s="25">
        <f t="shared" si="4"/>
        <v>0</v>
      </c>
      <c r="AD6" s="20" t="s">
        <v>72</v>
      </c>
      <c r="AE6" s="20"/>
      <c r="AF6" s="20"/>
      <c r="AG6" s="20"/>
      <c r="AH6" s="20"/>
      <c r="AI6" s="20"/>
      <c r="AJ6" s="20"/>
      <c r="AK6" s="20"/>
      <c r="AL6" s="20"/>
      <c r="AM6" s="20"/>
      <c r="AN6" s="26"/>
      <c r="AO6" s="26"/>
      <c r="AP6" s="26"/>
      <c r="AQ6" s="26"/>
      <c r="AR6" s="26"/>
      <c r="AS6" s="26"/>
      <c r="AT6" s="26"/>
    </row>
    <row r="7">
      <c r="A7" s="20">
        <v>5.0</v>
      </c>
      <c r="B7" s="20" t="s">
        <v>80</v>
      </c>
      <c r="C7" s="20"/>
      <c r="D7" s="20"/>
      <c r="E7" s="20"/>
      <c r="F7" s="20"/>
      <c r="G7" s="20"/>
      <c r="H7" s="20" t="s">
        <v>81</v>
      </c>
      <c r="I7" s="20" t="s">
        <v>81</v>
      </c>
      <c r="J7" s="21"/>
      <c r="K7" s="20" t="str">
        <f t="shared" si="1"/>
        <v>WATER,ENVIRONMENT,CLIMATE CHANGE AND NATURAL RESOURCES</v>
      </c>
      <c r="L7" s="20" t="s">
        <v>75</v>
      </c>
      <c r="M7" s="20" t="str">
        <f t="shared" si="2"/>
        <v>WATER,ENVIRONMENT,CLIMATE CHANGE AND NATURAL RESOURCES</v>
      </c>
      <c r="N7" s="22" t="s">
        <v>68</v>
      </c>
      <c r="O7" s="22" t="s">
        <v>69</v>
      </c>
      <c r="P7" s="22" t="s">
        <v>70</v>
      </c>
      <c r="Q7" s="22" t="s">
        <v>70</v>
      </c>
      <c r="R7" s="23">
        <v>3482500.0</v>
      </c>
      <c r="S7" s="23">
        <v>3482500.0</v>
      </c>
      <c r="T7" s="23">
        <v>3482500.0</v>
      </c>
      <c r="U7" s="20" t="s">
        <v>71</v>
      </c>
      <c r="V7" s="20"/>
      <c r="W7" s="23">
        <v>3482500.0</v>
      </c>
      <c r="X7" s="20"/>
      <c r="Y7" s="23">
        <v>3482500.0</v>
      </c>
      <c r="Z7" s="24">
        <f t="shared" si="3"/>
        <v>1</v>
      </c>
      <c r="AA7" s="23">
        <v>3482500.0</v>
      </c>
      <c r="AB7" s="20"/>
      <c r="AC7" s="25">
        <f t="shared" si="4"/>
        <v>0</v>
      </c>
      <c r="AD7" s="20" t="s">
        <v>72</v>
      </c>
      <c r="AE7" s="20"/>
      <c r="AF7" s="20"/>
      <c r="AG7" s="20"/>
      <c r="AH7" s="20"/>
      <c r="AI7" s="20"/>
      <c r="AJ7" s="20"/>
      <c r="AK7" s="20"/>
      <c r="AL7" s="20"/>
      <c r="AM7" s="20"/>
      <c r="AN7" s="26"/>
      <c r="AO7" s="26"/>
      <c r="AP7" s="26"/>
      <c r="AQ7" s="26"/>
      <c r="AR7" s="26"/>
      <c r="AS7" s="26"/>
      <c r="AT7" s="26"/>
    </row>
    <row r="8">
      <c r="A8" s="20">
        <v>6.0</v>
      </c>
      <c r="B8" s="20" t="s">
        <v>82</v>
      </c>
      <c r="C8" s="20"/>
      <c r="D8" s="20"/>
      <c r="E8" s="20"/>
      <c r="F8" s="20"/>
      <c r="G8" s="20"/>
      <c r="H8" s="20" t="s">
        <v>81</v>
      </c>
      <c r="I8" s="20" t="s">
        <v>83</v>
      </c>
      <c r="J8" s="21"/>
      <c r="K8" s="20" t="str">
        <f t="shared" si="1"/>
        <v>EDUCATION,INFORMATION AND ICT</v>
      </c>
      <c r="L8" s="20" t="s">
        <v>84</v>
      </c>
      <c r="M8" s="20" t="str">
        <f t="shared" si="2"/>
        <v>EDUCATION,INFORMATION AND ICT</v>
      </c>
      <c r="N8" s="22" t="s">
        <v>68</v>
      </c>
      <c r="O8" s="22" t="s">
        <v>69</v>
      </c>
      <c r="P8" s="22" t="s">
        <v>70</v>
      </c>
      <c r="Q8" s="22" t="s">
        <v>70</v>
      </c>
      <c r="R8" s="23">
        <v>3100000.0</v>
      </c>
      <c r="S8" s="23">
        <v>3100000.0</v>
      </c>
      <c r="T8" s="23">
        <v>3100000.0</v>
      </c>
      <c r="U8" s="20" t="s">
        <v>71</v>
      </c>
      <c r="V8" s="20"/>
      <c r="W8" s="23">
        <v>3100000.0</v>
      </c>
      <c r="X8" s="20"/>
      <c r="Y8" s="23">
        <v>3100000.0</v>
      </c>
      <c r="Z8" s="24">
        <f t="shared" si="3"/>
        <v>1</v>
      </c>
      <c r="AA8" s="23">
        <v>3100000.0</v>
      </c>
      <c r="AB8" s="20"/>
      <c r="AC8" s="25">
        <f t="shared" si="4"/>
        <v>0</v>
      </c>
      <c r="AD8" s="20" t="s">
        <v>72</v>
      </c>
      <c r="AE8" s="20"/>
      <c r="AF8" s="20"/>
      <c r="AG8" s="20"/>
      <c r="AH8" s="20"/>
      <c r="AI8" s="20"/>
      <c r="AJ8" s="20"/>
      <c r="AK8" s="20"/>
      <c r="AL8" s="20"/>
      <c r="AM8" s="20"/>
      <c r="AN8" s="26"/>
      <c r="AO8" s="26"/>
      <c r="AP8" s="26"/>
      <c r="AQ8" s="26"/>
      <c r="AR8" s="26"/>
      <c r="AS8" s="26"/>
      <c r="AT8" s="26"/>
    </row>
    <row r="9">
      <c r="A9" s="20">
        <v>7.0</v>
      </c>
      <c r="B9" s="20" t="s">
        <v>85</v>
      </c>
      <c r="C9" s="20"/>
      <c r="D9" s="20"/>
      <c r="E9" s="20"/>
      <c r="F9" s="20"/>
      <c r="G9" s="20"/>
      <c r="H9" s="20" t="s">
        <v>65</v>
      </c>
      <c r="I9" s="20" t="s">
        <v>74</v>
      </c>
      <c r="J9" s="21"/>
      <c r="K9" s="20" t="str">
        <f t="shared" si="1"/>
        <v>EDUCATION,INFORMATION AND ICT</v>
      </c>
      <c r="L9" s="20" t="s">
        <v>84</v>
      </c>
      <c r="M9" s="20" t="str">
        <f t="shared" si="2"/>
        <v>EDUCATION,INFORMATION AND ICT</v>
      </c>
      <c r="N9" s="22" t="s">
        <v>68</v>
      </c>
      <c r="O9" s="22" t="s">
        <v>69</v>
      </c>
      <c r="P9" s="22" t="s">
        <v>70</v>
      </c>
      <c r="Q9" s="22" t="s">
        <v>70</v>
      </c>
      <c r="R9" s="23">
        <v>7200000.0</v>
      </c>
      <c r="S9" s="23">
        <v>7200000.0</v>
      </c>
      <c r="T9" s="23">
        <v>7200000.0</v>
      </c>
      <c r="U9" s="20" t="s">
        <v>71</v>
      </c>
      <c r="V9" s="20"/>
      <c r="W9" s="23">
        <v>7200000.0</v>
      </c>
      <c r="X9" s="20"/>
      <c r="Y9" s="23">
        <v>7200000.0</v>
      </c>
      <c r="Z9" s="24">
        <f t="shared" si="3"/>
        <v>1</v>
      </c>
      <c r="AA9" s="23">
        <v>7200000.0</v>
      </c>
      <c r="AB9" s="20"/>
      <c r="AC9" s="25">
        <f t="shared" si="4"/>
        <v>0</v>
      </c>
      <c r="AD9" s="20" t="s">
        <v>72</v>
      </c>
      <c r="AE9" s="20"/>
      <c r="AF9" s="20"/>
      <c r="AG9" s="20"/>
      <c r="AH9" s="20"/>
      <c r="AI9" s="20"/>
      <c r="AJ9" s="20"/>
      <c r="AK9" s="20"/>
      <c r="AL9" s="20"/>
      <c r="AM9" s="20"/>
      <c r="AN9" s="26"/>
      <c r="AO9" s="26"/>
      <c r="AP9" s="26"/>
      <c r="AQ9" s="26"/>
      <c r="AR9" s="26"/>
      <c r="AS9" s="26"/>
      <c r="AT9" s="26"/>
    </row>
    <row r="10">
      <c r="A10" s="20">
        <v>8.0</v>
      </c>
      <c r="B10" s="20" t="s">
        <v>86</v>
      </c>
      <c r="C10" s="20"/>
      <c r="D10" s="20"/>
      <c r="E10" s="20"/>
      <c r="F10" s="20"/>
      <c r="G10" s="20"/>
      <c r="H10" s="20" t="s">
        <v>65</v>
      </c>
      <c r="I10" s="20" t="s">
        <v>87</v>
      </c>
      <c r="J10" s="21"/>
      <c r="K10" s="20" t="str">
        <f t="shared" si="1"/>
        <v>EDUCATION,INFORMATION AND ICT</v>
      </c>
      <c r="L10" s="20" t="s">
        <v>84</v>
      </c>
      <c r="M10" s="20" t="str">
        <f t="shared" si="2"/>
        <v>EDUCATION,INFORMATION AND ICT</v>
      </c>
      <c r="N10" s="22" t="s">
        <v>68</v>
      </c>
      <c r="O10" s="22" t="s">
        <v>69</v>
      </c>
      <c r="P10" s="22" t="s">
        <v>70</v>
      </c>
      <c r="Q10" s="22" t="s">
        <v>70</v>
      </c>
      <c r="R10" s="23">
        <v>5225000.0</v>
      </c>
      <c r="S10" s="23">
        <v>5225000.0</v>
      </c>
      <c r="T10" s="23">
        <v>5225000.0</v>
      </c>
      <c r="U10" s="20" t="s">
        <v>71</v>
      </c>
      <c r="V10" s="20"/>
      <c r="W10" s="23">
        <v>5225000.0</v>
      </c>
      <c r="X10" s="20"/>
      <c r="Y10" s="23">
        <v>5225000.0</v>
      </c>
      <c r="Z10" s="24">
        <f t="shared" si="3"/>
        <v>1</v>
      </c>
      <c r="AA10" s="23">
        <v>5225000.0</v>
      </c>
      <c r="AB10" s="20"/>
      <c r="AC10" s="25">
        <f t="shared" si="4"/>
        <v>0</v>
      </c>
      <c r="AD10" s="20" t="s">
        <v>72</v>
      </c>
      <c r="AE10" s="20"/>
      <c r="AF10" s="20"/>
      <c r="AG10" s="20"/>
      <c r="AH10" s="20"/>
      <c r="AI10" s="20"/>
      <c r="AJ10" s="20"/>
      <c r="AK10" s="20"/>
      <c r="AL10" s="20"/>
      <c r="AM10" s="20"/>
      <c r="AN10" s="20"/>
      <c r="AO10" s="20"/>
      <c r="AP10" s="20"/>
      <c r="AQ10" s="20"/>
      <c r="AR10" s="20"/>
      <c r="AS10" s="20"/>
      <c r="AT10" s="20"/>
    </row>
    <row r="11">
      <c r="A11" s="20">
        <v>9.0</v>
      </c>
      <c r="B11" s="20" t="s">
        <v>88</v>
      </c>
      <c r="C11" s="20"/>
      <c r="D11" s="20"/>
      <c r="E11" s="20"/>
      <c r="F11" s="20"/>
      <c r="G11" s="20"/>
      <c r="H11" s="20" t="s">
        <v>65</v>
      </c>
      <c r="I11" s="20" t="s">
        <v>66</v>
      </c>
      <c r="J11" s="21"/>
      <c r="K11" s="20" t="str">
        <f t="shared" si="1"/>
        <v>EDUCATION,INFORMATION AND ICT</v>
      </c>
      <c r="L11" s="20" t="s">
        <v>84</v>
      </c>
      <c r="M11" s="20" t="str">
        <f t="shared" si="2"/>
        <v>EDUCATION,INFORMATION AND ICT</v>
      </c>
      <c r="N11" s="22" t="s">
        <v>68</v>
      </c>
      <c r="O11" s="22" t="s">
        <v>69</v>
      </c>
      <c r="P11" s="22" t="s">
        <v>70</v>
      </c>
      <c r="Q11" s="22" t="s">
        <v>70</v>
      </c>
      <c r="R11" s="23">
        <v>5225000.0</v>
      </c>
      <c r="S11" s="23">
        <v>5225000.0</v>
      </c>
      <c r="T11" s="23">
        <v>5225000.0</v>
      </c>
      <c r="U11" s="20" t="s">
        <v>71</v>
      </c>
      <c r="V11" s="20"/>
      <c r="W11" s="23">
        <v>5225000.0</v>
      </c>
      <c r="X11" s="20"/>
      <c r="Y11" s="23">
        <v>5225000.0</v>
      </c>
      <c r="Z11" s="24">
        <f t="shared" si="3"/>
        <v>1</v>
      </c>
      <c r="AA11" s="23">
        <v>5225000.0</v>
      </c>
      <c r="AB11" s="20"/>
      <c r="AC11" s="25">
        <f t="shared" si="4"/>
        <v>0</v>
      </c>
      <c r="AD11" s="20" t="s">
        <v>72</v>
      </c>
      <c r="AE11" s="20"/>
      <c r="AF11" s="20"/>
      <c r="AG11" s="20"/>
      <c r="AH11" s="20"/>
      <c r="AI11" s="20"/>
      <c r="AJ11" s="20"/>
      <c r="AK11" s="20"/>
      <c r="AL11" s="20"/>
      <c r="AM11" s="20"/>
      <c r="AN11" s="20"/>
      <c r="AO11" s="20"/>
      <c r="AP11" s="20"/>
      <c r="AQ11" s="20"/>
      <c r="AR11" s="20"/>
      <c r="AS11" s="20"/>
      <c r="AT11" s="20"/>
    </row>
    <row r="12">
      <c r="A12" s="20">
        <v>10.0</v>
      </c>
      <c r="B12" s="20" t="s">
        <v>89</v>
      </c>
      <c r="C12" s="20"/>
      <c r="D12" s="20"/>
      <c r="E12" s="20"/>
      <c r="F12" s="20"/>
      <c r="G12" s="20"/>
      <c r="H12" s="20" t="s">
        <v>65</v>
      </c>
      <c r="I12" s="20" t="s">
        <v>90</v>
      </c>
      <c r="J12" s="21"/>
      <c r="K12" s="20" t="str">
        <f t="shared" si="1"/>
        <v>EDUCATION,INFORMATION AND ICT</v>
      </c>
      <c r="L12" s="20" t="s">
        <v>84</v>
      </c>
      <c r="M12" s="20" t="str">
        <f t="shared" si="2"/>
        <v>EDUCATION,INFORMATION AND ICT</v>
      </c>
      <c r="N12" s="22" t="s">
        <v>68</v>
      </c>
      <c r="O12" s="22" t="s">
        <v>69</v>
      </c>
      <c r="P12" s="22" t="s">
        <v>70</v>
      </c>
      <c r="Q12" s="22" t="s">
        <v>70</v>
      </c>
      <c r="R12" s="23">
        <v>5225000.0</v>
      </c>
      <c r="S12" s="23">
        <v>5225000.0</v>
      </c>
      <c r="T12" s="23">
        <v>5225000.0</v>
      </c>
      <c r="U12" s="20" t="s">
        <v>71</v>
      </c>
      <c r="V12" s="20"/>
      <c r="W12" s="23">
        <v>5225000.0</v>
      </c>
      <c r="X12" s="20"/>
      <c r="Y12" s="23">
        <v>5225000.0</v>
      </c>
      <c r="Z12" s="24">
        <f t="shared" si="3"/>
        <v>1</v>
      </c>
      <c r="AA12" s="23">
        <v>5225000.0</v>
      </c>
      <c r="AB12" s="20"/>
      <c r="AC12" s="25">
        <f t="shared" si="4"/>
        <v>0</v>
      </c>
      <c r="AD12" s="20" t="s">
        <v>72</v>
      </c>
      <c r="AE12" s="20"/>
      <c r="AF12" s="20"/>
      <c r="AG12" s="20"/>
      <c r="AH12" s="20"/>
      <c r="AI12" s="20"/>
      <c r="AJ12" s="20"/>
      <c r="AK12" s="20"/>
      <c r="AL12" s="20"/>
      <c r="AM12" s="20"/>
      <c r="AN12" s="20"/>
      <c r="AO12" s="20"/>
      <c r="AP12" s="20"/>
      <c r="AQ12" s="20"/>
      <c r="AR12" s="20"/>
      <c r="AS12" s="20"/>
      <c r="AT12" s="20"/>
    </row>
    <row r="13">
      <c r="A13" s="20">
        <v>11.0</v>
      </c>
      <c r="B13" s="20" t="s">
        <v>91</v>
      </c>
      <c r="C13" s="20"/>
      <c r="D13" s="20"/>
      <c r="E13" s="20"/>
      <c r="F13" s="20"/>
      <c r="G13" s="20"/>
      <c r="H13" s="20" t="s">
        <v>65</v>
      </c>
      <c r="I13" s="20" t="s">
        <v>66</v>
      </c>
      <c r="J13" s="21"/>
      <c r="K13" s="20" t="str">
        <f t="shared" si="1"/>
        <v>WATER,ENVIRONMENT,CLIMATE CHANGE AND NATURAL RESOURCES</v>
      </c>
      <c r="L13" s="20" t="s">
        <v>75</v>
      </c>
      <c r="M13" s="20" t="str">
        <f t="shared" si="2"/>
        <v>WATER,ENVIRONMENT,CLIMATE CHANGE AND NATURAL RESOURCES</v>
      </c>
      <c r="N13" s="22" t="s">
        <v>68</v>
      </c>
      <c r="O13" s="22" t="s">
        <v>69</v>
      </c>
      <c r="P13" s="22" t="s">
        <v>70</v>
      </c>
      <c r="Q13" s="22" t="s">
        <v>70</v>
      </c>
      <c r="R13" s="23">
        <v>7600000.0</v>
      </c>
      <c r="S13" s="23">
        <v>7600000.0</v>
      </c>
      <c r="T13" s="23">
        <v>7600000.0</v>
      </c>
      <c r="U13" s="20" t="s">
        <v>71</v>
      </c>
      <c r="V13" s="20"/>
      <c r="W13" s="23">
        <v>7600000.0</v>
      </c>
      <c r="X13" s="20"/>
      <c r="Y13" s="23">
        <v>7600000.0</v>
      </c>
      <c r="Z13" s="24">
        <f t="shared" si="3"/>
        <v>1</v>
      </c>
      <c r="AA13" s="23">
        <v>7600000.0</v>
      </c>
      <c r="AB13" s="20"/>
      <c r="AC13" s="25">
        <f t="shared" si="4"/>
        <v>0</v>
      </c>
      <c r="AD13" s="20" t="s">
        <v>72</v>
      </c>
      <c r="AE13" s="20"/>
      <c r="AF13" s="20"/>
      <c r="AG13" s="20"/>
      <c r="AH13" s="20"/>
      <c r="AI13" s="20"/>
      <c r="AJ13" s="20"/>
      <c r="AK13" s="20"/>
      <c r="AL13" s="20"/>
      <c r="AM13" s="20"/>
      <c r="AN13" s="20"/>
      <c r="AO13" s="20"/>
      <c r="AP13" s="20"/>
      <c r="AQ13" s="20"/>
      <c r="AR13" s="20"/>
      <c r="AS13" s="20"/>
      <c r="AT13" s="20"/>
    </row>
    <row r="14">
      <c r="A14" s="20">
        <v>12.0</v>
      </c>
      <c r="B14" s="27" t="s">
        <v>91</v>
      </c>
      <c r="C14" s="20"/>
      <c r="D14" s="20"/>
      <c r="E14" s="20"/>
      <c r="F14" s="20"/>
      <c r="G14" s="20"/>
      <c r="H14" s="20" t="s">
        <v>65</v>
      </c>
      <c r="I14" s="20" t="s">
        <v>66</v>
      </c>
      <c r="J14" s="21"/>
      <c r="K14" s="20" t="str">
        <f t="shared" si="1"/>
        <v>WATER,ENVIRONMENT,CLIMATE CHANGE AND NATURAL RESOURCES</v>
      </c>
      <c r="L14" s="20" t="s">
        <v>75</v>
      </c>
      <c r="M14" s="20" t="str">
        <f t="shared" si="2"/>
        <v>WATER,ENVIRONMENT,CLIMATE CHANGE AND NATURAL RESOURCES</v>
      </c>
      <c r="N14" s="22" t="s">
        <v>68</v>
      </c>
      <c r="O14" s="22" t="s">
        <v>69</v>
      </c>
      <c r="P14" s="22" t="s">
        <v>70</v>
      </c>
      <c r="Q14" s="22" t="s">
        <v>70</v>
      </c>
      <c r="R14" s="28">
        <v>7990000.0</v>
      </c>
      <c r="S14" s="28">
        <v>7990000.0</v>
      </c>
      <c r="T14" s="28">
        <v>7990000.0</v>
      </c>
      <c r="U14" s="20" t="s">
        <v>71</v>
      </c>
      <c r="V14" s="20"/>
      <c r="W14" s="28">
        <v>7990000.0</v>
      </c>
      <c r="X14" s="20"/>
      <c r="Y14" s="28">
        <v>7990000.0</v>
      </c>
      <c r="Z14" s="24">
        <f t="shared" si="3"/>
        <v>1</v>
      </c>
      <c r="AA14" s="28">
        <v>7990000.0</v>
      </c>
      <c r="AB14" s="20"/>
      <c r="AC14" s="25">
        <f t="shared" si="4"/>
        <v>0</v>
      </c>
      <c r="AD14" s="20" t="s">
        <v>72</v>
      </c>
      <c r="AE14" s="20"/>
      <c r="AF14" s="20"/>
      <c r="AG14" s="20"/>
      <c r="AH14" s="20"/>
      <c r="AI14" s="20"/>
      <c r="AJ14" s="20"/>
      <c r="AK14" s="20"/>
      <c r="AL14" s="20"/>
      <c r="AM14" s="20"/>
      <c r="AN14" s="20"/>
      <c r="AO14" s="20"/>
      <c r="AP14" s="20"/>
      <c r="AQ14" s="20"/>
      <c r="AR14" s="20"/>
      <c r="AS14" s="20"/>
      <c r="AT14" s="20"/>
    </row>
    <row r="15">
      <c r="A15" s="20">
        <v>13.0</v>
      </c>
      <c r="B15" s="20" t="s">
        <v>92</v>
      </c>
      <c r="C15" s="20"/>
      <c r="D15" s="20"/>
      <c r="E15" s="20"/>
      <c r="F15" s="20"/>
      <c r="G15" s="20"/>
      <c r="H15" s="20" t="s">
        <v>65</v>
      </c>
      <c r="I15" s="20" t="s">
        <v>66</v>
      </c>
      <c r="J15" s="21"/>
      <c r="K15" s="20" t="str">
        <f t="shared" si="1"/>
        <v/>
      </c>
      <c r="L15" s="20"/>
      <c r="M15" s="20" t="str">
        <f t="shared" si="2"/>
        <v/>
      </c>
      <c r="N15" s="22" t="s">
        <v>68</v>
      </c>
      <c r="O15" s="22" t="s">
        <v>69</v>
      </c>
      <c r="P15" s="22" t="s">
        <v>70</v>
      </c>
      <c r="Q15" s="22" t="s">
        <v>70</v>
      </c>
      <c r="R15" s="23">
        <v>1470000.0</v>
      </c>
      <c r="S15" s="23">
        <v>1470000.0</v>
      </c>
      <c r="T15" s="23">
        <v>1470000.0</v>
      </c>
      <c r="U15" s="20" t="s">
        <v>71</v>
      </c>
      <c r="V15" s="20"/>
      <c r="W15" s="23">
        <v>1470000.0</v>
      </c>
      <c r="X15" s="20"/>
      <c r="Y15" s="23">
        <v>1470000.0</v>
      </c>
      <c r="Z15" s="24">
        <f t="shared" si="3"/>
        <v>1</v>
      </c>
      <c r="AA15" s="23">
        <v>1470000.0</v>
      </c>
      <c r="AB15" s="20"/>
      <c r="AC15" s="25">
        <f t="shared" si="4"/>
        <v>0</v>
      </c>
      <c r="AD15" s="20" t="s">
        <v>72</v>
      </c>
      <c r="AE15" s="20"/>
      <c r="AF15" s="20"/>
      <c r="AG15" s="20"/>
      <c r="AH15" s="20"/>
      <c r="AI15" s="20"/>
      <c r="AJ15" s="20"/>
      <c r="AK15" s="20"/>
      <c r="AL15" s="20"/>
      <c r="AM15" s="20"/>
      <c r="AN15" s="20"/>
      <c r="AO15" s="20"/>
      <c r="AP15" s="20"/>
      <c r="AQ15" s="20"/>
      <c r="AR15" s="20"/>
      <c r="AS15" s="20"/>
      <c r="AT15" s="20"/>
    </row>
    <row r="16">
      <c r="A16" s="20">
        <v>14.0</v>
      </c>
      <c r="B16" s="20" t="s">
        <v>93</v>
      </c>
      <c r="C16" s="20"/>
      <c r="D16" s="20"/>
      <c r="E16" s="20"/>
      <c r="F16" s="20"/>
      <c r="G16" s="20"/>
      <c r="H16" s="20" t="s">
        <v>65</v>
      </c>
      <c r="I16" s="20" t="s">
        <v>66</v>
      </c>
      <c r="J16" s="21"/>
      <c r="K16" s="20" t="str">
        <f t="shared" si="1"/>
        <v/>
      </c>
      <c r="L16" s="20"/>
      <c r="M16" s="20" t="str">
        <f t="shared" si="2"/>
        <v/>
      </c>
      <c r="N16" s="22" t="s">
        <v>68</v>
      </c>
      <c r="O16" s="22" t="s">
        <v>69</v>
      </c>
      <c r="P16" s="22" t="s">
        <v>70</v>
      </c>
      <c r="Q16" s="22" t="s">
        <v>70</v>
      </c>
      <c r="R16" s="23">
        <v>1000000.0</v>
      </c>
      <c r="S16" s="23">
        <v>1000000.0</v>
      </c>
      <c r="T16" s="23">
        <v>1000000.0</v>
      </c>
      <c r="U16" s="20" t="s">
        <v>71</v>
      </c>
      <c r="V16" s="20"/>
      <c r="W16" s="23">
        <v>1000000.0</v>
      </c>
      <c r="X16" s="20"/>
      <c r="Y16" s="23">
        <v>1000000.0</v>
      </c>
      <c r="Z16" s="24">
        <f t="shared" si="3"/>
        <v>1</v>
      </c>
      <c r="AA16" s="23">
        <v>1000000.0</v>
      </c>
      <c r="AB16" s="20"/>
      <c r="AC16" s="25">
        <f t="shared" si="4"/>
        <v>0</v>
      </c>
      <c r="AD16" s="20" t="s">
        <v>72</v>
      </c>
      <c r="AE16" s="20"/>
      <c r="AF16" s="20"/>
      <c r="AG16" s="20"/>
      <c r="AH16" s="20"/>
      <c r="AI16" s="20"/>
      <c r="AJ16" s="20"/>
      <c r="AK16" s="20"/>
      <c r="AL16" s="20"/>
      <c r="AM16" s="20"/>
      <c r="AN16" s="20"/>
      <c r="AO16" s="20"/>
      <c r="AP16" s="20"/>
      <c r="AQ16" s="20"/>
      <c r="AR16" s="20"/>
      <c r="AS16" s="20"/>
      <c r="AT16" s="20"/>
    </row>
    <row r="17">
      <c r="A17" s="20">
        <v>15.0</v>
      </c>
      <c r="B17" s="27" t="s">
        <v>91</v>
      </c>
      <c r="C17" s="20"/>
      <c r="D17" s="20"/>
      <c r="E17" s="20"/>
      <c r="F17" s="20"/>
      <c r="G17" s="20"/>
      <c r="H17" s="20" t="s">
        <v>65</v>
      </c>
      <c r="I17" s="20" t="s">
        <v>66</v>
      </c>
      <c r="J17" s="21"/>
      <c r="K17" s="20" t="str">
        <f t="shared" si="1"/>
        <v>WATER,ENVIRONMENT,CLIMATE CHANGE AND NATURAL RESOURCES</v>
      </c>
      <c r="L17" s="20" t="s">
        <v>75</v>
      </c>
      <c r="M17" s="20" t="str">
        <f t="shared" si="2"/>
        <v>WATER,ENVIRONMENT,CLIMATE CHANGE AND NATURAL RESOURCES</v>
      </c>
      <c r="N17" s="22" t="s">
        <v>68</v>
      </c>
      <c r="O17" s="22" t="s">
        <v>69</v>
      </c>
      <c r="P17" s="22" t="s">
        <v>70</v>
      </c>
      <c r="Q17" s="22" t="s">
        <v>70</v>
      </c>
      <c r="R17" s="28">
        <v>7990000.0</v>
      </c>
      <c r="S17" s="28">
        <v>7990000.0</v>
      </c>
      <c r="T17" s="28">
        <v>7990000.0</v>
      </c>
      <c r="U17" s="20" t="s">
        <v>71</v>
      </c>
      <c r="V17" s="20"/>
      <c r="W17" s="28">
        <v>7990000.0</v>
      </c>
      <c r="X17" s="20"/>
      <c r="Y17" s="28">
        <v>7990000.0</v>
      </c>
      <c r="Z17" s="24">
        <f t="shared" si="3"/>
        <v>1</v>
      </c>
      <c r="AA17" s="28">
        <v>7990000.0</v>
      </c>
      <c r="AB17" s="20"/>
      <c r="AC17" s="25">
        <f t="shared" si="4"/>
        <v>0</v>
      </c>
      <c r="AD17" s="20" t="s">
        <v>72</v>
      </c>
      <c r="AE17" s="20"/>
      <c r="AF17" s="20"/>
      <c r="AG17" s="20"/>
      <c r="AH17" s="20"/>
      <c r="AI17" s="20"/>
      <c r="AJ17" s="20"/>
      <c r="AK17" s="20"/>
      <c r="AL17" s="20"/>
      <c r="AM17" s="20"/>
      <c r="AN17" s="20"/>
      <c r="AO17" s="20"/>
      <c r="AP17" s="20"/>
      <c r="AQ17" s="20"/>
      <c r="AR17" s="20"/>
      <c r="AS17" s="20"/>
      <c r="AT17" s="20"/>
    </row>
    <row r="18">
      <c r="A18" s="20">
        <v>16.0</v>
      </c>
      <c r="B18" s="20" t="s">
        <v>94</v>
      </c>
      <c r="C18" s="20"/>
      <c r="D18" s="20"/>
      <c r="E18" s="20"/>
      <c r="F18" s="20"/>
      <c r="G18" s="20"/>
      <c r="H18" s="20" t="s">
        <v>65</v>
      </c>
      <c r="I18" s="20" t="s">
        <v>66</v>
      </c>
      <c r="J18" s="21"/>
      <c r="K18" s="20" t="str">
        <f t="shared" si="1"/>
        <v>WATER,ENVIRONMENT,CLIMATE CHANGE AND NATURAL RESOURCES</v>
      </c>
      <c r="L18" s="20" t="s">
        <v>75</v>
      </c>
      <c r="M18" s="20" t="str">
        <f t="shared" si="2"/>
        <v>WATER,ENVIRONMENT,CLIMATE CHANGE AND NATURAL RESOURCES</v>
      </c>
      <c r="N18" s="22" t="s">
        <v>68</v>
      </c>
      <c r="O18" s="22" t="s">
        <v>69</v>
      </c>
      <c r="P18" s="22" t="s">
        <v>70</v>
      </c>
      <c r="Q18" s="22" t="s">
        <v>70</v>
      </c>
      <c r="R18" s="23">
        <v>3895000.0</v>
      </c>
      <c r="S18" s="23">
        <v>3895000.0</v>
      </c>
      <c r="T18" s="23">
        <v>3895000.0</v>
      </c>
      <c r="U18" s="20" t="s">
        <v>71</v>
      </c>
      <c r="V18" s="20"/>
      <c r="W18" s="23">
        <v>3895000.0</v>
      </c>
      <c r="X18" s="20"/>
      <c r="Y18" s="23">
        <v>3895000.0</v>
      </c>
      <c r="Z18" s="24">
        <f t="shared" si="3"/>
        <v>1</v>
      </c>
      <c r="AA18" s="23">
        <v>3895000.0</v>
      </c>
      <c r="AB18" s="20"/>
      <c r="AC18" s="25">
        <f t="shared" si="4"/>
        <v>0</v>
      </c>
      <c r="AD18" s="20" t="s">
        <v>72</v>
      </c>
      <c r="AE18" s="20"/>
      <c r="AF18" s="20"/>
      <c r="AG18" s="20"/>
      <c r="AH18" s="20"/>
      <c r="AI18" s="20"/>
      <c r="AJ18" s="20"/>
      <c r="AK18" s="20"/>
      <c r="AL18" s="20"/>
      <c r="AM18" s="20"/>
      <c r="AN18" s="20"/>
      <c r="AO18" s="20"/>
      <c r="AP18" s="20"/>
      <c r="AQ18" s="20"/>
      <c r="AR18" s="20"/>
      <c r="AS18" s="20"/>
      <c r="AT18" s="20"/>
    </row>
    <row r="19">
      <c r="A19" s="20">
        <v>17.0</v>
      </c>
      <c r="B19" s="20" t="s">
        <v>95</v>
      </c>
      <c r="C19" s="20"/>
      <c r="D19" s="20"/>
      <c r="E19" s="20"/>
      <c r="F19" s="20"/>
      <c r="G19" s="20"/>
      <c r="H19" s="20" t="s">
        <v>77</v>
      </c>
      <c r="I19" s="20" t="s">
        <v>77</v>
      </c>
      <c r="J19" s="21"/>
      <c r="K19" s="20" t="str">
        <f t="shared" si="1"/>
        <v>Health services</v>
      </c>
      <c r="L19" s="20" t="s">
        <v>67</v>
      </c>
      <c r="M19" s="20" t="str">
        <f t="shared" si="2"/>
        <v>Health services</v>
      </c>
      <c r="N19" s="22" t="s">
        <v>68</v>
      </c>
      <c r="O19" s="22" t="s">
        <v>69</v>
      </c>
      <c r="P19" s="22" t="s">
        <v>70</v>
      </c>
      <c r="Q19" s="22" t="s">
        <v>70</v>
      </c>
      <c r="R19" s="23">
        <v>3325000.0</v>
      </c>
      <c r="S19" s="23">
        <v>3325000.0</v>
      </c>
      <c r="T19" s="23">
        <v>3325000.0</v>
      </c>
      <c r="U19" s="20" t="s">
        <v>71</v>
      </c>
      <c r="V19" s="20"/>
      <c r="W19" s="23">
        <v>3325000.0</v>
      </c>
      <c r="X19" s="20"/>
      <c r="Y19" s="23">
        <v>3325000.0</v>
      </c>
      <c r="Z19" s="24">
        <f t="shared" si="3"/>
        <v>1</v>
      </c>
      <c r="AA19" s="23">
        <v>3325000.0</v>
      </c>
      <c r="AB19" s="20"/>
      <c r="AC19" s="25">
        <f t="shared" si="4"/>
        <v>0</v>
      </c>
      <c r="AD19" s="20" t="s">
        <v>72</v>
      </c>
      <c r="AE19" s="20"/>
      <c r="AF19" s="20"/>
      <c r="AG19" s="20"/>
      <c r="AH19" s="20"/>
      <c r="AI19" s="20"/>
      <c r="AJ19" s="20"/>
      <c r="AK19" s="20"/>
      <c r="AL19" s="20"/>
      <c r="AM19" s="20"/>
      <c r="AN19" s="20"/>
      <c r="AO19" s="20"/>
      <c r="AP19" s="20"/>
      <c r="AQ19" s="20"/>
      <c r="AR19" s="20"/>
      <c r="AS19" s="20"/>
      <c r="AT19" s="20"/>
    </row>
    <row r="20">
      <c r="A20" s="20">
        <v>18.0</v>
      </c>
      <c r="B20" s="20" t="s">
        <v>96</v>
      </c>
      <c r="C20" s="20"/>
      <c r="D20" s="20"/>
      <c r="E20" s="20"/>
      <c r="F20" s="20"/>
      <c r="G20" s="20"/>
      <c r="H20" s="20" t="s">
        <v>65</v>
      </c>
      <c r="I20" s="20" t="s">
        <v>66</v>
      </c>
      <c r="J20" s="21"/>
      <c r="K20" s="20" t="str">
        <f t="shared" si="1"/>
        <v>EDUCATION,INFORMATION AND ICT</v>
      </c>
      <c r="L20" s="20" t="s">
        <v>84</v>
      </c>
      <c r="M20" s="20" t="str">
        <f t="shared" si="2"/>
        <v>EDUCATION,INFORMATION AND ICT</v>
      </c>
      <c r="N20" s="22" t="s">
        <v>68</v>
      </c>
      <c r="O20" s="22" t="s">
        <v>69</v>
      </c>
      <c r="P20" s="22" t="s">
        <v>70</v>
      </c>
      <c r="Q20" s="22" t="s">
        <v>70</v>
      </c>
      <c r="R20" s="23">
        <v>4687852.0</v>
      </c>
      <c r="S20" s="23">
        <v>4687852.0</v>
      </c>
      <c r="T20" s="23">
        <v>4687852.0</v>
      </c>
      <c r="U20" s="20" t="s">
        <v>71</v>
      </c>
      <c r="V20" s="20"/>
      <c r="W20" s="23">
        <v>4687852.0</v>
      </c>
      <c r="X20" s="20"/>
      <c r="Y20" s="23">
        <v>4687852.0</v>
      </c>
      <c r="Z20" s="24">
        <f t="shared" si="3"/>
        <v>1</v>
      </c>
      <c r="AA20" s="23">
        <v>4687852.0</v>
      </c>
      <c r="AB20" s="20"/>
      <c r="AC20" s="25">
        <f t="shared" si="4"/>
        <v>0</v>
      </c>
      <c r="AD20" s="20" t="s">
        <v>72</v>
      </c>
      <c r="AE20" s="20"/>
      <c r="AF20" s="20"/>
      <c r="AG20" s="20"/>
      <c r="AH20" s="20"/>
      <c r="AI20" s="20"/>
      <c r="AJ20" s="20"/>
      <c r="AK20" s="20"/>
      <c r="AL20" s="20"/>
      <c r="AM20" s="20"/>
      <c r="AN20" s="26"/>
      <c r="AO20" s="26"/>
      <c r="AP20" s="26"/>
      <c r="AQ20" s="26"/>
      <c r="AR20" s="26"/>
      <c r="AS20" s="26"/>
      <c r="AT20" s="26"/>
    </row>
    <row r="21">
      <c r="A21" s="20">
        <v>19.0</v>
      </c>
      <c r="B21" s="20" t="s">
        <v>97</v>
      </c>
      <c r="C21" s="20"/>
      <c r="D21" s="20"/>
      <c r="E21" s="20"/>
      <c r="F21" s="20"/>
      <c r="G21" s="20"/>
      <c r="H21" s="20" t="s">
        <v>65</v>
      </c>
      <c r="I21" s="20" t="s">
        <v>66</v>
      </c>
      <c r="J21" s="21"/>
      <c r="K21" s="20" t="str">
        <f t="shared" si="1"/>
        <v>LANDS,PHYSICAL PLANNING AND URBAN DEVELOPMENT</v>
      </c>
      <c r="L21" s="20" t="s">
        <v>98</v>
      </c>
      <c r="M21" s="20" t="str">
        <f t="shared" si="2"/>
        <v>LANDS,PHYSICAL PLANNING AND URBAN DEVELOPMENT</v>
      </c>
      <c r="N21" s="22" t="s">
        <v>68</v>
      </c>
      <c r="O21" s="22" t="s">
        <v>69</v>
      </c>
      <c r="P21" s="22" t="s">
        <v>70</v>
      </c>
      <c r="Q21" s="22" t="s">
        <v>70</v>
      </c>
      <c r="R21" s="23">
        <v>4750000.0</v>
      </c>
      <c r="S21" s="23">
        <v>4750000.0</v>
      </c>
      <c r="T21" s="23">
        <v>4750000.0</v>
      </c>
      <c r="U21" s="20" t="s">
        <v>71</v>
      </c>
      <c r="V21" s="20"/>
      <c r="W21" s="23">
        <v>4750000.0</v>
      </c>
      <c r="X21" s="20"/>
      <c r="Y21" s="23">
        <v>4750000.0</v>
      </c>
      <c r="Z21" s="24">
        <f t="shared" si="3"/>
        <v>1</v>
      </c>
      <c r="AA21" s="23">
        <v>4750000.0</v>
      </c>
      <c r="AB21" s="20"/>
      <c r="AC21" s="25">
        <f t="shared" si="4"/>
        <v>0</v>
      </c>
      <c r="AD21" s="20" t="s">
        <v>72</v>
      </c>
      <c r="AE21" s="20"/>
      <c r="AF21" s="20"/>
      <c r="AG21" s="20"/>
      <c r="AH21" s="20"/>
      <c r="AI21" s="20"/>
      <c r="AJ21" s="20"/>
      <c r="AK21" s="20"/>
      <c r="AL21" s="20"/>
      <c r="AM21" s="20"/>
      <c r="AN21" s="26"/>
      <c r="AO21" s="26"/>
      <c r="AP21" s="26"/>
      <c r="AQ21" s="26"/>
      <c r="AR21" s="26"/>
      <c r="AS21" s="26"/>
      <c r="AT21" s="26"/>
    </row>
    <row r="22">
      <c r="A22" s="20">
        <v>20.0</v>
      </c>
      <c r="B22" s="20" t="s">
        <v>99</v>
      </c>
      <c r="C22" s="20"/>
      <c r="D22" s="20"/>
      <c r="E22" s="20"/>
      <c r="F22" s="20"/>
      <c r="G22" s="20"/>
      <c r="H22" s="20" t="s">
        <v>81</v>
      </c>
      <c r="I22" s="20" t="s">
        <v>83</v>
      </c>
      <c r="J22" s="21"/>
      <c r="K22" s="20" t="str">
        <f t="shared" si="1"/>
        <v>AGRICULTURE,LIVESTOCK AND PASTORAL ECONOMY</v>
      </c>
      <c r="L22" s="20" t="s">
        <v>100</v>
      </c>
      <c r="M22" s="20" t="str">
        <f t="shared" si="2"/>
        <v>AGRICULTURE,LIVESTOCK AND PASTORAL ECONOMY</v>
      </c>
      <c r="N22" s="22" t="s">
        <v>68</v>
      </c>
      <c r="O22" s="22" t="s">
        <v>69</v>
      </c>
      <c r="P22" s="22" t="s">
        <v>70</v>
      </c>
      <c r="Q22" s="22" t="s">
        <v>70</v>
      </c>
      <c r="R22" s="23">
        <v>3309210.0</v>
      </c>
      <c r="S22" s="23">
        <v>3309210.0</v>
      </c>
      <c r="T22" s="23">
        <v>3309210.0</v>
      </c>
      <c r="U22" s="20" t="s">
        <v>71</v>
      </c>
      <c r="V22" s="20"/>
      <c r="W22" s="23">
        <v>3309210.0</v>
      </c>
      <c r="X22" s="20"/>
      <c r="Y22" s="23">
        <v>3309210.0</v>
      </c>
      <c r="Z22" s="24">
        <f t="shared" si="3"/>
        <v>1</v>
      </c>
      <c r="AA22" s="23">
        <v>3309210.0</v>
      </c>
      <c r="AB22" s="20"/>
      <c r="AC22" s="25">
        <f t="shared" si="4"/>
        <v>0</v>
      </c>
      <c r="AD22" s="20" t="s">
        <v>72</v>
      </c>
      <c r="AE22" s="20"/>
      <c r="AF22" s="20"/>
      <c r="AG22" s="20"/>
      <c r="AH22" s="20"/>
      <c r="AI22" s="20"/>
      <c r="AJ22" s="20"/>
      <c r="AK22" s="20"/>
      <c r="AL22" s="20"/>
      <c r="AM22" s="20"/>
      <c r="AN22" s="26"/>
      <c r="AO22" s="26"/>
      <c r="AP22" s="26"/>
      <c r="AQ22" s="26"/>
      <c r="AR22" s="26"/>
      <c r="AS22" s="26"/>
      <c r="AT22" s="26"/>
    </row>
    <row r="23">
      <c r="A23" s="20">
        <v>21.0</v>
      </c>
      <c r="B23" s="20" t="s">
        <v>101</v>
      </c>
      <c r="C23" s="20"/>
      <c r="D23" s="20"/>
      <c r="E23" s="20"/>
      <c r="F23" s="20"/>
      <c r="G23" s="20"/>
      <c r="H23" s="20" t="s">
        <v>65</v>
      </c>
      <c r="I23" s="20" t="s">
        <v>66</v>
      </c>
      <c r="J23" s="21"/>
      <c r="K23" s="20" t="str">
        <f t="shared" si="1"/>
        <v>COUNTY AFFAIRS,PUBLIC SERVICES AND INTERGOVERNMENTAL RELATIONS</v>
      </c>
      <c r="L23" s="20" t="s">
        <v>102</v>
      </c>
      <c r="M23" s="20" t="str">
        <f t="shared" si="2"/>
        <v>COUNTY AFFAIRS,PUBLIC SERVICES AND INTERGOVERNMENTAL RELATIONS</v>
      </c>
      <c r="N23" s="22" t="s">
        <v>68</v>
      </c>
      <c r="O23" s="22" t="s">
        <v>69</v>
      </c>
      <c r="P23" s="22" t="s">
        <v>70</v>
      </c>
      <c r="Q23" s="22" t="s">
        <v>70</v>
      </c>
      <c r="R23" s="23">
        <v>1425000.0</v>
      </c>
      <c r="S23" s="23">
        <v>1425000.0</v>
      </c>
      <c r="T23" s="23">
        <v>1425000.0</v>
      </c>
      <c r="U23" s="20" t="s">
        <v>71</v>
      </c>
      <c r="V23" s="20"/>
      <c r="W23" s="23">
        <v>1425000.0</v>
      </c>
      <c r="X23" s="20"/>
      <c r="Y23" s="23">
        <v>1425000.0</v>
      </c>
      <c r="Z23" s="24">
        <f t="shared" si="3"/>
        <v>1</v>
      </c>
      <c r="AA23" s="23">
        <v>1425000.0</v>
      </c>
      <c r="AB23" s="20"/>
      <c r="AC23" s="25">
        <f t="shared" si="4"/>
        <v>0</v>
      </c>
      <c r="AD23" s="20" t="s">
        <v>72</v>
      </c>
      <c r="AE23" s="20"/>
      <c r="AF23" s="20"/>
      <c r="AG23" s="20"/>
      <c r="AH23" s="20"/>
      <c r="AI23" s="20"/>
      <c r="AJ23" s="20"/>
      <c r="AK23" s="20"/>
      <c r="AL23" s="20"/>
      <c r="AM23" s="20"/>
      <c r="AN23" s="26"/>
      <c r="AO23" s="26"/>
      <c r="AP23" s="26"/>
      <c r="AQ23" s="26"/>
      <c r="AR23" s="26"/>
      <c r="AS23" s="26"/>
      <c r="AT23" s="26"/>
    </row>
    <row r="24">
      <c r="A24" s="20">
        <v>22.0</v>
      </c>
      <c r="B24" s="20" t="s">
        <v>103</v>
      </c>
      <c r="C24" s="20"/>
      <c r="D24" s="20"/>
      <c r="E24" s="20"/>
      <c r="F24" s="20"/>
      <c r="G24" s="20"/>
      <c r="H24" s="20" t="s">
        <v>104</v>
      </c>
      <c r="I24" s="20" t="s">
        <v>104</v>
      </c>
      <c r="J24" s="21"/>
      <c r="K24" s="20" t="str">
        <f t="shared" si="1"/>
        <v>WATER,ENVIRONMENT,CLIMATE CHANGE AND NATURAL RESOURCES</v>
      </c>
      <c r="L24" s="20" t="s">
        <v>75</v>
      </c>
      <c r="M24" s="20" t="str">
        <f t="shared" si="2"/>
        <v>WATER,ENVIRONMENT,CLIMATE CHANGE AND NATURAL RESOURCES</v>
      </c>
      <c r="N24" s="22" t="s">
        <v>68</v>
      </c>
      <c r="O24" s="22" t="s">
        <v>69</v>
      </c>
      <c r="P24" s="22" t="s">
        <v>70</v>
      </c>
      <c r="Q24" s="22" t="s">
        <v>70</v>
      </c>
      <c r="R24" s="23">
        <v>1.9E7</v>
      </c>
      <c r="S24" s="23">
        <v>1.9E7</v>
      </c>
      <c r="T24" s="23">
        <v>1.9E7</v>
      </c>
      <c r="U24" s="20" t="s">
        <v>71</v>
      </c>
      <c r="V24" s="20"/>
      <c r="W24" s="23">
        <v>1.9E7</v>
      </c>
      <c r="X24" s="20"/>
      <c r="Y24" s="23">
        <v>1.9E7</v>
      </c>
      <c r="Z24" s="24">
        <f t="shared" si="3"/>
        <v>1</v>
      </c>
      <c r="AA24" s="23">
        <v>1.9E7</v>
      </c>
      <c r="AB24" s="20"/>
      <c r="AC24" s="25">
        <f t="shared" si="4"/>
        <v>0</v>
      </c>
      <c r="AD24" s="20" t="s">
        <v>72</v>
      </c>
      <c r="AE24" s="20"/>
      <c r="AF24" s="20"/>
      <c r="AG24" s="20"/>
      <c r="AH24" s="20"/>
      <c r="AI24" s="20"/>
      <c r="AJ24" s="20"/>
      <c r="AK24" s="20"/>
      <c r="AL24" s="20"/>
      <c r="AM24" s="20"/>
      <c r="AN24" s="26"/>
      <c r="AO24" s="26"/>
      <c r="AP24" s="26"/>
      <c r="AQ24" s="26"/>
      <c r="AR24" s="26"/>
      <c r="AS24" s="26"/>
      <c r="AT24" s="26"/>
    </row>
    <row r="25">
      <c r="A25" s="20">
        <v>23.0</v>
      </c>
      <c r="B25" s="20" t="s">
        <v>105</v>
      </c>
      <c r="C25" s="20"/>
      <c r="D25" s="20"/>
      <c r="E25" s="20"/>
      <c r="F25" s="20"/>
      <c r="G25" s="20"/>
      <c r="H25" s="20" t="s">
        <v>81</v>
      </c>
      <c r="I25" s="20" t="s">
        <v>83</v>
      </c>
      <c r="J25" s="21"/>
      <c r="K25" s="20" t="str">
        <f t="shared" si="1"/>
        <v>AGRICULTURE,LIVESTOCK AND PASTORAL ECONOMY</v>
      </c>
      <c r="L25" s="20" t="s">
        <v>100</v>
      </c>
      <c r="M25" s="20" t="str">
        <f t="shared" si="2"/>
        <v>AGRICULTURE,LIVESTOCK AND PASTORAL ECONOMY</v>
      </c>
      <c r="N25" s="22" t="s">
        <v>68</v>
      </c>
      <c r="O25" s="22" t="s">
        <v>69</v>
      </c>
      <c r="P25" s="22" t="s">
        <v>70</v>
      </c>
      <c r="Q25" s="22" t="s">
        <v>70</v>
      </c>
      <c r="R25" s="23">
        <v>4111317.0</v>
      </c>
      <c r="S25" s="23">
        <v>4111317.0</v>
      </c>
      <c r="T25" s="23">
        <v>4111317.0</v>
      </c>
      <c r="U25" s="20" t="s">
        <v>71</v>
      </c>
      <c r="V25" s="20"/>
      <c r="W25" s="23">
        <v>4111317.0</v>
      </c>
      <c r="X25" s="20"/>
      <c r="Y25" s="23">
        <v>4111317.0</v>
      </c>
      <c r="Z25" s="24">
        <f t="shared" si="3"/>
        <v>1</v>
      </c>
      <c r="AA25" s="23">
        <v>4111317.0</v>
      </c>
      <c r="AB25" s="20"/>
      <c r="AC25" s="25">
        <f t="shared" si="4"/>
        <v>0</v>
      </c>
      <c r="AD25" s="20" t="s">
        <v>72</v>
      </c>
      <c r="AE25" s="20"/>
      <c r="AF25" s="20"/>
      <c r="AG25" s="20"/>
      <c r="AH25" s="20"/>
      <c r="AI25" s="20"/>
      <c r="AJ25" s="20"/>
      <c r="AK25" s="20"/>
      <c r="AL25" s="20"/>
      <c r="AM25" s="20"/>
      <c r="AN25" s="26"/>
      <c r="AO25" s="26"/>
      <c r="AP25" s="26"/>
      <c r="AQ25" s="26"/>
      <c r="AR25" s="26"/>
      <c r="AS25" s="26"/>
      <c r="AT25" s="26"/>
    </row>
    <row r="26">
      <c r="A26" s="20">
        <v>24.0</v>
      </c>
      <c r="B26" s="20" t="s">
        <v>106</v>
      </c>
      <c r="C26" s="20"/>
      <c r="D26" s="20"/>
      <c r="E26" s="20"/>
      <c r="F26" s="20"/>
      <c r="G26" s="20"/>
      <c r="H26" s="20" t="s">
        <v>65</v>
      </c>
      <c r="I26" s="20" t="s">
        <v>66</v>
      </c>
      <c r="J26" s="21"/>
      <c r="K26" s="20" t="str">
        <f t="shared" si="1"/>
        <v>ROADS,TRANSPORT AND PUBLIC WORKS</v>
      </c>
      <c r="L26" s="20" t="s">
        <v>107</v>
      </c>
      <c r="M26" s="20" t="str">
        <f t="shared" si="2"/>
        <v>ROADS,TRANSPORT AND PUBLIC WORKS</v>
      </c>
      <c r="N26" s="22" t="s">
        <v>68</v>
      </c>
      <c r="O26" s="22" t="s">
        <v>69</v>
      </c>
      <c r="P26" s="22" t="s">
        <v>70</v>
      </c>
      <c r="Q26" s="22" t="s">
        <v>70</v>
      </c>
      <c r="R26" s="23">
        <v>2375000.0</v>
      </c>
      <c r="S26" s="23">
        <v>2375000.0</v>
      </c>
      <c r="T26" s="23">
        <v>2375000.0</v>
      </c>
      <c r="U26" s="20" t="s">
        <v>71</v>
      </c>
      <c r="V26" s="20"/>
      <c r="W26" s="23">
        <v>2375000.0</v>
      </c>
      <c r="X26" s="20"/>
      <c r="Y26" s="23">
        <v>2375000.0</v>
      </c>
      <c r="Z26" s="24">
        <f t="shared" si="3"/>
        <v>1</v>
      </c>
      <c r="AA26" s="23">
        <v>2375000.0</v>
      </c>
      <c r="AB26" s="20"/>
      <c r="AC26" s="25">
        <f t="shared" si="4"/>
        <v>0</v>
      </c>
      <c r="AD26" s="20" t="s">
        <v>72</v>
      </c>
      <c r="AE26" s="20"/>
      <c r="AF26" s="20"/>
      <c r="AG26" s="20"/>
      <c r="AH26" s="20"/>
      <c r="AI26" s="20"/>
      <c r="AJ26" s="20"/>
      <c r="AK26" s="20"/>
      <c r="AL26" s="20"/>
      <c r="AM26" s="20"/>
      <c r="AN26" s="26"/>
      <c r="AO26" s="26"/>
      <c r="AP26" s="26"/>
      <c r="AQ26" s="26"/>
      <c r="AR26" s="26"/>
      <c r="AS26" s="26"/>
      <c r="AT26" s="26"/>
    </row>
    <row r="27">
      <c r="A27" s="20">
        <v>25.0</v>
      </c>
      <c r="B27" s="20" t="s">
        <v>108</v>
      </c>
      <c r="C27" s="20"/>
      <c r="D27" s="20"/>
      <c r="E27" s="20"/>
      <c r="F27" s="20"/>
      <c r="G27" s="20"/>
      <c r="H27" s="20" t="s">
        <v>81</v>
      </c>
      <c r="I27" s="20" t="s">
        <v>83</v>
      </c>
      <c r="J27" s="21"/>
      <c r="K27" s="20" t="str">
        <f t="shared" si="1"/>
        <v>ROADS,TRANSPORT AND PUBLIC WORKS</v>
      </c>
      <c r="L27" s="20" t="s">
        <v>107</v>
      </c>
      <c r="M27" s="20" t="str">
        <f t="shared" si="2"/>
        <v>ROADS,TRANSPORT AND PUBLIC WORKS</v>
      </c>
      <c r="N27" s="22" t="s">
        <v>68</v>
      </c>
      <c r="O27" s="22" t="s">
        <v>69</v>
      </c>
      <c r="P27" s="22" t="s">
        <v>70</v>
      </c>
      <c r="Q27" s="22" t="s">
        <v>70</v>
      </c>
      <c r="R27" s="23">
        <v>3040000.0</v>
      </c>
      <c r="S27" s="23">
        <v>3040000.0</v>
      </c>
      <c r="T27" s="23">
        <v>3040000.0</v>
      </c>
      <c r="U27" s="20" t="s">
        <v>71</v>
      </c>
      <c r="V27" s="20"/>
      <c r="W27" s="23">
        <v>3040000.0</v>
      </c>
      <c r="X27" s="20"/>
      <c r="Y27" s="23">
        <v>3040000.0</v>
      </c>
      <c r="Z27" s="24">
        <f t="shared" si="3"/>
        <v>1</v>
      </c>
      <c r="AA27" s="23">
        <v>3040000.0</v>
      </c>
      <c r="AB27" s="20"/>
      <c r="AC27" s="25">
        <f t="shared" si="4"/>
        <v>0</v>
      </c>
      <c r="AD27" s="20" t="s">
        <v>72</v>
      </c>
      <c r="AE27" s="20"/>
      <c r="AF27" s="20"/>
      <c r="AG27" s="20"/>
      <c r="AH27" s="20"/>
      <c r="AI27" s="20"/>
      <c r="AJ27" s="20"/>
      <c r="AK27" s="20"/>
      <c r="AL27" s="20"/>
      <c r="AM27" s="20"/>
      <c r="AN27" s="26"/>
      <c r="AO27" s="26"/>
      <c r="AP27" s="26"/>
      <c r="AQ27" s="26"/>
      <c r="AR27" s="26"/>
      <c r="AS27" s="26"/>
      <c r="AT27" s="26"/>
    </row>
    <row r="28">
      <c r="A28" s="20">
        <v>26.0</v>
      </c>
      <c r="B28" s="20" t="s">
        <v>109</v>
      </c>
      <c r="C28" s="20"/>
      <c r="D28" s="20"/>
      <c r="E28" s="20"/>
      <c r="F28" s="20"/>
      <c r="G28" s="20"/>
      <c r="H28" s="20" t="s">
        <v>81</v>
      </c>
      <c r="I28" s="20" t="s">
        <v>81</v>
      </c>
      <c r="J28" s="21"/>
      <c r="K28" s="20" t="str">
        <f t="shared" si="1"/>
        <v>ROADS,TRANSPORT AND PUBLIC WORKS</v>
      </c>
      <c r="L28" s="20" t="s">
        <v>107</v>
      </c>
      <c r="M28" s="20" t="str">
        <f t="shared" si="2"/>
        <v>ROADS,TRANSPORT AND PUBLIC WORKS</v>
      </c>
      <c r="N28" s="22" t="s">
        <v>68</v>
      </c>
      <c r="O28" s="22" t="s">
        <v>69</v>
      </c>
      <c r="P28" s="22" t="s">
        <v>70</v>
      </c>
      <c r="Q28" s="22" t="s">
        <v>70</v>
      </c>
      <c r="R28" s="23">
        <v>3000000.0</v>
      </c>
      <c r="S28" s="23">
        <v>3000000.0</v>
      </c>
      <c r="T28" s="23">
        <v>3000000.0</v>
      </c>
      <c r="U28" s="20" t="s">
        <v>71</v>
      </c>
      <c r="V28" s="20"/>
      <c r="W28" s="23">
        <v>3000000.0</v>
      </c>
      <c r="X28" s="20"/>
      <c r="Y28" s="23">
        <v>3000000.0</v>
      </c>
      <c r="Z28" s="24">
        <f t="shared" si="3"/>
        <v>1</v>
      </c>
      <c r="AA28" s="23">
        <v>3000000.0</v>
      </c>
      <c r="AB28" s="20"/>
      <c r="AC28" s="25">
        <f t="shared" si="4"/>
        <v>0</v>
      </c>
      <c r="AD28" s="20" t="s">
        <v>72</v>
      </c>
      <c r="AE28" s="20"/>
      <c r="AF28" s="20"/>
      <c r="AG28" s="20"/>
      <c r="AH28" s="20"/>
      <c r="AI28" s="20"/>
      <c r="AJ28" s="20"/>
      <c r="AK28" s="20"/>
      <c r="AL28" s="20"/>
      <c r="AM28" s="20"/>
      <c r="AN28" s="26"/>
      <c r="AO28" s="26"/>
      <c r="AP28" s="26"/>
      <c r="AQ28" s="26"/>
      <c r="AR28" s="26"/>
      <c r="AS28" s="26"/>
      <c r="AT28" s="26"/>
    </row>
    <row r="29">
      <c r="A29" s="20">
        <v>27.0</v>
      </c>
      <c r="B29" s="20" t="s">
        <v>110</v>
      </c>
      <c r="C29" s="20"/>
      <c r="D29" s="20"/>
      <c r="E29" s="20"/>
      <c r="F29" s="20"/>
      <c r="G29" s="20"/>
      <c r="H29" s="20" t="s">
        <v>65</v>
      </c>
      <c r="I29" s="20" t="s">
        <v>74</v>
      </c>
      <c r="J29" s="21"/>
      <c r="K29" s="20" t="str">
        <f t="shared" si="1"/>
        <v>ROADS,TRANSPORT AND PUBLIC WORKS</v>
      </c>
      <c r="L29" s="20" t="s">
        <v>107</v>
      </c>
      <c r="M29" s="20" t="str">
        <f t="shared" si="2"/>
        <v>ROADS,TRANSPORT AND PUBLIC WORKS</v>
      </c>
      <c r="N29" s="22" t="s">
        <v>68</v>
      </c>
      <c r="O29" s="22" t="s">
        <v>69</v>
      </c>
      <c r="P29" s="22" t="s">
        <v>70</v>
      </c>
      <c r="Q29" s="22" t="s">
        <v>70</v>
      </c>
      <c r="R29" s="23">
        <v>2850000.0</v>
      </c>
      <c r="S29" s="23">
        <v>2850000.0</v>
      </c>
      <c r="T29" s="23">
        <v>2850000.0</v>
      </c>
      <c r="U29" s="20" t="s">
        <v>71</v>
      </c>
      <c r="V29" s="20"/>
      <c r="W29" s="23">
        <v>2850000.0</v>
      </c>
      <c r="X29" s="20"/>
      <c r="Y29" s="23">
        <v>2850000.0</v>
      </c>
      <c r="Z29" s="24">
        <f t="shared" si="3"/>
        <v>1</v>
      </c>
      <c r="AA29" s="23">
        <v>2850000.0</v>
      </c>
      <c r="AB29" s="20"/>
      <c r="AC29" s="25">
        <f t="shared" si="4"/>
        <v>0</v>
      </c>
      <c r="AD29" s="20" t="s">
        <v>72</v>
      </c>
      <c r="AE29" s="20"/>
      <c r="AF29" s="20"/>
      <c r="AG29" s="20"/>
      <c r="AH29" s="20"/>
      <c r="AI29" s="20"/>
      <c r="AJ29" s="20"/>
      <c r="AK29" s="20"/>
      <c r="AL29" s="20"/>
      <c r="AM29" s="20"/>
      <c r="AN29" s="26"/>
      <c r="AO29" s="26"/>
      <c r="AP29" s="26"/>
      <c r="AQ29" s="26"/>
      <c r="AR29" s="26"/>
      <c r="AS29" s="26"/>
      <c r="AT29" s="26"/>
    </row>
    <row r="30">
      <c r="A30" s="20">
        <v>28.0</v>
      </c>
      <c r="B30" s="20" t="s">
        <v>111</v>
      </c>
      <c r="C30" s="20"/>
      <c r="D30" s="20"/>
      <c r="E30" s="20"/>
      <c r="F30" s="20"/>
      <c r="G30" s="20"/>
      <c r="H30" s="20" t="s">
        <v>65</v>
      </c>
      <c r="I30" s="20" t="s">
        <v>66</v>
      </c>
      <c r="J30" s="21"/>
      <c r="K30" s="20" t="str">
        <f t="shared" si="1"/>
        <v>Health services</v>
      </c>
      <c r="L30" s="20" t="s">
        <v>67</v>
      </c>
      <c r="M30" s="20" t="str">
        <f t="shared" si="2"/>
        <v>Health services</v>
      </c>
      <c r="N30" s="22" t="s">
        <v>68</v>
      </c>
      <c r="O30" s="22" t="s">
        <v>69</v>
      </c>
      <c r="P30" s="22" t="s">
        <v>70</v>
      </c>
      <c r="Q30" s="22" t="s">
        <v>70</v>
      </c>
      <c r="R30" s="23">
        <v>2850000.0</v>
      </c>
      <c r="S30" s="23">
        <v>2850000.0</v>
      </c>
      <c r="T30" s="23">
        <v>2850000.0</v>
      </c>
      <c r="U30" s="20" t="s">
        <v>71</v>
      </c>
      <c r="V30" s="20"/>
      <c r="W30" s="23">
        <v>2850000.0</v>
      </c>
      <c r="X30" s="20"/>
      <c r="Y30" s="23">
        <v>2850000.0</v>
      </c>
      <c r="Z30" s="24">
        <f t="shared" si="3"/>
        <v>1</v>
      </c>
      <c r="AA30" s="23">
        <v>2850000.0</v>
      </c>
      <c r="AB30" s="20"/>
      <c r="AC30" s="25">
        <f t="shared" si="4"/>
        <v>0</v>
      </c>
      <c r="AD30" s="20" t="s">
        <v>72</v>
      </c>
      <c r="AE30" s="20"/>
      <c r="AF30" s="20"/>
      <c r="AG30" s="20"/>
      <c r="AH30" s="20"/>
      <c r="AI30" s="20"/>
      <c r="AJ30" s="20"/>
      <c r="AK30" s="20"/>
      <c r="AL30" s="20"/>
      <c r="AM30" s="20"/>
      <c r="AN30" s="26"/>
      <c r="AO30" s="26"/>
      <c r="AP30" s="26"/>
      <c r="AQ30" s="26"/>
      <c r="AR30" s="26"/>
      <c r="AS30" s="26"/>
      <c r="AT30" s="26"/>
    </row>
    <row r="31">
      <c r="A31" s="20">
        <v>29.0</v>
      </c>
      <c r="B31" s="20" t="s">
        <v>110</v>
      </c>
      <c r="C31" s="20"/>
      <c r="D31" s="20"/>
      <c r="E31" s="20"/>
      <c r="F31" s="20"/>
      <c r="G31" s="20"/>
      <c r="H31" s="20" t="s">
        <v>65</v>
      </c>
      <c r="I31" s="20" t="s">
        <v>66</v>
      </c>
      <c r="J31" s="21"/>
      <c r="K31" s="20" t="str">
        <f t="shared" si="1"/>
        <v>ROADS,TRANSPORT AND PUBLIC WORKS</v>
      </c>
      <c r="L31" s="20" t="s">
        <v>107</v>
      </c>
      <c r="M31" s="20" t="str">
        <f t="shared" si="2"/>
        <v>ROADS,TRANSPORT AND PUBLIC WORKS</v>
      </c>
      <c r="N31" s="22" t="s">
        <v>68</v>
      </c>
      <c r="O31" s="22" t="s">
        <v>69</v>
      </c>
      <c r="P31" s="22" t="s">
        <v>70</v>
      </c>
      <c r="Q31" s="22" t="s">
        <v>70</v>
      </c>
      <c r="R31" s="23">
        <v>2850000.0</v>
      </c>
      <c r="S31" s="23">
        <v>2850000.0</v>
      </c>
      <c r="T31" s="23">
        <v>2850000.0</v>
      </c>
      <c r="U31" s="20" t="s">
        <v>71</v>
      </c>
      <c r="V31" s="20"/>
      <c r="W31" s="23">
        <v>2850000.0</v>
      </c>
      <c r="X31" s="20"/>
      <c r="Y31" s="23">
        <v>2850000.0</v>
      </c>
      <c r="Z31" s="24">
        <f t="shared" si="3"/>
        <v>1</v>
      </c>
      <c r="AA31" s="23">
        <v>2850000.0</v>
      </c>
      <c r="AB31" s="20"/>
      <c r="AC31" s="25">
        <f t="shared" si="4"/>
        <v>0</v>
      </c>
      <c r="AD31" s="20" t="s">
        <v>72</v>
      </c>
      <c r="AE31" s="20"/>
      <c r="AF31" s="20"/>
      <c r="AG31" s="20"/>
      <c r="AH31" s="20"/>
      <c r="AI31" s="20"/>
      <c r="AJ31" s="20"/>
      <c r="AK31" s="20"/>
      <c r="AL31" s="20"/>
      <c r="AM31" s="20"/>
      <c r="AN31" s="26"/>
      <c r="AO31" s="26"/>
      <c r="AP31" s="26"/>
      <c r="AQ31" s="26"/>
      <c r="AR31" s="26"/>
      <c r="AS31" s="26"/>
      <c r="AT31" s="26"/>
    </row>
    <row r="32">
      <c r="A32" s="20">
        <v>30.0</v>
      </c>
      <c r="B32" s="20" t="s">
        <v>112</v>
      </c>
      <c r="C32" s="20"/>
      <c r="D32" s="20"/>
      <c r="E32" s="20"/>
      <c r="F32" s="20"/>
      <c r="G32" s="20"/>
      <c r="H32" s="20" t="s">
        <v>113</v>
      </c>
      <c r="I32" s="20" t="s">
        <v>114</v>
      </c>
      <c r="J32" s="21"/>
      <c r="K32" s="20" t="str">
        <f t="shared" si="1"/>
        <v>Health services</v>
      </c>
      <c r="L32" s="20" t="s">
        <v>67</v>
      </c>
      <c r="M32" s="20" t="str">
        <f t="shared" si="2"/>
        <v>Health services</v>
      </c>
      <c r="N32" s="22" t="s">
        <v>68</v>
      </c>
      <c r="O32" s="22" t="s">
        <v>69</v>
      </c>
      <c r="P32" s="22" t="s">
        <v>70</v>
      </c>
      <c r="Q32" s="22" t="s">
        <v>70</v>
      </c>
      <c r="R32" s="23">
        <v>3325000.0</v>
      </c>
      <c r="S32" s="23">
        <v>3325000.0</v>
      </c>
      <c r="T32" s="23">
        <v>3325000.0</v>
      </c>
      <c r="U32" s="20" t="s">
        <v>71</v>
      </c>
      <c r="V32" s="20"/>
      <c r="W32" s="23">
        <v>3325000.0</v>
      </c>
      <c r="X32" s="20"/>
      <c r="Y32" s="23">
        <v>3325000.0</v>
      </c>
      <c r="Z32" s="24">
        <f t="shared" si="3"/>
        <v>1</v>
      </c>
      <c r="AA32" s="23">
        <v>3325000.0</v>
      </c>
      <c r="AB32" s="20"/>
      <c r="AC32" s="25">
        <f t="shared" si="4"/>
        <v>0</v>
      </c>
      <c r="AD32" s="20" t="s">
        <v>72</v>
      </c>
      <c r="AE32" s="20"/>
      <c r="AF32" s="20"/>
      <c r="AG32" s="20"/>
      <c r="AH32" s="20"/>
      <c r="AI32" s="20"/>
      <c r="AJ32" s="20"/>
      <c r="AK32" s="20"/>
      <c r="AL32" s="20"/>
      <c r="AM32" s="20"/>
      <c r="AN32" s="26"/>
      <c r="AO32" s="26"/>
      <c r="AP32" s="26"/>
      <c r="AQ32" s="26"/>
      <c r="AR32" s="26"/>
      <c r="AS32" s="26"/>
      <c r="AT32" s="26"/>
    </row>
    <row r="33">
      <c r="A33" s="20">
        <v>31.0</v>
      </c>
      <c r="B33" s="20" t="s">
        <v>115</v>
      </c>
      <c r="C33" s="20"/>
      <c r="D33" s="20"/>
      <c r="E33" s="20"/>
      <c r="F33" s="20"/>
      <c r="G33" s="20"/>
      <c r="H33" s="20" t="s">
        <v>104</v>
      </c>
      <c r="I33" s="20" t="s">
        <v>104</v>
      </c>
      <c r="J33" s="21"/>
      <c r="K33" s="20" t="str">
        <f t="shared" si="1"/>
        <v>Health services</v>
      </c>
      <c r="L33" s="20" t="s">
        <v>67</v>
      </c>
      <c r="M33" s="20" t="str">
        <f t="shared" si="2"/>
        <v>Health services</v>
      </c>
      <c r="N33" s="22" t="s">
        <v>68</v>
      </c>
      <c r="O33" s="22" t="s">
        <v>69</v>
      </c>
      <c r="P33" s="22" t="s">
        <v>70</v>
      </c>
      <c r="Q33" s="22" t="s">
        <v>70</v>
      </c>
      <c r="R33" s="23">
        <v>3325000.0</v>
      </c>
      <c r="S33" s="23">
        <v>3325000.0</v>
      </c>
      <c r="T33" s="23">
        <v>3325000.0</v>
      </c>
      <c r="U33" s="20" t="s">
        <v>71</v>
      </c>
      <c r="V33" s="20"/>
      <c r="W33" s="23">
        <v>3325000.0</v>
      </c>
      <c r="X33" s="20"/>
      <c r="Y33" s="23">
        <v>3325000.0</v>
      </c>
      <c r="Z33" s="24">
        <f t="shared" si="3"/>
        <v>1</v>
      </c>
      <c r="AA33" s="23">
        <v>3325000.0</v>
      </c>
      <c r="AB33" s="20"/>
      <c r="AC33" s="25">
        <f t="shared" si="4"/>
        <v>0</v>
      </c>
      <c r="AD33" s="20" t="s">
        <v>72</v>
      </c>
      <c r="AE33" s="20"/>
      <c r="AF33" s="20"/>
      <c r="AG33" s="20"/>
      <c r="AH33" s="20"/>
      <c r="AI33" s="20"/>
      <c r="AJ33" s="20"/>
      <c r="AK33" s="20"/>
      <c r="AL33" s="20"/>
      <c r="AM33" s="20"/>
      <c r="AN33" s="26"/>
      <c r="AO33" s="26"/>
      <c r="AP33" s="26"/>
      <c r="AQ33" s="26"/>
      <c r="AR33" s="26"/>
      <c r="AS33" s="26"/>
      <c r="AT33" s="26"/>
    </row>
    <row r="34">
      <c r="A34" s="20">
        <v>32.0</v>
      </c>
      <c r="B34" s="20" t="s">
        <v>112</v>
      </c>
      <c r="C34" s="20"/>
      <c r="D34" s="20"/>
      <c r="E34" s="20"/>
      <c r="F34" s="20"/>
      <c r="G34" s="20"/>
      <c r="H34" s="20" t="s">
        <v>113</v>
      </c>
      <c r="I34" s="20" t="s">
        <v>114</v>
      </c>
      <c r="J34" s="21"/>
      <c r="K34" s="20" t="str">
        <f t="shared" si="1"/>
        <v>Health services</v>
      </c>
      <c r="L34" s="20" t="s">
        <v>67</v>
      </c>
      <c r="M34" s="20" t="str">
        <f t="shared" si="2"/>
        <v>Health services</v>
      </c>
      <c r="N34" s="22" t="s">
        <v>68</v>
      </c>
      <c r="O34" s="22" t="s">
        <v>69</v>
      </c>
      <c r="P34" s="22" t="s">
        <v>70</v>
      </c>
      <c r="Q34" s="22" t="s">
        <v>70</v>
      </c>
      <c r="R34" s="23">
        <v>3040000.0</v>
      </c>
      <c r="S34" s="23">
        <v>3040000.0</v>
      </c>
      <c r="T34" s="23">
        <v>3040000.0</v>
      </c>
      <c r="U34" s="20" t="s">
        <v>71</v>
      </c>
      <c r="V34" s="20"/>
      <c r="W34" s="23">
        <v>3040000.0</v>
      </c>
      <c r="X34" s="20"/>
      <c r="Y34" s="23">
        <v>3040000.0</v>
      </c>
      <c r="Z34" s="24">
        <f t="shared" si="3"/>
        <v>1</v>
      </c>
      <c r="AA34" s="23">
        <v>3040000.0</v>
      </c>
      <c r="AB34" s="20"/>
      <c r="AC34" s="25">
        <f t="shared" si="4"/>
        <v>0</v>
      </c>
      <c r="AD34" s="20" t="s">
        <v>72</v>
      </c>
      <c r="AE34" s="20"/>
      <c r="AF34" s="20"/>
      <c r="AG34" s="20"/>
      <c r="AH34" s="20"/>
      <c r="AI34" s="20"/>
      <c r="AJ34" s="20"/>
      <c r="AK34" s="20"/>
      <c r="AL34" s="20"/>
      <c r="AM34" s="20"/>
      <c r="AN34" s="26"/>
      <c r="AO34" s="26"/>
      <c r="AP34" s="26"/>
      <c r="AQ34" s="26"/>
      <c r="AR34" s="26"/>
      <c r="AS34" s="26"/>
      <c r="AT34" s="26"/>
    </row>
    <row r="35">
      <c r="A35" s="20">
        <v>33.0</v>
      </c>
      <c r="B35" s="20" t="s">
        <v>116</v>
      </c>
      <c r="C35" s="20"/>
      <c r="D35" s="20"/>
      <c r="E35" s="20"/>
      <c r="F35" s="20"/>
      <c r="G35" s="20"/>
      <c r="H35" s="20" t="s">
        <v>104</v>
      </c>
      <c r="I35" s="20" t="s">
        <v>104</v>
      </c>
      <c r="J35" s="21"/>
      <c r="K35" s="20" t="str">
        <f t="shared" si="1"/>
        <v>Health services</v>
      </c>
      <c r="L35" s="20" t="s">
        <v>67</v>
      </c>
      <c r="M35" s="20" t="str">
        <f t="shared" si="2"/>
        <v>Health services</v>
      </c>
      <c r="N35" s="22" t="s">
        <v>68</v>
      </c>
      <c r="O35" s="22" t="s">
        <v>69</v>
      </c>
      <c r="P35" s="22" t="s">
        <v>70</v>
      </c>
      <c r="Q35" s="22" t="s">
        <v>70</v>
      </c>
      <c r="R35" s="23">
        <v>3580569.0</v>
      </c>
      <c r="S35" s="23">
        <v>3580569.0</v>
      </c>
      <c r="T35" s="23">
        <v>3580569.0</v>
      </c>
      <c r="U35" s="20" t="s">
        <v>71</v>
      </c>
      <c r="V35" s="20"/>
      <c r="W35" s="23">
        <v>3580569.0</v>
      </c>
      <c r="X35" s="20"/>
      <c r="Y35" s="23">
        <v>3580569.0</v>
      </c>
      <c r="Z35" s="24">
        <f t="shared" si="3"/>
        <v>1</v>
      </c>
      <c r="AA35" s="23">
        <v>3580569.0</v>
      </c>
      <c r="AB35" s="20"/>
      <c r="AC35" s="25">
        <f t="shared" si="4"/>
        <v>0</v>
      </c>
      <c r="AD35" s="20" t="s">
        <v>72</v>
      </c>
      <c r="AE35" s="20"/>
      <c r="AF35" s="20"/>
      <c r="AG35" s="20"/>
      <c r="AH35" s="20"/>
      <c r="AI35" s="20"/>
      <c r="AJ35" s="20"/>
      <c r="AK35" s="20"/>
      <c r="AL35" s="20"/>
      <c r="AM35" s="20"/>
      <c r="AN35" s="26"/>
      <c r="AO35" s="26"/>
      <c r="AP35" s="26"/>
      <c r="AQ35" s="26"/>
      <c r="AR35" s="26"/>
      <c r="AS35" s="26"/>
      <c r="AT35" s="26"/>
    </row>
    <row r="36">
      <c r="A36" s="20">
        <v>34.0</v>
      </c>
      <c r="B36" s="20" t="s">
        <v>117</v>
      </c>
      <c r="C36" s="20"/>
      <c r="D36" s="20"/>
      <c r="E36" s="20"/>
      <c r="F36" s="20"/>
      <c r="G36" s="20"/>
      <c r="H36" s="20" t="s">
        <v>65</v>
      </c>
      <c r="I36" s="20" t="s">
        <v>66</v>
      </c>
      <c r="J36" s="21"/>
      <c r="K36" s="20" t="str">
        <f t="shared" si="1"/>
        <v>LANDS,PHYSICAL PLANNING AND URBAN DEVELOPMENT</v>
      </c>
      <c r="L36" s="20" t="s">
        <v>98</v>
      </c>
      <c r="M36" s="20" t="str">
        <f t="shared" si="2"/>
        <v>LANDS,PHYSICAL PLANNING AND URBAN DEVELOPMENT</v>
      </c>
      <c r="N36" s="22" t="s">
        <v>68</v>
      </c>
      <c r="O36" s="22" t="s">
        <v>69</v>
      </c>
      <c r="P36" s="22" t="s">
        <v>70</v>
      </c>
      <c r="Q36" s="22" t="s">
        <v>70</v>
      </c>
      <c r="R36" s="23">
        <v>5985000.0</v>
      </c>
      <c r="S36" s="23">
        <v>5985000.0</v>
      </c>
      <c r="T36" s="23">
        <v>5985000.0</v>
      </c>
      <c r="U36" s="20" t="s">
        <v>71</v>
      </c>
      <c r="V36" s="20"/>
      <c r="W36" s="23">
        <v>5985000.0</v>
      </c>
      <c r="X36" s="20"/>
      <c r="Y36" s="23">
        <v>5985000.0</v>
      </c>
      <c r="Z36" s="24">
        <f t="shared" si="3"/>
        <v>1</v>
      </c>
      <c r="AA36" s="23">
        <v>5985000.0</v>
      </c>
      <c r="AB36" s="20"/>
      <c r="AC36" s="25">
        <f t="shared" si="4"/>
        <v>0</v>
      </c>
      <c r="AD36" s="20" t="s">
        <v>72</v>
      </c>
      <c r="AE36" s="20"/>
      <c r="AF36" s="20"/>
      <c r="AG36" s="20"/>
      <c r="AH36" s="20"/>
      <c r="AI36" s="20"/>
      <c r="AJ36" s="20"/>
      <c r="AK36" s="20"/>
      <c r="AL36" s="20"/>
      <c r="AM36" s="20"/>
      <c r="AN36" s="26"/>
      <c r="AO36" s="26"/>
      <c r="AP36" s="26"/>
      <c r="AQ36" s="26"/>
      <c r="AR36" s="26"/>
      <c r="AS36" s="26"/>
      <c r="AT36" s="26"/>
    </row>
    <row r="37">
      <c r="A37" s="20">
        <v>35.0</v>
      </c>
      <c r="B37" s="29" t="s">
        <v>118</v>
      </c>
      <c r="C37" s="30"/>
      <c r="D37" s="20"/>
      <c r="E37" s="20"/>
      <c r="F37" s="20"/>
      <c r="G37" s="20"/>
      <c r="H37" s="20" t="s">
        <v>65</v>
      </c>
      <c r="I37" s="20" t="s">
        <v>74</v>
      </c>
      <c r="J37" s="21"/>
      <c r="K37" s="20" t="str">
        <f t="shared" si="1"/>
        <v>WATER,ENVIRONMENT,CLIMATE CHANGE AND NATURAL RESOURCES</v>
      </c>
      <c r="L37" s="20" t="s">
        <v>75</v>
      </c>
      <c r="M37" s="20" t="str">
        <f t="shared" si="2"/>
        <v>WATER,ENVIRONMENT,CLIMATE CHANGE AND NATURAL RESOURCES</v>
      </c>
      <c r="N37" s="22" t="s">
        <v>119</v>
      </c>
      <c r="O37" s="22" t="s">
        <v>120</v>
      </c>
      <c r="P37" s="20" t="s">
        <v>121</v>
      </c>
      <c r="Q37" s="20" t="s">
        <v>121</v>
      </c>
      <c r="R37" s="30">
        <v>8383387.45</v>
      </c>
      <c r="S37" s="30">
        <v>8383387.45</v>
      </c>
      <c r="T37" s="30">
        <v>8383387.45</v>
      </c>
      <c r="U37" s="20" t="s">
        <v>71</v>
      </c>
      <c r="V37" s="20"/>
      <c r="W37" s="30">
        <v>8383387.45</v>
      </c>
      <c r="X37" s="20"/>
      <c r="Y37" s="30">
        <v>8383387.45</v>
      </c>
      <c r="Z37" s="24">
        <f t="shared" si="3"/>
        <v>1</v>
      </c>
      <c r="AA37" s="23">
        <f t="shared" ref="AA37:AA868" si="5">Y37</f>
        <v>8383387.45</v>
      </c>
      <c r="AB37" s="20"/>
      <c r="AC37" s="25">
        <f t="shared" si="4"/>
        <v>0</v>
      </c>
      <c r="AD37" s="20" t="s">
        <v>72</v>
      </c>
      <c r="AE37" s="20"/>
      <c r="AF37" s="20"/>
      <c r="AG37" s="20"/>
      <c r="AH37" s="20"/>
      <c r="AI37" s="20"/>
      <c r="AJ37" s="20"/>
      <c r="AK37" s="20"/>
      <c r="AL37" s="20"/>
      <c r="AM37" s="20"/>
      <c r="AN37" s="26"/>
      <c r="AO37" s="26"/>
      <c r="AP37" s="26"/>
      <c r="AQ37" s="26"/>
      <c r="AR37" s="26"/>
      <c r="AS37" s="26"/>
      <c r="AT37" s="26"/>
    </row>
    <row r="38">
      <c r="A38" s="20">
        <v>36.0</v>
      </c>
      <c r="B38" s="29" t="s">
        <v>118</v>
      </c>
      <c r="C38" s="30"/>
      <c r="D38" s="20"/>
      <c r="E38" s="20"/>
      <c r="F38" s="20"/>
      <c r="G38" s="20"/>
      <c r="H38" s="20" t="s">
        <v>65</v>
      </c>
      <c r="I38" s="20" t="s">
        <v>74</v>
      </c>
      <c r="J38" s="21"/>
      <c r="K38" s="20" t="str">
        <f t="shared" si="1"/>
        <v>WATER,ENVIRONMENT,CLIMATE CHANGE AND NATURAL RESOURCES</v>
      </c>
      <c r="L38" s="20" t="s">
        <v>75</v>
      </c>
      <c r="M38" s="20" t="str">
        <f t="shared" si="2"/>
        <v>WATER,ENVIRONMENT,CLIMATE CHANGE AND NATURAL RESOURCES</v>
      </c>
      <c r="N38" s="22" t="s">
        <v>119</v>
      </c>
      <c r="O38" s="22" t="s">
        <v>120</v>
      </c>
      <c r="P38" s="20" t="s">
        <v>121</v>
      </c>
      <c r="Q38" s="20" t="s">
        <v>121</v>
      </c>
      <c r="R38" s="30">
        <v>9500000.0</v>
      </c>
      <c r="S38" s="30">
        <v>9500000.0</v>
      </c>
      <c r="T38" s="30">
        <v>9500000.0</v>
      </c>
      <c r="U38" s="20" t="s">
        <v>71</v>
      </c>
      <c r="V38" s="20"/>
      <c r="W38" s="30">
        <v>9500000.0</v>
      </c>
      <c r="X38" s="20"/>
      <c r="Y38" s="30">
        <v>9500000.0</v>
      </c>
      <c r="Z38" s="24">
        <f t="shared" si="3"/>
        <v>1</v>
      </c>
      <c r="AA38" s="23">
        <f t="shared" si="5"/>
        <v>9500000</v>
      </c>
      <c r="AB38" s="20"/>
      <c r="AC38" s="25">
        <f t="shared" si="4"/>
        <v>0</v>
      </c>
      <c r="AD38" s="20" t="s">
        <v>72</v>
      </c>
      <c r="AE38" s="20"/>
      <c r="AF38" s="20"/>
      <c r="AG38" s="20"/>
      <c r="AH38" s="20"/>
      <c r="AI38" s="20"/>
      <c r="AJ38" s="20"/>
      <c r="AK38" s="20"/>
      <c r="AL38" s="20"/>
      <c r="AM38" s="20"/>
      <c r="AN38" s="26"/>
      <c r="AO38" s="26"/>
      <c r="AP38" s="26"/>
      <c r="AQ38" s="26"/>
      <c r="AR38" s="26"/>
      <c r="AS38" s="26"/>
      <c r="AT38" s="26"/>
    </row>
    <row r="39">
      <c r="A39" s="20">
        <v>37.0</v>
      </c>
      <c r="B39" s="29" t="s">
        <v>122</v>
      </c>
      <c r="C39" s="30"/>
      <c r="D39" s="20"/>
      <c r="E39" s="20"/>
      <c r="F39" s="20"/>
      <c r="G39" s="20"/>
      <c r="H39" s="20" t="s">
        <v>65</v>
      </c>
      <c r="I39" s="20" t="s">
        <v>87</v>
      </c>
      <c r="J39" s="21"/>
      <c r="K39" s="20" t="str">
        <f t="shared" si="1"/>
        <v>WATER,ENVIRONMENT,CLIMATE CHANGE AND NATURAL RESOURCES</v>
      </c>
      <c r="L39" s="20" t="s">
        <v>75</v>
      </c>
      <c r="M39" s="20" t="str">
        <f t="shared" si="2"/>
        <v>WATER,ENVIRONMENT,CLIMATE CHANGE AND NATURAL RESOURCES</v>
      </c>
      <c r="N39" s="22" t="s">
        <v>119</v>
      </c>
      <c r="O39" s="22" t="s">
        <v>120</v>
      </c>
      <c r="P39" s="20" t="s">
        <v>121</v>
      </c>
      <c r="Q39" s="20" t="s">
        <v>121</v>
      </c>
      <c r="R39" s="30">
        <v>1.33E7</v>
      </c>
      <c r="S39" s="30">
        <v>1.33E7</v>
      </c>
      <c r="T39" s="30">
        <v>1.33E7</v>
      </c>
      <c r="U39" s="20" t="s">
        <v>71</v>
      </c>
      <c r="V39" s="20"/>
      <c r="W39" s="30">
        <v>1.33E7</v>
      </c>
      <c r="X39" s="20"/>
      <c r="Y39" s="30">
        <v>1.33E7</v>
      </c>
      <c r="Z39" s="24">
        <f t="shared" si="3"/>
        <v>1</v>
      </c>
      <c r="AA39" s="23">
        <f t="shared" si="5"/>
        <v>13300000</v>
      </c>
      <c r="AB39" s="20"/>
      <c r="AC39" s="25">
        <f t="shared" si="4"/>
        <v>0</v>
      </c>
      <c r="AD39" s="20" t="s">
        <v>72</v>
      </c>
      <c r="AE39" s="20"/>
      <c r="AF39" s="20"/>
      <c r="AG39" s="20"/>
      <c r="AH39" s="20"/>
      <c r="AI39" s="20"/>
      <c r="AJ39" s="20"/>
      <c r="AK39" s="20"/>
      <c r="AL39" s="20"/>
      <c r="AM39" s="20"/>
      <c r="AN39" s="26"/>
      <c r="AO39" s="26"/>
      <c r="AP39" s="26"/>
      <c r="AQ39" s="26"/>
      <c r="AR39" s="26"/>
      <c r="AS39" s="26"/>
      <c r="AT39" s="26"/>
    </row>
    <row r="40">
      <c r="A40" s="20">
        <v>38.0</v>
      </c>
      <c r="B40" s="29" t="s">
        <v>122</v>
      </c>
      <c r="C40" s="30"/>
      <c r="D40" s="20"/>
      <c r="E40" s="20"/>
      <c r="F40" s="20"/>
      <c r="G40" s="20"/>
      <c r="H40" s="20" t="s">
        <v>65</v>
      </c>
      <c r="I40" s="20" t="s">
        <v>87</v>
      </c>
      <c r="J40" s="21"/>
      <c r="K40" s="20" t="str">
        <f t="shared" si="1"/>
        <v>WATER,ENVIRONMENT,CLIMATE CHANGE AND NATURAL RESOURCES</v>
      </c>
      <c r="L40" s="20" t="s">
        <v>75</v>
      </c>
      <c r="M40" s="20" t="str">
        <f t="shared" si="2"/>
        <v>WATER,ENVIRONMENT,CLIMATE CHANGE AND NATURAL RESOURCES</v>
      </c>
      <c r="N40" s="22" t="s">
        <v>119</v>
      </c>
      <c r="O40" s="22" t="s">
        <v>120</v>
      </c>
      <c r="P40" s="20" t="s">
        <v>121</v>
      </c>
      <c r="Q40" s="20" t="s">
        <v>121</v>
      </c>
      <c r="R40" s="30">
        <v>1.2065E7</v>
      </c>
      <c r="S40" s="30">
        <v>1.2065E7</v>
      </c>
      <c r="T40" s="30">
        <v>1.2065E7</v>
      </c>
      <c r="U40" s="20" t="s">
        <v>71</v>
      </c>
      <c r="V40" s="20"/>
      <c r="W40" s="30">
        <v>1.2065E7</v>
      </c>
      <c r="X40" s="20"/>
      <c r="Y40" s="30">
        <v>1.2065E7</v>
      </c>
      <c r="Z40" s="24">
        <f t="shared" si="3"/>
        <v>1</v>
      </c>
      <c r="AA40" s="23">
        <f t="shared" si="5"/>
        <v>12065000</v>
      </c>
      <c r="AB40" s="20"/>
      <c r="AC40" s="25">
        <f t="shared" si="4"/>
        <v>0</v>
      </c>
      <c r="AD40" s="20" t="s">
        <v>72</v>
      </c>
      <c r="AE40" s="20"/>
      <c r="AF40" s="20"/>
      <c r="AG40" s="20"/>
      <c r="AH40" s="20"/>
      <c r="AI40" s="20"/>
      <c r="AJ40" s="20"/>
      <c r="AK40" s="20"/>
      <c r="AL40" s="20"/>
      <c r="AM40" s="20"/>
      <c r="AN40" s="26"/>
      <c r="AO40" s="26"/>
      <c r="AP40" s="26"/>
      <c r="AQ40" s="26"/>
      <c r="AR40" s="26"/>
      <c r="AS40" s="26"/>
      <c r="AT40" s="26"/>
    </row>
    <row r="41">
      <c r="A41" s="20">
        <v>39.0</v>
      </c>
      <c r="B41" s="29" t="s">
        <v>123</v>
      </c>
      <c r="C41" s="30"/>
      <c r="D41" s="20"/>
      <c r="E41" s="20"/>
      <c r="F41" s="20"/>
      <c r="G41" s="20"/>
      <c r="H41" s="20" t="s">
        <v>81</v>
      </c>
      <c r="I41" s="20" t="s">
        <v>83</v>
      </c>
      <c r="J41" s="21"/>
      <c r="K41" s="20" t="str">
        <f t="shared" si="1"/>
        <v>WATER,ENVIRONMENT,CLIMATE CHANGE AND NATURAL RESOURCES</v>
      </c>
      <c r="L41" s="20" t="s">
        <v>75</v>
      </c>
      <c r="M41" s="20" t="str">
        <f t="shared" si="2"/>
        <v>WATER,ENVIRONMENT,CLIMATE CHANGE AND NATURAL RESOURCES</v>
      </c>
      <c r="N41" s="22" t="s">
        <v>119</v>
      </c>
      <c r="O41" s="22" t="s">
        <v>120</v>
      </c>
      <c r="P41" s="20" t="s">
        <v>121</v>
      </c>
      <c r="Q41" s="20" t="s">
        <v>121</v>
      </c>
      <c r="R41" s="30">
        <v>4702500.0</v>
      </c>
      <c r="S41" s="30">
        <v>4702500.0</v>
      </c>
      <c r="T41" s="30">
        <v>4702500.0</v>
      </c>
      <c r="U41" s="20" t="s">
        <v>71</v>
      </c>
      <c r="V41" s="20"/>
      <c r="W41" s="30">
        <v>4702500.0</v>
      </c>
      <c r="X41" s="20"/>
      <c r="Y41" s="30">
        <v>4702500.0</v>
      </c>
      <c r="Z41" s="24">
        <f t="shared" si="3"/>
        <v>1</v>
      </c>
      <c r="AA41" s="23">
        <f t="shared" si="5"/>
        <v>4702500</v>
      </c>
      <c r="AB41" s="20"/>
      <c r="AC41" s="25">
        <f t="shared" si="4"/>
        <v>0</v>
      </c>
      <c r="AD41" s="20" t="s">
        <v>72</v>
      </c>
      <c r="AE41" s="20"/>
      <c r="AF41" s="20"/>
      <c r="AG41" s="20"/>
      <c r="AH41" s="20"/>
      <c r="AI41" s="20"/>
      <c r="AJ41" s="20"/>
      <c r="AK41" s="20"/>
      <c r="AL41" s="20"/>
      <c r="AM41" s="20"/>
      <c r="AN41" s="26"/>
      <c r="AO41" s="26"/>
      <c r="AP41" s="26"/>
      <c r="AQ41" s="26"/>
      <c r="AR41" s="26"/>
      <c r="AS41" s="26"/>
      <c r="AT41" s="26"/>
    </row>
    <row r="42">
      <c r="A42" s="20">
        <v>40.0</v>
      </c>
      <c r="B42" s="29" t="s">
        <v>124</v>
      </c>
      <c r="C42" s="30"/>
      <c r="D42" s="20"/>
      <c r="E42" s="20"/>
      <c r="F42" s="20"/>
      <c r="G42" s="20"/>
      <c r="H42" s="20" t="s">
        <v>65</v>
      </c>
      <c r="I42" s="20" t="s">
        <v>66</v>
      </c>
      <c r="J42" s="21"/>
      <c r="K42" s="20" t="str">
        <f t="shared" si="1"/>
        <v>ROADS,TRANSPORT AND PUBLIC WORKS</v>
      </c>
      <c r="L42" s="20" t="s">
        <v>107</v>
      </c>
      <c r="M42" s="20" t="str">
        <f t="shared" si="2"/>
        <v>ROADS,TRANSPORT AND PUBLIC WORKS</v>
      </c>
      <c r="N42" s="22" t="s">
        <v>119</v>
      </c>
      <c r="O42" s="22" t="s">
        <v>120</v>
      </c>
      <c r="P42" s="20" t="s">
        <v>121</v>
      </c>
      <c r="Q42" s="20" t="s">
        <v>121</v>
      </c>
      <c r="R42" s="30">
        <v>1.28737E7</v>
      </c>
      <c r="S42" s="30">
        <v>1.28737E7</v>
      </c>
      <c r="T42" s="30">
        <v>1.28737E7</v>
      </c>
      <c r="U42" s="20" t="s">
        <v>71</v>
      </c>
      <c r="V42" s="20"/>
      <c r="W42" s="30">
        <v>1.28737E7</v>
      </c>
      <c r="X42" s="20"/>
      <c r="Y42" s="30">
        <v>1.28737E7</v>
      </c>
      <c r="Z42" s="24">
        <f t="shared" si="3"/>
        <v>1</v>
      </c>
      <c r="AA42" s="23">
        <f t="shared" si="5"/>
        <v>12873700</v>
      </c>
      <c r="AB42" s="20"/>
      <c r="AC42" s="25">
        <f t="shared" si="4"/>
        <v>0</v>
      </c>
      <c r="AD42" s="20" t="s">
        <v>72</v>
      </c>
      <c r="AE42" s="20"/>
      <c r="AF42" s="20"/>
      <c r="AG42" s="20"/>
      <c r="AH42" s="20"/>
      <c r="AI42" s="20"/>
      <c r="AJ42" s="20"/>
      <c r="AK42" s="20"/>
      <c r="AL42" s="20"/>
      <c r="AM42" s="20"/>
      <c r="AN42" s="26"/>
      <c r="AO42" s="26"/>
      <c r="AP42" s="26"/>
      <c r="AQ42" s="26"/>
      <c r="AR42" s="26"/>
      <c r="AS42" s="26"/>
      <c r="AT42" s="26"/>
    </row>
    <row r="43">
      <c r="A43" s="20">
        <v>41.0</v>
      </c>
      <c r="B43" s="31" t="s">
        <v>125</v>
      </c>
      <c r="C43" s="32"/>
      <c r="D43" s="20"/>
      <c r="E43" s="20"/>
      <c r="F43" s="20"/>
      <c r="G43" s="20"/>
      <c r="H43" s="20" t="s">
        <v>65</v>
      </c>
      <c r="I43" s="20" t="s">
        <v>90</v>
      </c>
      <c r="J43" s="21"/>
      <c r="K43" s="20" t="str">
        <f t="shared" si="1"/>
        <v>WATER,ENVIRONMENT,CLIMATE CHANGE AND NATURAL RESOURCES</v>
      </c>
      <c r="L43" s="20" t="s">
        <v>75</v>
      </c>
      <c r="M43" s="20" t="str">
        <f t="shared" si="2"/>
        <v>WATER,ENVIRONMENT,CLIMATE CHANGE AND NATURAL RESOURCES</v>
      </c>
      <c r="N43" s="22" t="s">
        <v>119</v>
      </c>
      <c r="O43" s="22" t="s">
        <v>120</v>
      </c>
      <c r="P43" s="20" t="s">
        <v>121</v>
      </c>
      <c r="Q43" s="20" t="s">
        <v>121</v>
      </c>
      <c r="R43" s="32">
        <v>5880098.25</v>
      </c>
      <c r="S43" s="32">
        <v>5880098.25</v>
      </c>
      <c r="T43" s="32">
        <v>5880098.25</v>
      </c>
      <c r="U43" s="20" t="s">
        <v>71</v>
      </c>
      <c r="V43" s="20"/>
      <c r="W43" s="32">
        <v>5880098.25</v>
      </c>
      <c r="X43" s="20"/>
      <c r="Y43" s="32">
        <v>5880098.25</v>
      </c>
      <c r="Z43" s="24">
        <f t="shared" si="3"/>
        <v>1</v>
      </c>
      <c r="AA43" s="23">
        <f t="shared" si="5"/>
        <v>5880098.25</v>
      </c>
      <c r="AB43" s="20"/>
      <c r="AC43" s="25">
        <f t="shared" si="4"/>
        <v>0</v>
      </c>
      <c r="AD43" s="20" t="s">
        <v>72</v>
      </c>
      <c r="AE43" s="20"/>
      <c r="AF43" s="20"/>
      <c r="AG43" s="20"/>
      <c r="AH43" s="20"/>
      <c r="AI43" s="20"/>
      <c r="AJ43" s="20"/>
      <c r="AK43" s="20"/>
      <c r="AL43" s="20"/>
      <c r="AM43" s="20"/>
      <c r="AN43" s="26"/>
      <c r="AO43" s="26"/>
      <c r="AP43" s="26"/>
      <c r="AQ43" s="26"/>
      <c r="AR43" s="26"/>
      <c r="AS43" s="26"/>
      <c r="AT43" s="26"/>
    </row>
    <row r="44">
      <c r="A44" s="20">
        <v>42.0</v>
      </c>
      <c r="B44" s="29" t="s">
        <v>126</v>
      </c>
      <c r="C44" s="30"/>
      <c r="D44" s="20"/>
      <c r="E44" s="20"/>
      <c r="F44" s="20"/>
      <c r="G44" s="20"/>
      <c r="H44" s="20" t="s">
        <v>65</v>
      </c>
      <c r="I44" s="20" t="s">
        <v>66</v>
      </c>
      <c r="J44" s="21"/>
      <c r="K44" s="20" t="str">
        <f t="shared" si="1"/>
        <v>AGRICULTURE,LIVESTOCK AND PASTORAL ECONOMY</v>
      </c>
      <c r="L44" s="20" t="s">
        <v>100</v>
      </c>
      <c r="M44" s="20" t="str">
        <f t="shared" si="2"/>
        <v>AGRICULTURE,LIVESTOCK AND PASTORAL ECONOMY</v>
      </c>
      <c r="N44" s="22" t="s">
        <v>119</v>
      </c>
      <c r="O44" s="22" t="s">
        <v>120</v>
      </c>
      <c r="P44" s="20" t="s">
        <v>121</v>
      </c>
      <c r="Q44" s="20" t="s">
        <v>121</v>
      </c>
      <c r="R44" s="30">
        <v>3800000.0</v>
      </c>
      <c r="S44" s="30">
        <v>3800000.0</v>
      </c>
      <c r="T44" s="30">
        <v>3800000.0</v>
      </c>
      <c r="U44" s="20" t="s">
        <v>71</v>
      </c>
      <c r="V44" s="20"/>
      <c r="W44" s="30">
        <v>3800000.0</v>
      </c>
      <c r="X44" s="20"/>
      <c r="Y44" s="30">
        <v>3800000.0</v>
      </c>
      <c r="Z44" s="24">
        <f t="shared" si="3"/>
        <v>1</v>
      </c>
      <c r="AA44" s="23">
        <f t="shared" si="5"/>
        <v>3800000</v>
      </c>
      <c r="AB44" s="20"/>
      <c r="AC44" s="25">
        <f t="shared" si="4"/>
        <v>0</v>
      </c>
      <c r="AD44" s="20" t="s">
        <v>72</v>
      </c>
      <c r="AE44" s="20"/>
      <c r="AF44" s="20"/>
      <c r="AG44" s="20"/>
      <c r="AH44" s="20"/>
      <c r="AI44" s="20"/>
      <c r="AJ44" s="20"/>
      <c r="AK44" s="20"/>
      <c r="AL44" s="20"/>
      <c r="AM44" s="20"/>
      <c r="AN44" s="26"/>
      <c r="AO44" s="26"/>
      <c r="AP44" s="26"/>
      <c r="AQ44" s="26"/>
      <c r="AR44" s="26"/>
      <c r="AS44" s="26"/>
      <c r="AT44" s="26"/>
    </row>
    <row r="45">
      <c r="A45" s="20">
        <v>43.0</v>
      </c>
      <c r="B45" s="29" t="s">
        <v>127</v>
      </c>
      <c r="C45" s="30"/>
      <c r="D45" s="20"/>
      <c r="E45" s="20"/>
      <c r="F45" s="20"/>
      <c r="G45" s="20"/>
      <c r="H45" s="20" t="s">
        <v>77</v>
      </c>
      <c r="I45" s="20" t="s">
        <v>128</v>
      </c>
      <c r="J45" s="21"/>
      <c r="K45" s="20" t="str">
        <f t="shared" si="1"/>
        <v>WATER,ENVIRONMENT,CLIMATE CHANGE AND NATURAL RESOURCES</v>
      </c>
      <c r="L45" s="20" t="s">
        <v>75</v>
      </c>
      <c r="M45" s="20" t="str">
        <f t="shared" si="2"/>
        <v>WATER,ENVIRONMENT,CLIMATE CHANGE AND NATURAL RESOURCES</v>
      </c>
      <c r="N45" s="22" t="s">
        <v>119</v>
      </c>
      <c r="O45" s="22" t="s">
        <v>120</v>
      </c>
      <c r="P45" s="20" t="s">
        <v>121</v>
      </c>
      <c r="Q45" s="20" t="s">
        <v>121</v>
      </c>
      <c r="R45" s="30">
        <v>2318950.0</v>
      </c>
      <c r="S45" s="30">
        <v>2318950.0</v>
      </c>
      <c r="T45" s="30">
        <v>2318950.0</v>
      </c>
      <c r="U45" s="20" t="s">
        <v>71</v>
      </c>
      <c r="V45" s="20"/>
      <c r="W45" s="30">
        <v>2318950.0</v>
      </c>
      <c r="X45" s="20"/>
      <c r="Y45" s="30">
        <v>2318950.0</v>
      </c>
      <c r="Z45" s="24">
        <f t="shared" si="3"/>
        <v>1</v>
      </c>
      <c r="AA45" s="23">
        <f t="shared" si="5"/>
        <v>2318950</v>
      </c>
      <c r="AB45" s="20"/>
      <c r="AC45" s="25">
        <f t="shared" si="4"/>
        <v>0</v>
      </c>
      <c r="AD45" s="20" t="s">
        <v>72</v>
      </c>
      <c r="AE45" s="20"/>
      <c r="AF45" s="20"/>
      <c r="AG45" s="20"/>
      <c r="AH45" s="20"/>
      <c r="AI45" s="20"/>
      <c r="AJ45" s="20"/>
      <c r="AK45" s="20"/>
      <c r="AL45" s="20"/>
      <c r="AM45" s="20"/>
      <c r="AN45" s="26"/>
      <c r="AO45" s="26"/>
      <c r="AP45" s="26"/>
      <c r="AQ45" s="26"/>
      <c r="AR45" s="26"/>
      <c r="AS45" s="26"/>
      <c r="AT45" s="26"/>
    </row>
    <row r="46">
      <c r="A46" s="20">
        <v>44.0</v>
      </c>
      <c r="B46" s="29" t="s">
        <v>129</v>
      </c>
      <c r="C46" s="30"/>
      <c r="D46" s="20"/>
      <c r="E46" s="20"/>
      <c r="F46" s="20"/>
      <c r="G46" s="20"/>
      <c r="H46" s="20" t="s">
        <v>65</v>
      </c>
      <c r="I46" s="20" t="s">
        <v>66</v>
      </c>
      <c r="J46" s="21"/>
      <c r="K46" s="20" t="str">
        <f t="shared" si="1"/>
        <v>WATER,ENVIRONMENT,CLIMATE CHANGE AND NATURAL RESOURCES</v>
      </c>
      <c r="L46" s="20" t="s">
        <v>75</v>
      </c>
      <c r="M46" s="20" t="str">
        <f t="shared" si="2"/>
        <v>WATER,ENVIRONMENT,CLIMATE CHANGE AND NATURAL RESOURCES</v>
      </c>
      <c r="N46" s="22" t="s">
        <v>119</v>
      </c>
      <c r="O46" s="22" t="s">
        <v>120</v>
      </c>
      <c r="P46" s="20" t="s">
        <v>121</v>
      </c>
      <c r="Q46" s="20" t="s">
        <v>121</v>
      </c>
      <c r="R46" s="30">
        <v>4560000.0</v>
      </c>
      <c r="S46" s="30">
        <v>4560000.0</v>
      </c>
      <c r="T46" s="30">
        <v>4560000.0</v>
      </c>
      <c r="U46" s="20" t="s">
        <v>71</v>
      </c>
      <c r="V46" s="20"/>
      <c r="W46" s="30">
        <v>4560000.0</v>
      </c>
      <c r="X46" s="20"/>
      <c r="Y46" s="30">
        <v>4560000.0</v>
      </c>
      <c r="Z46" s="24">
        <f t="shared" si="3"/>
        <v>1</v>
      </c>
      <c r="AA46" s="23">
        <f t="shared" si="5"/>
        <v>4560000</v>
      </c>
      <c r="AB46" s="20"/>
      <c r="AC46" s="25">
        <f t="shared" si="4"/>
        <v>0</v>
      </c>
      <c r="AD46" s="20" t="s">
        <v>72</v>
      </c>
      <c r="AE46" s="20"/>
      <c r="AF46" s="20"/>
      <c r="AG46" s="20"/>
      <c r="AH46" s="20"/>
      <c r="AI46" s="20"/>
      <c r="AJ46" s="20"/>
      <c r="AK46" s="20"/>
      <c r="AL46" s="20"/>
      <c r="AM46" s="20"/>
      <c r="AN46" s="26"/>
      <c r="AO46" s="26"/>
      <c r="AP46" s="26"/>
      <c r="AQ46" s="26"/>
      <c r="AR46" s="26"/>
      <c r="AS46" s="26"/>
      <c r="AT46" s="26"/>
    </row>
    <row r="47">
      <c r="A47" s="20">
        <v>45.0</v>
      </c>
      <c r="B47" s="29" t="s">
        <v>130</v>
      </c>
      <c r="C47" s="30"/>
      <c r="D47" s="20"/>
      <c r="E47" s="20"/>
      <c r="F47" s="20"/>
      <c r="G47" s="20"/>
      <c r="H47" s="20" t="s">
        <v>104</v>
      </c>
      <c r="I47" s="20" t="s">
        <v>104</v>
      </c>
      <c r="J47" s="21"/>
      <c r="K47" s="20" t="str">
        <f t="shared" si="1"/>
        <v>WATER,ENVIRONMENT,CLIMATE CHANGE AND NATURAL RESOURCES</v>
      </c>
      <c r="L47" s="20" t="s">
        <v>75</v>
      </c>
      <c r="M47" s="20" t="str">
        <f t="shared" si="2"/>
        <v>WATER,ENVIRONMENT,CLIMATE CHANGE AND NATURAL RESOURCES</v>
      </c>
      <c r="N47" s="22" t="s">
        <v>119</v>
      </c>
      <c r="O47" s="22" t="s">
        <v>120</v>
      </c>
      <c r="P47" s="20" t="s">
        <v>121</v>
      </c>
      <c r="Q47" s="20" t="s">
        <v>121</v>
      </c>
      <c r="R47" s="30">
        <v>4.0E7</v>
      </c>
      <c r="S47" s="30">
        <v>4.0E7</v>
      </c>
      <c r="T47" s="30">
        <v>4.0E7</v>
      </c>
      <c r="U47" s="20" t="s">
        <v>71</v>
      </c>
      <c r="V47" s="20"/>
      <c r="W47" s="30">
        <v>4.0E7</v>
      </c>
      <c r="X47" s="20"/>
      <c r="Y47" s="30">
        <v>4.0E7</v>
      </c>
      <c r="Z47" s="24">
        <f t="shared" si="3"/>
        <v>1</v>
      </c>
      <c r="AA47" s="23">
        <f t="shared" si="5"/>
        <v>40000000</v>
      </c>
      <c r="AB47" s="20"/>
      <c r="AC47" s="25">
        <f t="shared" si="4"/>
        <v>0</v>
      </c>
      <c r="AD47" s="20" t="s">
        <v>72</v>
      </c>
      <c r="AE47" s="20"/>
      <c r="AF47" s="20"/>
      <c r="AG47" s="20"/>
      <c r="AH47" s="20"/>
      <c r="AI47" s="20"/>
      <c r="AJ47" s="20"/>
      <c r="AK47" s="20"/>
      <c r="AL47" s="20"/>
      <c r="AM47" s="20"/>
      <c r="AN47" s="26"/>
      <c r="AO47" s="26"/>
      <c r="AP47" s="26"/>
      <c r="AQ47" s="26"/>
      <c r="AR47" s="26"/>
      <c r="AS47" s="26"/>
      <c r="AT47" s="26"/>
    </row>
    <row r="48">
      <c r="A48" s="20">
        <v>46.0</v>
      </c>
      <c r="B48" s="29" t="s">
        <v>131</v>
      </c>
      <c r="C48" s="30"/>
      <c r="D48" s="20"/>
      <c r="E48" s="20"/>
      <c r="F48" s="20"/>
      <c r="G48" s="20"/>
      <c r="H48" s="20" t="s">
        <v>113</v>
      </c>
      <c r="I48" s="20" t="s">
        <v>132</v>
      </c>
      <c r="J48" s="21"/>
      <c r="K48" s="20" t="str">
        <f t="shared" si="1"/>
        <v>Health services</v>
      </c>
      <c r="L48" s="20" t="s">
        <v>67</v>
      </c>
      <c r="M48" s="20" t="str">
        <f t="shared" si="2"/>
        <v>Health services</v>
      </c>
      <c r="N48" s="22" t="s">
        <v>119</v>
      </c>
      <c r="O48" s="22" t="s">
        <v>120</v>
      </c>
      <c r="P48" s="20" t="s">
        <v>121</v>
      </c>
      <c r="Q48" s="20" t="s">
        <v>121</v>
      </c>
      <c r="R48" s="30">
        <v>4940000.0</v>
      </c>
      <c r="S48" s="30">
        <v>4940000.0</v>
      </c>
      <c r="T48" s="30">
        <v>4940000.0</v>
      </c>
      <c r="U48" s="20" t="s">
        <v>71</v>
      </c>
      <c r="V48" s="20"/>
      <c r="W48" s="30">
        <v>4940000.0</v>
      </c>
      <c r="X48" s="20"/>
      <c r="Y48" s="30">
        <v>4940000.0</v>
      </c>
      <c r="Z48" s="24">
        <f t="shared" si="3"/>
        <v>1</v>
      </c>
      <c r="AA48" s="23">
        <f t="shared" si="5"/>
        <v>4940000</v>
      </c>
      <c r="AB48" s="20"/>
      <c r="AC48" s="25">
        <f t="shared" si="4"/>
        <v>0</v>
      </c>
      <c r="AD48" s="20" t="s">
        <v>72</v>
      </c>
      <c r="AE48" s="20"/>
      <c r="AF48" s="20"/>
      <c r="AG48" s="20"/>
      <c r="AH48" s="20"/>
      <c r="AI48" s="20"/>
      <c r="AJ48" s="20"/>
      <c r="AK48" s="20"/>
      <c r="AL48" s="20"/>
      <c r="AM48" s="20"/>
      <c r="AN48" s="26"/>
      <c r="AO48" s="26"/>
      <c r="AP48" s="26"/>
      <c r="AQ48" s="26"/>
      <c r="AR48" s="26"/>
      <c r="AS48" s="26"/>
      <c r="AT48" s="26"/>
    </row>
    <row r="49">
      <c r="A49" s="20">
        <v>47.0</v>
      </c>
      <c r="B49" s="29" t="s">
        <v>133</v>
      </c>
      <c r="C49" s="30"/>
      <c r="D49" s="20"/>
      <c r="E49" s="20"/>
      <c r="F49" s="20"/>
      <c r="G49" s="20"/>
      <c r="H49" s="20" t="s">
        <v>65</v>
      </c>
      <c r="I49" s="20" t="s">
        <v>66</v>
      </c>
      <c r="J49" s="21"/>
      <c r="K49" s="20" t="str">
        <f t="shared" si="1"/>
        <v>FINANCE AND ECONOMIC PLANNING</v>
      </c>
      <c r="L49" s="20" t="s">
        <v>134</v>
      </c>
      <c r="M49" s="20" t="str">
        <f t="shared" si="2"/>
        <v>FINANCE AND ECONOMIC PLANNING</v>
      </c>
      <c r="N49" s="22" t="s">
        <v>119</v>
      </c>
      <c r="O49" s="22" t="s">
        <v>120</v>
      </c>
      <c r="P49" s="20" t="s">
        <v>121</v>
      </c>
      <c r="Q49" s="20" t="s">
        <v>121</v>
      </c>
      <c r="R49" s="30">
        <v>4261708.0</v>
      </c>
      <c r="S49" s="30">
        <v>4261708.0</v>
      </c>
      <c r="T49" s="30">
        <v>4261708.0</v>
      </c>
      <c r="U49" s="20" t="s">
        <v>71</v>
      </c>
      <c r="V49" s="20"/>
      <c r="W49" s="30">
        <v>4261708.0</v>
      </c>
      <c r="X49" s="20"/>
      <c r="Y49" s="30">
        <v>4261708.0</v>
      </c>
      <c r="Z49" s="24">
        <f t="shared" si="3"/>
        <v>1</v>
      </c>
      <c r="AA49" s="23">
        <f t="shared" si="5"/>
        <v>4261708</v>
      </c>
      <c r="AB49" s="20"/>
      <c r="AC49" s="25">
        <f t="shared" si="4"/>
        <v>0</v>
      </c>
      <c r="AD49" s="20" t="s">
        <v>72</v>
      </c>
      <c r="AE49" s="20"/>
      <c r="AF49" s="20"/>
      <c r="AG49" s="20"/>
      <c r="AH49" s="20"/>
      <c r="AI49" s="20"/>
      <c r="AJ49" s="20"/>
      <c r="AK49" s="20"/>
      <c r="AL49" s="20"/>
      <c r="AM49" s="20"/>
      <c r="AN49" s="26"/>
      <c r="AO49" s="26"/>
      <c r="AP49" s="26"/>
      <c r="AQ49" s="26"/>
      <c r="AR49" s="26"/>
      <c r="AS49" s="26"/>
      <c r="AT49" s="26"/>
    </row>
    <row r="50">
      <c r="A50" s="20">
        <v>48.0</v>
      </c>
      <c r="B50" s="29" t="s">
        <v>135</v>
      </c>
      <c r="C50" s="30"/>
      <c r="D50" s="20"/>
      <c r="E50" s="20"/>
      <c r="F50" s="20"/>
      <c r="G50" s="20"/>
      <c r="H50" s="20" t="s">
        <v>65</v>
      </c>
      <c r="I50" s="20" t="s">
        <v>74</v>
      </c>
      <c r="J50" s="21"/>
      <c r="K50" s="20" t="str">
        <f t="shared" si="1"/>
        <v>EDUCATION,INFORMATION AND ICT</v>
      </c>
      <c r="L50" s="20" t="s">
        <v>84</v>
      </c>
      <c r="M50" s="20" t="str">
        <f t="shared" si="2"/>
        <v>EDUCATION,INFORMATION AND ICT</v>
      </c>
      <c r="N50" s="22" t="s">
        <v>119</v>
      </c>
      <c r="O50" s="22" t="s">
        <v>120</v>
      </c>
      <c r="P50" s="20" t="s">
        <v>121</v>
      </c>
      <c r="Q50" s="20" t="s">
        <v>121</v>
      </c>
      <c r="R50" s="30">
        <v>2068332.0</v>
      </c>
      <c r="S50" s="30">
        <v>2068332.0</v>
      </c>
      <c r="T50" s="30">
        <v>2068332.0</v>
      </c>
      <c r="U50" s="20" t="s">
        <v>71</v>
      </c>
      <c r="V50" s="20"/>
      <c r="W50" s="30">
        <v>2068332.0</v>
      </c>
      <c r="X50" s="20"/>
      <c r="Y50" s="30">
        <v>2068332.0</v>
      </c>
      <c r="Z50" s="24">
        <f t="shared" si="3"/>
        <v>1</v>
      </c>
      <c r="AA50" s="23">
        <f t="shared" si="5"/>
        <v>2068332</v>
      </c>
      <c r="AB50" s="20"/>
      <c r="AC50" s="25">
        <f t="shared" si="4"/>
        <v>0</v>
      </c>
      <c r="AD50" s="20" t="s">
        <v>72</v>
      </c>
      <c r="AE50" s="20"/>
      <c r="AF50" s="20"/>
      <c r="AG50" s="20"/>
      <c r="AH50" s="20"/>
      <c r="AI50" s="20"/>
      <c r="AJ50" s="20"/>
      <c r="AK50" s="20"/>
      <c r="AL50" s="20"/>
      <c r="AM50" s="20"/>
      <c r="AN50" s="26"/>
      <c r="AO50" s="26"/>
      <c r="AP50" s="26"/>
      <c r="AQ50" s="26"/>
      <c r="AR50" s="26"/>
      <c r="AS50" s="26"/>
      <c r="AT50" s="26"/>
    </row>
    <row r="51">
      <c r="A51" s="20">
        <v>49.0</v>
      </c>
      <c r="B51" s="29" t="s">
        <v>136</v>
      </c>
      <c r="C51" s="30"/>
      <c r="D51" s="20"/>
      <c r="E51" s="20"/>
      <c r="F51" s="20"/>
      <c r="G51" s="20"/>
      <c r="H51" s="20" t="s">
        <v>65</v>
      </c>
      <c r="I51" s="20" t="s">
        <v>66</v>
      </c>
      <c r="J51" s="21"/>
      <c r="K51" s="20" t="str">
        <f t="shared" si="1"/>
        <v>EDUCATION,INFORMATION AND ICT</v>
      </c>
      <c r="L51" s="20" t="s">
        <v>84</v>
      </c>
      <c r="M51" s="20" t="str">
        <f t="shared" si="2"/>
        <v>EDUCATION,INFORMATION AND ICT</v>
      </c>
      <c r="N51" s="22" t="s">
        <v>119</v>
      </c>
      <c r="O51" s="22" t="s">
        <v>120</v>
      </c>
      <c r="P51" s="20" t="s">
        <v>121</v>
      </c>
      <c r="Q51" s="20" t="s">
        <v>121</v>
      </c>
      <c r="R51" s="30">
        <v>2107290.0</v>
      </c>
      <c r="S51" s="30">
        <v>2107290.0</v>
      </c>
      <c r="T51" s="30">
        <v>2107290.0</v>
      </c>
      <c r="U51" s="20" t="s">
        <v>71</v>
      </c>
      <c r="V51" s="20"/>
      <c r="W51" s="30">
        <v>2107290.0</v>
      </c>
      <c r="X51" s="20"/>
      <c r="Y51" s="30">
        <v>2107290.0</v>
      </c>
      <c r="Z51" s="24">
        <f t="shared" si="3"/>
        <v>1</v>
      </c>
      <c r="AA51" s="23">
        <f t="shared" si="5"/>
        <v>2107290</v>
      </c>
      <c r="AB51" s="20"/>
      <c r="AC51" s="25">
        <f t="shared" si="4"/>
        <v>0</v>
      </c>
      <c r="AD51" s="20" t="s">
        <v>72</v>
      </c>
      <c r="AE51" s="20"/>
      <c r="AF51" s="20"/>
      <c r="AG51" s="20"/>
      <c r="AH51" s="20"/>
      <c r="AI51" s="20"/>
      <c r="AJ51" s="20"/>
      <c r="AK51" s="20"/>
      <c r="AL51" s="20"/>
      <c r="AM51" s="20"/>
      <c r="AN51" s="26"/>
      <c r="AO51" s="26"/>
      <c r="AP51" s="26"/>
      <c r="AQ51" s="26"/>
      <c r="AR51" s="26"/>
      <c r="AS51" s="26"/>
      <c r="AT51" s="26"/>
    </row>
    <row r="52">
      <c r="A52" s="20">
        <v>50.0</v>
      </c>
      <c r="B52" s="29" t="s">
        <v>137</v>
      </c>
      <c r="C52" s="30"/>
      <c r="D52" s="20"/>
      <c r="E52" s="20"/>
      <c r="F52" s="20"/>
      <c r="G52" s="20"/>
      <c r="H52" s="20" t="s">
        <v>104</v>
      </c>
      <c r="I52" s="20" t="s">
        <v>104</v>
      </c>
      <c r="J52" s="21"/>
      <c r="K52" s="20" t="str">
        <f t="shared" si="1"/>
        <v>Health services</v>
      </c>
      <c r="L52" s="20" t="s">
        <v>67</v>
      </c>
      <c r="M52" s="20" t="str">
        <f t="shared" si="2"/>
        <v>Health services</v>
      </c>
      <c r="N52" s="22" t="s">
        <v>119</v>
      </c>
      <c r="O52" s="22" t="s">
        <v>120</v>
      </c>
      <c r="P52" s="20" t="s">
        <v>121</v>
      </c>
      <c r="Q52" s="20" t="s">
        <v>121</v>
      </c>
      <c r="R52" s="30">
        <v>2109465.5</v>
      </c>
      <c r="S52" s="30">
        <v>2109465.5</v>
      </c>
      <c r="T52" s="30">
        <v>2109465.5</v>
      </c>
      <c r="U52" s="20" t="s">
        <v>71</v>
      </c>
      <c r="V52" s="20"/>
      <c r="W52" s="30">
        <v>2109465.5</v>
      </c>
      <c r="X52" s="20"/>
      <c r="Y52" s="30">
        <v>2109465.5</v>
      </c>
      <c r="Z52" s="24">
        <f t="shared" si="3"/>
        <v>1</v>
      </c>
      <c r="AA52" s="23">
        <f t="shared" si="5"/>
        <v>2109465.5</v>
      </c>
      <c r="AB52" s="20"/>
      <c r="AC52" s="25">
        <f t="shared" si="4"/>
        <v>0</v>
      </c>
      <c r="AD52" s="20" t="s">
        <v>72</v>
      </c>
      <c r="AE52" s="20"/>
      <c r="AF52" s="20"/>
      <c r="AG52" s="20"/>
      <c r="AH52" s="20"/>
      <c r="AI52" s="20"/>
      <c r="AJ52" s="20"/>
      <c r="AK52" s="20"/>
      <c r="AL52" s="20"/>
      <c r="AM52" s="20"/>
      <c r="AN52" s="26"/>
      <c r="AO52" s="26"/>
      <c r="AP52" s="26"/>
      <c r="AQ52" s="26"/>
      <c r="AR52" s="26"/>
      <c r="AS52" s="26"/>
      <c r="AT52" s="26"/>
    </row>
    <row r="53">
      <c r="A53" s="20">
        <v>51.0</v>
      </c>
      <c r="B53" s="29" t="s">
        <v>138</v>
      </c>
      <c r="C53" s="30"/>
      <c r="D53" s="20"/>
      <c r="E53" s="20"/>
      <c r="F53" s="20"/>
      <c r="G53" s="20"/>
      <c r="H53" s="20" t="s">
        <v>81</v>
      </c>
      <c r="I53" s="20" t="s">
        <v>81</v>
      </c>
      <c r="J53" s="21"/>
      <c r="K53" s="20" t="str">
        <f t="shared" si="1"/>
        <v>EDUCATION,INFORMATION AND ICT</v>
      </c>
      <c r="L53" s="20" t="s">
        <v>84</v>
      </c>
      <c r="M53" s="20" t="str">
        <f t="shared" si="2"/>
        <v>EDUCATION,INFORMATION AND ICT</v>
      </c>
      <c r="N53" s="22" t="s">
        <v>119</v>
      </c>
      <c r="O53" s="22" t="s">
        <v>120</v>
      </c>
      <c r="P53" s="20" t="s">
        <v>121</v>
      </c>
      <c r="Q53" s="20" t="s">
        <v>121</v>
      </c>
      <c r="R53" s="30">
        <v>2275250.0</v>
      </c>
      <c r="S53" s="30">
        <v>2275250.0</v>
      </c>
      <c r="T53" s="30">
        <v>2275250.0</v>
      </c>
      <c r="U53" s="20" t="s">
        <v>71</v>
      </c>
      <c r="V53" s="20"/>
      <c r="W53" s="30">
        <v>2275250.0</v>
      </c>
      <c r="X53" s="20"/>
      <c r="Y53" s="30">
        <v>2275250.0</v>
      </c>
      <c r="Z53" s="24">
        <f t="shared" si="3"/>
        <v>1</v>
      </c>
      <c r="AA53" s="23">
        <f t="shared" si="5"/>
        <v>2275250</v>
      </c>
      <c r="AB53" s="20"/>
      <c r="AC53" s="25">
        <f t="shared" si="4"/>
        <v>0</v>
      </c>
      <c r="AD53" s="20" t="s">
        <v>72</v>
      </c>
      <c r="AE53" s="20"/>
      <c r="AF53" s="20"/>
      <c r="AG53" s="20"/>
      <c r="AH53" s="20"/>
      <c r="AI53" s="20"/>
      <c r="AJ53" s="20"/>
      <c r="AK53" s="20"/>
      <c r="AL53" s="20"/>
      <c r="AM53" s="20"/>
      <c r="AN53" s="26"/>
      <c r="AO53" s="26"/>
      <c r="AP53" s="26"/>
      <c r="AQ53" s="26"/>
      <c r="AR53" s="26"/>
      <c r="AS53" s="26"/>
      <c r="AT53" s="26"/>
    </row>
    <row r="54">
      <c r="A54" s="20">
        <v>52.0</v>
      </c>
      <c r="B54" s="29" t="s">
        <v>139</v>
      </c>
      <c r="C54" s="30"/>
      <c r="D54" s="20"/>
      <c r="E54" s="20"/>
      <c r="F54" s="20"/>
      <c r="G54" s="20"/>
      <c r="H54" s="20" t="s">
        <v>65</v>
      </c>
      <c r="I54" s="20" t="s">
        <v>66</v>
      </c>
      <c r="J54" s="21"/>
      <c r="K54" s="20" t="str">
        <f t="shared" si="1"/>
        <v>EDUCATION,INFORMATION AND ICT</v>
      </c>
      <c r="L54" s="20" t="s">
        <v>84</v>
      </c>
      <c r="M54" s="20" t="str">
        <f t="shared" si="2"/>
        <v>EDUCATION,INFORMATION AND ICT</v>
      </c>
      <c r="N54" s="22" t="s">
        <v>119</v>
      </c>
      <c r="O54" s="22" t="s">
        <v>120</v>
      </c>
      <c r="P54" s="20" t="s">
        <v>121</v>
      </c>
      <c r="Q54" s="20" t="s">
        <v>121</v>
      </c>
      <c r="R54" s="30">
        <v>2319077.0</v>
      </c>
      <c r="S54" s="30">
        <v>2319077.0</v>
      </c>
      <c r="T54" s="30">
        <v>2319077.0</v>
      </c>
      <c r="U54" s="20" t="s">
        <v>71</v>
      </c>
      <c r="V54" s="20"/>
      <c r="W54" s="30">
        <v>2319077.0</v>
      </c>
      <c r="X54" s="20"/>
      <c r="Y54" s="30">
        <v>2319077.0</v>
      </c>
      <c r="Z54" s="24">
        <f t="shared" si="3"/>
        <v>1</v>
      </c>
      <c r="AA54" s="23">
        <f t="shared" si="5"/>
        <v>2319077</v>
      </c>
      <c r="AB54" s="20"/>
      <c r="AC54" s="25">
        <f t="shared" si="4"/>
        <v>0</v>
      </c>
      <c r="AD54" s="20" t="s">
        <v>72</v>
      </c>
      <c r="AE54" s="20"/>
      <c r="AF54" s="20"/>
      <c r="AG54" s="20"/>
      <c r="AH54" s="20"/>
      <c r="AI54" s="20"/>
      <c r="AJ54" s="20"/>
      <c r="AK54" s="20"/>
      <c r="AL54" s="20"/>
      <c r="AM54" s="20"/>
      <c r="AN54" s="26"/>
      <c r="AO54" s="26"/>
      <c r="AP54" s="26"/>
      <c r="AQ54" s="26"/>
      <c r="AR54" s="26"/>
      <c r="AS54" s="26"/>
      <c r="AT54" s="26"/>
    </row>
    <row r="55">
      <c r="A55" s="20">
        <v>53.0</v>
      </c>
      <c r="B55" s="29" t="s">
        <v>140</v>
      </c>
      <c r="C55" s="30"/>
      <c r="D55" s="20"/>
      <c r="E55" s="20"/>
      <c r="F55" s="20"/>
      <c r="G55" s="20"/>
      <c r="H55" s="20" t="s">
        <v>65</v>
      </c>
      <c r="I55" s="20" t="s">
        <v>66</v>
      </c>
      <c r="J55" s="21"/>
      <c r="K55" s="20" t="str">
        <f t="shared" si="1"/>
        <v>Health services</v>
      </c>
      <c r="L55" s="20" t="s">
        <v>67</v>
      </c>
      <c r="M55" s="20" t="str">
        <f t="shared" si="2"/>
        <v>Health services</v>
      </c>
      <c r="N55" s="22" t="s">
        <v>119</v>
      </c>
      <c r="O55" s="22" t="s">
        <v>120</v>
      </c>
      <c r="P55" s="20" t="s">
        <v>121</v>
      </c>
      <c r="Q55" s="20" t="s">
        <v>121</v>
      </c>
      <c r="R55" s="30">
        <v>2466010.0</v>
      </c>
      <c r="S55" s="30">
        <v>2466010.0</v>
      </c>
      <c r="T55" s="30">
        <v>2466010.0</v>
      </c>
      <c r="U55" s="20" t="s">
        <v>71</v>
      </c>
      <c r="V55" s="20"/>
      <c r="W55" s="30">
        <v>2466010.0</v>
      </c>
      <c r="X55" s="20"/>
      <c r="Y55" s="30">
        <v>2466010.0</v>
      </c>
      <c r="Z55" s="24">
        <f t="shared" si="3"/>
        <v>1</v>
      </c>
      <c r="AA55" s="23">
        <f t="shared" si="5"/>
        <v>2466010</v>
      </c>
      <c r="AB55" s="20"/>
      <c r="AC55" s="25">
        <f t="shared" si="4"/>
        <v>0</v>
      </c>
      <c r="AD55" s="20" t="s">
        <v>72</v>
      </c>
      <c r="AE55" s="20"/>
      <c r="AF55" s="20"/>
      <c r="AG55" s="20"/>
      <c r="AH55" s="20"/>
      <c r="AI55" s="20"/>
      <c r="AJ55" s="20"/>
      <c r="AK55" s="20"/>
      <c r="AL55" s="20"/>
      <c r="AM55" s="20"/>
      <c r="AN55" s="26"/>
      <c r="AO55" s="26"/>
      <c r="AP55" s="26"/>
      <c r="AQ55" s="26"/>
      <c r="AR55" s="26"/>
      <c r="AS55" s="26"/>
      <c r="AT55" s="26"/>
    </row>
    <row r="56">
      <c r="A56" s="20">
        <v>54.0</v>
      </c>
      <c r="B56" s="29" t="s">
        <v>141</v>
      </c>
      <c r="C56" s="30"/>
      <c r="D56" s="20"/>
      <c r="E56" s="20"/>
      <c r="F56" s="20"/>
      <c r="G56" s="20"/>
      <c r="H56" s="20" t="s">
        <v>65</v>
      </c>
      <c r="I56" s="20" t="s">
        <v>66</v>
      </c>
      <c r="J56" s="21"/>
      <c r="K56" s="20" t="str">
        <f t="shared" si="1"/>
        <v>EDUCATION,INFORMATION AND ICT</v>
      </c>
      <c r="L56" s="20" t="s">
        <v>84</v>
      </c>
      <c r="M56" s="20" t="str">
        <f t="shared" si="2"/>
        <v>EDUCATION,INFORMATION AND ICT</v>
      </c>
      <c r="N56" s="22" t="s">
        <v>119</v>
      </c>
      <c r="O56" s="22" t="s">
        <v>120</v>
      </c>
      <c r="P56" s="20" t="s">
        <v>121</v>
      </c>
      <c r="Q56" s="20" t="s">
        <v>121</v>
      </c>
      <c r="R56" s="30">
        <v>2615350.0</v>
      </c>
      <c r="S56" s="30">
        <v>2615350.0</v>
      </c>
      <c r="T56" s="30">
        <v>2615350.0</v>
      </c>
      <c r="U56" s="20" t="s">
        <v>71</v>
      </c>
      <c r="V56" s="20"/>
      <c r="W56" s="30">
        <v>2615350.0</v>
      </c>
      <c r="X56" s="20"/>
      <c r="Y56" s="30">
        <v>2615350.0</v>
      </c>
      <c r="Z56" s="24">
        <f t="shared" si="3"/>
        <v>1</v>
      </c>
      <c r="AA56" s="23">
        <f t="shared" si="5"/>
        <v>2615350</v>
      </c>
      <c r="AB56" s="20"/>
      <c r="AC56" s="25">
        <f t="shared" si="4"/>
        <v>0</v>
      </c>
      <c r="AD56" s="20" t="s">
        <v>72</v>
      </c>
      <c r="AE56" s="20"/>
      <c r="AF56" s="20"/>
      <c r="AG56" s="20"/>
      <c r="AH56" s="20"/>
      <c r="AI56" s="20"/>
      <c r="AJ56" s="20"/>
      <c r="AK56" s="20"/>
      <c r="AL56" s="20"/>
      <c r="AM56" s="20"/>
      <c r="AN56" s="26"/>
      <c r="AO56" s="26"/>
      <c r="AP56" s="26"/>
      <c r="AQ56" s="26"/>
      <c r="AR56" s="26"/>
      <c r="AS56" s="26"/>
      <c r="AT56" s="26"/>
    </row>
    <row r="57">
      <c r="A57" s="20">
        <v>55.0</v>
      </c>
      <c r="B57" s="29" t="s">
        <v>142</v>
      </c>
      <c r="C57" s="30"/>
      <c r="D57" s="20"/>
      <c r="E57" s="20"/>
      <c r="F57" s="20"/>
      <c r="G57" s="20"/>
      <c r="H57" s="20" t="s">
        <v>65</v>
      </c>
      <c r="I57" s="33" t="s">
        <v>66</v>
      </c>
      <c r="J57" s="21"/>
      <c r="K57" s="20" t="str">
        <f t="shared" si="1"/>
        <v>ROADS,TRANSPORT AND PUBLIC WORKS</v>
      </c>
      <c r="L57" s="20" t="s">
        <v>107</v>
      </c>
      <c r="M57" s="20" t="str">
        <f t="shared" si="2"/>
        <v>ROADS,TRANSPORT AND PUBLIC WORKS</v>
      </c>
      <c r="N57" s="22" t="s">
        <v>119</v>
      </c>
      <c r="O57" s="22" t="s">
        <v>120</v>
      </c>
      <c r="P57" s="20" t="s">
        <v>121</v>
      </c>
      <c r="Q57" s="20" t="s">
        <v>121</v>
      </c>
      <c r="R57" s="30">
        <v>2932489.0</v>
      </c>
      <c r="S57" s="30">
        <v>2932489.0</v>
      </c>
      <c r="T57" s="30">
        <v>2932489.0</v>
      </c>
      <c r="U57" s="20" t="s">
        <v>71</v>
      </c>
      <c r="V57" s="20"/>
      <c r="W57" s="30">
        <v>2932489.0</v>
      </c>
      <c r="X57" s="20"/>
      <c r="Y57" s="30">
        <v>2932489.0</v>
      </c>
      <c r="Z57" s="24">
        <f t="shared" si="3"/>
        <v>1</v>
      </c>
      <c r="AA57" s="23">
        <f t="shared" si="5"/>
        <v>2932489</v>
      </c>
      <c r="AB57" s="20"/>
      <c r="AC57" s="25">
        <f t="shared" si="4"/>
        <v>0</v>
      </c>
      <c r="AD57" s="20" t="s">
        <v>72</v>
      </c>
      <c r="AE57" s="20"/>
      <c r="AF57" s="20"/>
      <c r="AG57" s="20"/>
      <c r="AH57" s="20"/>
      <c r="AI57" s="20"/>
      <c r="AJ57" s="20"/>
      <c r="AK57" s="20"/>
      <c r="AL57" s="20"/>
      <c r="AM57" s="20"/>
      <c r="AN57" s="26"/>
      <c r="AO57" s="26"/>
      <c r="AP57" s="26"/>
      <c r="AQ57" s="26"/>
      <c r="AR57" s="26"/>
      <c r="AS57" s="26"/>
      <c r="AT57" s="26"/>
    </row>
    <row r="58">
      <c r="A58" s="20">
        <v>56.0</v>
      </c>
      <c r="B58" s="29" t="s">
        <v>143</v>
      </c>
      <c r="C58" s="30"/>
      <c r="D58" s="20"/>
      <c r="E58" s="20"/>
      <c r="F58" s="20"/>
      <c r="G58" s="20"/>
      <c r="H58" s="20" t="s">
        <v>77</v>
      </c>
      <c r="I58" s="33" t="s">
        <v>128</v>
      </c>
      <c r="J58" s="21"/>
      <c r="K58" s="20" t="str">
        <f t="shared" si="1"/>
        <v>WATER,ENVIRONMENT,CLIMATE CHANGE AND NATURAL RESOURCES</v>
      </c>
      <c r="L58" s="20" t="s">
        <v>75</v>
      </c>
      <c r="M58" s="20" t="str">
        <f t="shared" si="2"/>
        <v>WATER,ENVIRONMENT,CLIMATE CHANGE AND NATURAL RESOURCES</v>
      </c>
      <c r="N58" s="22" t="s">
        <v>119</v>
      </c>
      <c r="O58" s="22" t="s">
        <v>120</v>
      </c>
      <c r="P58" s="20" t="s">
        <v>121</v>
      </c>
      <c r="Q58" s="20" t="s">
        <v>121</v>
      </c>
      <c r="R58" s="30">
        <v>4181361.0</v>
      </c>
      <c r="S58" s="30">
        <v>4181361.0</v>
      </c>
      <c r="T58" s="30">
        <v>4181361.0</v>
      </c>
      <c r="U58" s="20" t="s">
        <v>71</v>
      </c>
      <c r="V58" s="20"/>
      <c r="W58" s="30">
        <v>4181361.0</v>
      </c>
      <c r="X58" s="20"/>
      <c r="Y58" s="30">
        <v>4181361.0</v>
      </c>
      <c r="Z58" s="24">
        <f t="shared" si="3"/>
        <v>1</v>
      </c>
      <c r="AA58" s="23">
        <f t="shared" si="5"/>
        <v>4181361</v>
      </c>
      <c r="AB58" s="20"/>
      <c r="AC58" s="25">
        <f t="shared" si="4"/>
        <v>0</v>
      </c>
      <c r="AD58" s="20" t="s">
        <v>72</v>
      </c>
      <c r="AE58" s="20"/>
      <c r="AF58" s="20"/>
      <c r="AG58" s="20"/>
      <c r="AH58" s="20"/>
      <c r="AI58" s="20"/>
      <c r="AJ58" s="20"/>
      <c r="AK58" s="20"/>
      <c r="AL58" s="20"/>
      <c r="AM58" s="20"/>
      <c r="AN58" s="26"/>
      <c r="AO58" s="26"/>
      <c r="AP58" s="26"/>
      <c r="AQ58" s="26"/>
      <c r="AR58" s="26"/>
      <c r="AS58" s="26"/>
      <c r="AT58" s="26"/>
    </row>
    <row r="59">
      <c r="A59" s="20">
        <v>57.0</v>
      </c>
      <c r="B59" s="29" t="s">
        <v>144</v>
      </c>
      <c r="C59" s="30"/>
      <c r="D59" s="20"/>
      <c r="E59" s="20"/>
      <c r="F59" s="20"/>
      <c r="G59" s="20"/>
      <c r="H59" s="33" t="s">
        <v>81</v>
      </c>
      <c r="I59" s="33" t="s">
        <v>81</v>
      </c>
      <c r="J59" s="21"/>
      <c r="K59" s="20" t="str">
        <f t="shared" si="1"/>
        <v>EDUCATION,INFORMATION AND ICT</v>
      </c>
      <c r="L59" s="20" t="s">
        <v>84</v>
      </c>
      <c r="M59" s="20" t="str">
        <f t="shared" si="2"/>
        <v>EDUCATION,INFORMATION AND ICT</v>
      </c>
      <c r="N59" s="22" t="s">
        <v>119</v>
      </c>
      <c r="O59" s="22" t="s">
        <v>120</v>
      </c>
      <c r="P59" s="20" t="s">
        <v>121</v>
      </c>
      <c r="Q59" s="20" t="s">
        <v>121</v>
      </c>
      <c r="R59" s="30">
        <v>4453071.0</v>
      </c>
      <c r="S59" s="30">
        <v>4453071.0</v>
      </c>
      <c r="T59" s="30">
        <v>4453071.0</v>
      </c>
      <c r="U59" s="20" t="s">
        <v>71</v>
      </c>
      <c r="V59" s="20"/>
      <c r="W59" s="30">
        <v>4453071.0</v>
      </c>
      <c r="X59" s="20"/>
      <c r="Y59" s="30">
        <v>4453071.0</v>
      </c>
      <c r="Z59" s="24">
        <f t="shared" si="3"/>
        <v>1</v>
      </c>
      <c r="AA59" s="23">
        <f t="shared" si="5"/>
        <v>4453071</v>
      </c>
      <c r="AB59" s="20"/>
      <c r="AC59" s="25">
        <f t="shared" si="4"/>
        <v>0</v>
      </c>
      <c r="AD59" s="20" t="s">
        <v>72</v>
      </c>
      <c r="AE59" s="20"/>
      <c r="AF59" s="20"/>
      <c r="AG59" s="20"/>
      <c r="AH59" s="20"/>
      <c r="AI59" s="20"/>
      <c r="AJ59" s="20"/>
      <c r="AK59" s="20"/>
      <c r="AL59" s="20"/>
      <c r="AM59" s="20"/>
      <c r="AN59" s="26"/>
      <c r="AO59" s="26"/>
      <c r="AP59" s="26"/>
      <c r="AQ59" s="26"/>
      <c r="AR59" s="26"/>
      <c r="AS59" s="26"/>
      <c r="AT59" s="26"/>
    </row>
    <row r="60">
      <c r="A60" s="20">
        <v>58.0</v>
      </c>
      <c r="B60" s="29" t="s">
        <v>145</v>
      </c>
      <c r="C60" s="30"/>
      <c r="D60" s="20"/>
      <c r="E60" s="20"/>
      <c r="F60" s="20"/>
      <c r="G60" s="20"/>
      <c r="H60" s="20" t="s">
        <v>77</v>
      </c>
      <c r="I60" s="20"/>
      <c r="J60" s="21"/>
      <c r="K60" s="20" t="str">
        <f t="shared" si="1"/>
        <v>ROADS,TRANSPORT AND PUBLIC WORKS</v>
      </c>
      <c r="L60" s="20" t="s">
        <v>107</v>
      </c>
      <c r="M60" s="20" t="str">
        <f t="shared" si="2"/>
        <v>ROADS,TRANSPORT AND PUBLIC WORKS</v>
      </c>
      <c r="N60" s="22" t="s">
        <v>119</v>
      </c>
      <c r="O60" s="22" t="s">
        <v>120</v>
      </c>
      <c r="P60" s="20" t="s">
        <v>121</v>
      </c>
      <c r="Q60" s="20" t="s">
        <v>121</v>
      </c>
      <c r="R60" s="30">
        <v>4504130.0</v>
      </c>
      <c r="S60" s="30">
        <v>4504130.0</v>
      </c>
      <c r="T60" s="30">
        <v>4504130.0</v>
      </c>
      <c r="U60" s="20" t="s">
        <v>71</v>
      </c>
      <c r="V60" s="20"/>
      <c r="W60" s="30">
        <v>4504130.0</v>
      </c>
      <c r="X60" s="20"/>
      <c r="Y60" s="30">
        <v>4504130.0</v>
      </c>
      <c r="Z60" s="24">
        <f t="shared" si="3"/>
        <v>1</v>
      </c>
      <c r="AA60" s="23">
        <f t="shared" si="5"/>
        <v>4504130</v>
      </c>
      <c r="AB60" s="20"/>
      <c r="AC60" s="25">
        <f t="shared" si="4"/>
        <v>0</v>
      </c>
      <c r="AD60" s="20" t="s">
        <v>72</v>
      </c>
      <c r="AE60" s="20"/>
      <c r="AF60" s="20"/>
      <c r="AG60" s="20"/>
      <c r="AH60" s="20"/>
      <c r="AI60" s="20"/>
      <c r="AJ60" s="20"/>
      <c r="AK60" s="20"/>
      <c r="AL60" s="20"/>
      <c r="AM60" s="20"/>
      <c r="AN60" s="26"/>
      <c r="AO60" s="26"/>
      <c r="AP60" s="26"/>
      <c r="AQ60" s="26"/>
      <c r="AR60" s="26"/>
      <c r="AS60" s="26"/>
      <c r="AT60" s="26"/>
    </row>
    <row r="61">
      <c r="A61" s="20">
        <v>59.0</v>
      </c>
      <c r="B61" s="29" t="s">
        <v>146</v>
      </c>
      <c r="C61" s="30"/>
      <c r="D61" s="20"/>
      <c r="E61" s="20"/>
      <c r="F61" s="20"/>
      <c r="G61" s="20"/>
      <c r="H61" s="33" t="s">
        <v>65</v>
      </c>
      <c r="I61" s="33" t="s">
        <v>66</v>
      </c>
      <c r="J61" s="21"/>
      <c r="K61" s="20" t="str">
        <f t="shared" si="1"/>
        <v>Health services</v>
      </c>
      <c r="L61" s="20" t="s">
        <v>67</v>
      </c>
      <c r="M61" s="20" t="str">
        <f t="shared" si="2"/>
        <v>Health services</v>
      </c>
      <c r="N61" s="22" t="s">
        <v>119</v>
      </c>
      <c r="O61" s="22" t="s">
        <v>120</v>
      </c>
      <c r="P61" s="20" t="s">
        <v>121</v>
      </c>
      <c r="Q61" s="20" t="s">
        <v>121</v>
      </c>
      <c r="R61" s="30">
        <v>9405000.0</v>
      </c>
      <c r="S61" s="30">
        <v>9405000.0</v>
      </c>
      <c r="T61" s="30">
        <v>9405000.0</v>
      </c>
      <c r="U61" s="20" t="s">
        <v>71</v>
      </c>
      <c r="V61" s="20"/>
      <c r="W61" s="30">
        <v>9405000.0</v>
      </c>
      <c r="X61" s="20"/>
      <c r="Y61" s="30">
        <v>9405000.0</v>
      </c>
      <c r="Z61" s="24">
        <f t="shared" si="3"/>
        <v>1</v>
      </c>
      <c r="AA61" s="23">
        <f t="shared" si="5"/>
        <v>9405000</v>
      </c>
      <c r="AB61" s="20"/>
      <c r="AC61" s="25">
        <f t="shared" si="4"/>
        <v>0</v>
      </c>
      <c r="AD61" s="20" t="s">
        <v>72</v>
      </c>
      <c r="AE61" s="20"/>
      <c r="AF61" s="20"/>
      <c r="AG61" s="20"/>
      <c r="AH61" s="20"/>
      <c r="AI61" s="20"/>
      <c r="AJ61" s="20"/>
      <c r="AK61" s="20"/>
      <c r="AL61" s="20"/>
      <c r="AM61" s="20"/>
      <c r="AN61" s="26"/>
      <c r="AO61" s="26"/>
      <c r="AP61" s="26"/>
      <c r="AQ61" s="26"/>
      <c r="AR61" s="26"/>
      <c r="AS61" s="26"/>
      <c r="AT61" s="26"/>
    </row>
    <row r="62">
      <c r="A62" s="20">
        <v>60.0</v>
      </c>
      <c r="B62" s="29" t="s">
        <v>147</v>
      </c>
      <c r="C62" s="30"/>
      <c r="D62" s="20"/>
      <c r="E62" s="20"/>
      <c r="F62" s="20"/>
      <c r="G62" s="20"/>
      <c r="H62" s="33" t="s">
        <v>113</v>
      </c>
      <c r="I62" s="33" t="s">
        <v>114</v>
      </c>
      <c r="J62" s="21"/>
      <c r="K62" s="20" t="str">
        <f t="shared" si="1"/>
        <v>WATER,ENVIRONMENT,CLIMATE CHANGE AND NATURAL RESOURCES</v>
      </c>
      <c r="L62" s="20" t="s">
        <v>75</v>
      </c>
      <c r="M62" s="20" t="str">
        <f t="shared" si="2"/>
        <v>WATER,ENVIRONMENT,CLIMATE CHANGE AND NATURAL RESOURCES</v>
      </c>
      <c r="N62" s="22" t="s">
        <v>119</v>
      </c>
      <c r="O62" s="22" t="s">
        <v>120</v>
      </c>
      <c r="P62" s="20" t="s">
        <v>121</v>
      </c>
      <c r="Q62" s="20" t="s">
        <v>121</v>
      </c>
      <c r="R62" s="30">
        <v>4.01161533E7</v>
      </c>
      <c r="S62" s="30">
        <v>4.01161533E7</v>
      </c>
      <c r="T62" s="30">
        <v>4.01161533E7</v>
      </c>
      <c r="U62" s="20" t="s">
        <v>71</v>
      </c>
      <c r="V62" s="20"/>
      <c r="W62" s="30">
        <v>4.01161533E7</v>
      </c>
      <c r="X62" s="20"/>
      <c r="Y62" s="30">
        <v>4.01161533E7</v>
      </c>
      <c r="Z62" s="24">
        <f t="shared" si="3"/>
        <v>1</v>
      </c>
      <c r="AA62" s="23">
        <f t="shared" si="5"/>
        <v>40116153.3</v>
      </c>
      <c r="AB62" s="20"/>
      <c r="AC62" s="25">
        <f t="shared" si="4"/>
        <v>0</v>
      </c>
      <c r="AD62" s="20" t="s">
        <v>72</v>
      </c>
      <c r="AE62" s="20"/>
      <c r="AF62" s="20"/>
      <c r="AG62" s="20"/>
      <c r="AH62" s="20"/>
      <c r="AI62" s="20"/>
      <c r="AJ62" s="20"/>
      <c r="AK62" s="20"/>
      <c r="AL62" s="20"/>
      <c r="AM62" s="20"/>
      <c r="AN62" s="26"/>
      <c r="AO62" s="26"/>
      <c r="AP62" s="26"/>
      <c r="AQ62" s="26"/>
      <c r="AR62" s="26"/>
      <c r="AS62" s="26"/>
      <c r="AT62" s="26"/>
    </row>
    <row r="63">
      <c r="A63" s="20">
        <v>61.0</v>
      </c>
      <c r="B63" s="31" t="s">
        <v>148</v>
      </c>
      <c r="C63" s="32"/>
      <c r="D63" s="20"/>
      <c r="E63" s="20"/>
      <c r="F63" s="20"/>
      <c r="G63" s="20"/>
      <c r="H63" s="33" t="s">
        <v>104</v>
      </c>
      <c r="I63" s="33" t="s">
        <v>104</v>
      </c>
      <c r="J63" s="21"/>
      <c r="K63" s="20" t="str">
        <f t="shared" si="1"/>
        <v>WATER,ENVIRONMENT,CLIMATE CHANGE AND NATURAL RESOURCES</v>
      </c>
      <c r="L63" s="20" t="s">
        <v>75</v>
      </c>
      <c r="M63" s="20" t="str">
        <f t="shared" si="2"/>
        <v>WATER,ENVIRONMENT,CLIMATE CHANGE AND NATURAL RESOURCES</v>
      </c>
      <c r="N63" s="22" t="s">
        <v>119</v>
      </c>
      <c r="O63" s="22" t="s">
        <v>120</v>
      </c>
      <c r="P63" s="20" t="s">
        <v>121</v>
      </c>
      <c r="Q63" s="20" t="s">
        <v>121</v>
      </c>
      <c r="R63" s="32">
        <v>4223700.0</v>
      </c>
      <c r="S63" s="32">
        <v>4223700.0</v>
      </c>
      <c r="T63" s="32">
        <v>4223700.0</v>
      </c>
      <c r="U63" s="20" t="s">
        <v>71</v>
      </c>
      <c r="V63" s="20"/>
      <c r="W63" s="32">
        <v>4223700.0</v>
      </c>
      <c r="X63" s="20"/>
      <c r="Y63" s="32">
        <v>4223700.0</v>
      </c>
      <c r="Z63" s="24">
        <f t="shared" si="3"/>
        <v>1</v>
      </c>
      <c r="AA63" s="23">
        <f t="shared" si="5"/>
        <v>4223700</v>
      </c>
      <c r="AB63" s="20"/>
      <c r="AC63" s="25">
        <f t="shared" si="4"/>
        <v>0</v>
      </c>
      <c r="AD63" s="20" t="s">
        <v>72</v>
      </c>
      <c r="AE63" s="20"/>
      <c r="AF63" s="20"/>
      <c r="AG63" s="20"/>
      <c r="AH63" s="20"/>
      <c r="AI63" s="20"/>
      <c r="AJ63" s="20"/>
      <c r="AK63" s="20"/>
      <c r="AL63" s="20"/>
      <c r="AM63" s="20"/>
      <c r="AN63" s="26"/>
      <c r="AO63" s="26"/>
      <c r="AP63" s="26"/>
      <c r="AQ63" s="26"/>
      <c r="AR63" s="26"/>
      <c r="AS63" s="26"/>
      <c r="AT63" s="26"/>
    </row>
    <row r="64">
      <c r="A64" s="20">
        <v>62.0</v>
      </c>
      <c r="B64" s="29" t="s">
        <v>149</v>
      </c>
      <c r="C64" s="30"/>
      <c r="D64" s="20"/>
      <c r="E64" s="20"/>
      <c r="F64" s="20"/>
      <c r="G64" s="20"/>
      <c r="H64" s="33" t="s">
        <v>65</v>
      </c>
      <c r="I64" s="33" t="s">
        <v>66</v>
      </c>
      <c r="J64" s="21"/>
      <c r="K64" s="20" t="str">
        <f t="shared" si="1"/>
        <v>EDUCATION,INFORMATION AND ICT</v>
      </c>
      <c r="L64" s="20" t="s">
        <v>84</v>
      </c>
      <c r="M64" s="20" t="str">
        <f t="shared" si="2"/>
        <v>EDUCATION,INFORMATION AND ICT</v>
      </c>
      <c r="N64" s="22" t="s">
        <v>119</v>
      </c>
      <c r="O64" s="22" t="s">
        <v>120</v>
      </c>
      <c r="P64" s="20" t="s">
        <v>121</v>
      </c>
      <c r="Q64" s="20" t="s">
        <v>121</v>
      </c>
      <c r="R64" s="30">
        <v>2100000.0</v>
      </c>
      <c r="S64" s="30">
        <v>2100000.0</v>
      </c>
      <c r="T64" s="30">
        <v>2100000.0</v>
      </c>
      <c r="U64" s="20" t="s">
        <v>71</v>
      </c>
      <c r="V64" s="20"/>
      <c r="W64" s="30">
        <v>2100000.0</v>
      </c>
      <c r="X64" s="20"/>
      <c r="Y64" s="30">
        <v>2100000.0</v>
      </c>
      <c r="Z64" s="24">
        <f t="shared" si="3"/>
        <v>1</v>
      </c>
      <c r="AA64" s="23">
        <f t="shared" si="5"/>
        <v>2100000</v>
      </c>
      <c r="AB64" s="20"/>
      <c r="AC64" s="25">
        <f t="shared" si="4"/>
        <v>0</v>
      </c>
      <c r="AD64" s="20" t="s">
        <v>72</v>
      </c>
      <c r="AE64" s="20"/>
      <c r="AF64" s="20"/>
      <c r="AG64" s="20"/>
      <c r="AH64" s="20"/>
      <c r="AI64" s="20"/>
      <c r="AJ64" s="20"/>
      <c r="AK64" s="20"/>
      <c r="AL64" s="20"/>
      <c r="AM64" s="20"/>
      <c r="AN64" s="26"/>
      <c r="AO64" s="26"/>
      <c r="AP64" s="26"/>
      <c r="AQ64" s="26"/>
      <c r="AR64" s="26"/>
      <c r="AS64" s="26"/>
      <c r="AT64" s="26"/>
    </row>
    <row r="65">
      <c r="A65" s="20">
        <v>63.0</v>
      </c>
      <c r="B65" s="29" t="s">
        <v>150</v>
      </c>
      <c r="C65" s="30"/>
      <c r="D65" s="20"/>
      <c r="E65" s="20"/>
      <c r="F65" s="20"/>
      <c r="G65" s="20"/>
      <c r="H65" s="33" t="s">
        <v>81</v>
      </c>
      <c r="I65" s="33" t="s">
        <v>151</v>
      </c>
      <c r="J65" s="21"/>
      <c r="K65" s="20" t="str">
        <f t="shared" si="1"/>
        <v>Health services</v>
      </c>
      <c r="L65" s="20" t="s">
        <v>67</v>
      </c>
      <c r="M65" s="20" t="str">
        <f t="shared" si="2"/>
        <v>Health services</v>
      </c>
      <c r="N65" s="22" t="s">
        <v>119</v>
      </c>
      <c r="O65" s="22" t="s">
        <v>120</v>
      </c>
      <c r="P65" s="20" t="s">
        <v>121</v>
      </c>
      <c r="Q65" s="20" t="s">
        <v>121</v>
      </c>
      <c r="R65" s="30">
        <v>1250375.0</v>
      </c>
      <c r="S65" s="30">
        <v>1250375.0</v>
      </c>
      <c r="T65" s="30">
        <v>1250375.0</v>
      </c>
      <c r="U65" s="20" t="s">
        <v>71</v>
      </c>
      <c r="V65" s="20"/>
      <c r="W65" s="30">
        <v>1250375.0</v>
      </c>
      <c r="X65" s="20"/>
      <c r="Y65" s="30">
        <v>1250375.0</v>
      </c>
      <c r="Z65" s="24">
        <f t="shared" si="3"/>
        <v>1</v>
      </c>
      <c r="AA65" s="23">
        <f t="shared" si="5"/>
        <v>1250375</v>
      </c>
      <c r="AB65" s="20"/>
      <c r="AC65" s="25">
        <f t="shared" si="4"/>
        <v>0</v>
      </c>
      <c r="AD65" s="20" t="s">
        <v>72</v>
      </c>
      <c r="AE65" s="20"/>
      <c r="AF65" s="20"/>
      <c r="AG65" s="20"/>
      <c r="AH65" s="20"/>
      <c r="AI65" s="20"/>
      <c r="AJ65" s="20"/>
      <c r="AK65" s="20"/>
      <c r="AL65" s="20"/>
      <c r="AM65" s="20"/>
      <c r="AN65" s="26"/>
      <c r="AO65" s="26"/>
      <c r="AP65" s="26"/>
      <c r="AQ65" s="26"/>
      <c r="AR65" s="26"/>
      <c r="AS65" s="26"/>
      <c r="AT65" s="26"/>
    </row>
    <row r="66">
      <c r="A66" s="20">
        <v>64.0</v>
      </c>
      <c r="B66" s="29" t="s">
        <v>152</v>
      </c>
      <c r="C66" s="30"/>
      <c r="D66" s="20"/>
      <c r="E66" s="20"/>
      <c r="F66" s="20"/>
      <c r="G66" s="20"/>
      <c r="H66" s="33" t="s">
        <v>65</v>
      </c>
      <c r="I66" s="33" t="s">
        <v>66</v>
      </c>
      <c r="J66" s="21"/>
      <c r="K66" s="20" t="str">
        <f t="shared" si="1"/>
        <v>Health services</v>
      </c>
      <c r="L66" s="20" t="s">
        <v>67</v>
      </c>
      <c r="M66" s="20" t="str">
        <f t="shared" si="2"/>
        <v>Health services</v>
      </c>
      <c r="N66" s="22" t="s">
        <v>119</v>
      </c>
      <c r="O66" s="22" t="s">
        <v>120</v>
      </c>
      <c r="P66" s="20" t="s">
        <v>121</v>
      </c>
      <c r="Q66" s="20" t="s">
        <v>121</v>
      </c>
      <c r="R66" s="30">
        <v>2185608.0</v>
      </c>
      <c r="S66" s="30">
        <v>2185608.0</v>
      </c>
      <c r="T66" s="30">
        <v>2185608.0</v>
      </c>
      <c r="U66" s="20" t="s">
        <v>71</v>
      </c>
      <c r="V66" s="20"/>
      <c r="W66" s="30">
        <v>2185608.0</v>
      </c>
      <c r="X66" s="20"/>
      <c r="Y66" s="30">
        <v>2185608.0</v>
      </c>
      <c r="Z66" s="24">
        <f t="shared" si="3"/>
        <v>1</v>
      </c>
      <c r="AA66" s="23">
        <f t="shared" si="5"/>
        <v>2185608</v>
      </c>
      <c r="AB66" s="20"/>
      <c r="AC66" s="25">
        <f t="shared" si="4"/>
        <v>0</v>
      </c>
      <c r="AD66" s="20" t="s">
        <v>72</v>
      </c>
      <c r="AE66" s="20"/>
      <c r="AF66" s="20"/>
      <c r="AG66" s="20"/>
      <c r="AH66" s="20"/>
      <c r="AI66" s="20"/>
      <c r="AJ66" s="20"/>
      <c r="AK66" s="20"/>
      <c r="AL66" s="20"/>
      <c r="AM66" s="20"/>
      <c r="AN66" s="26"/>
      <c r="AO66" s="26"/>
      <c r="AP66" s="26"/>
      <c r="AQ66" s="26"/>
      <c r="AR66" s="26"/>
      <c r="AS66" s="26"/>
      <c r="AT66" s="26"/>
    </row>
    <row r="67">
      <c r="A67" s="20">
        <v>65.0</v>
      </c>
      <c r="B67" s="29" t="s">
        <v>153</v>
      </c>
      <c r="C67" s="30"/>
      <c r="D67" s="20"/>
      <c r="E67" s="20"/>
      <c r="F67" s="20"/>
      <c r="G67" s="20"/>
      <c r="H67" s="33" t="s">
        <v>81</v>
      </c>
      <c r="I67" s="33" t="s">
        <v>81</v>
      </c>
      <c r="J67" s="21"/>
      <c r="K67" s="20" t="str">
        <f t="shared" si="1"/>
        <v>EDUCATION,INFORMATION AND ICT</v>
      </c>
      <c r="L67" s="20" t="s">
        <v>84</v>
      </c>
      <c r="M67" s="20" t="str">
        <f t="shared" si="2"/>
        <v>EDUCATION,INFORMATION AND ICT</v>
      </c>
      <c r="N67" s="22" t="s">
        <v>119</v>
      </c>
      <c r="O67" s="22" t="s">
        <v>120</v>
      </c>
      <c r="P67" s="20" t="s">
        <v>121</v>
      </c>
      <c r="Q67" s="20" t="s">
        <v>121</v>
      </c>
      <c r="R67" s="30">
        <v>2349784.0</v>
      </c>
      <c r="S67" s="30">
        <v>2349784.0</v>
      </c>
      <c r="T67" s="30">
        <v>2349784.0</v>
      </c>
      <c r="U67" s="20" t="s">
        <v>71</v>
      </c>
      <c r="V67" s="20"/>
      <c r="W67" s="30">
        <v>2349784.0</v>
      </c>
      <c r="X67" s="20"/>
      <c r="Y67" s="30">
        <v>2349784.0</v>
      </c>
      <c r="Z67" s="24">
        <f t="shared" si="3"/>
        <v>1</v>
      </c>
      <c r="AA67" s="23">
        <f t="shared" si="5"/>
        <v>2349784</v>
      </c>
      <c r="AB67" s="20"/>
      <c r="AC67" s="25">
        <f t="shared" si="4"/>
        <v>0</v>
      </c>
      <c r="AD67" s="20" t="s">
        <v>72</v>
      </c>
      <c r="AE67" s="20"/>
      <c r="AF67" s="20"/>
      <c r="AG67" s="20"/>
      <c r="AH67" s="20"/>
      <c r="AI67" s="20"/>
      <c r="AJ67" s="20"/>
      <c r="AK67" s="20"/>
      <c r="AL67" s="20"/>
      <c r="AM67" s="20"/>
      <c r="AN67" s="26"/>
      <c r="AO67" s="26"/>
      <c r="AP67" s="26"/>
      <c r="AQ67" s="26"/>
      <c r="AR67" s="26"/>
      <c r="AS67" s="26"/>
      <c r="AT67" s="26"/>
    </row>
    <row r="68">
      <c r="A68" s="20">
        <v>66.0</v>
      </c>
      <c r="B68" s="29" t="s">
        <v>154</v>
      </c>
      <c r="C68" s="30"/>
      <c r="D68" s="20"/>
      <c r="E68" s="20"/>
      <c r="F68" s="20"/>
      <c r="G68" s="20"/>
      <c r="H68" s="33" t="s">
        <v>113</v>
      </c>
      <c r="I68" s="33" t="s">
        <v>114</v>
      </c>
      <c r="J68" s="21"/>
      <c r="K68" s="20" t="str">
        <f t="shared" si="1"/>
        <v>Health services</v>
      </c>
      <c r="L68" s="20" t="s">
        <v>67</v>
      </c>
      <c r="M68" s="20" t="str">
        <f t="shared" si="2"/>
        <v>Health services</v>
      </c>
      <c r="N68" s="22" t="s">
        <v>119</v>
      </c>
      <c r="O68" s="22" t="s">
        <v>120</v>
      </c>
      <c r="P68" s="20" t="s">
        <v>121</v>
      </c>
      <c r="Q68" s="20" t="s">
        <v>121</v>
      </c>
      <c r="R68" s="30">
        <v>5997193.0</v>
      </c>
      <c r="S68" s="30">
        <v>5997193.0</v>
      </c>
      <c r="T68" s="30">
        <v>5997193.0</v>
      </c>
      <c r="U68" s="20" t="s">
        <v>71</v>
      </c>
      <c r="V68" s="20"/>
      <c r="W68" s="30">
        <v>5997193.0</v>
      </c>
      <c r="X68" s="20"/>
      <c r="Y68" s="30">
        <v>5997193.0</v>
      </c>
      <c r="Z68" s="24">
        <f t="shared" si="3"/>
        <v>1</v>
      </c>
      <c r="AA68" s="23">
        <f t="shared" si="5"/>
        <v>5997193</v>
      </c>
      <c r="AB68" s="20"/>
      <c r="AC68" s="25">
        <f t="shared" si="4"/>
        <v>0</v>
      </c>
      <c r="AD68" s="20" t="s">
        <v>72</v>
      </c>
      <c r="AE68" s="20"/>
      <c r="AF68" s="20"/>
      <c r="AG68" s="20"/>
      <c r="AH68" s="20"/>
      <c r="AI68" s="20"/>
      <c r="AJ68" s="20"/>
      <c r="AK68" s="20"/>
      <c r="AL68" s="20"/>
      <c r="AM68" s="20"/>
      <c r="AN68" s="26"/>
      <c r="AO68" s="26"/>
      <c r="AP68" s="26"/>
      <c r="AQ68" s="26"/>
      <c r="AR68" s="26"/>
      <c r="AS68" s="26"/>
      <c r="AT68" s="26"/>
    </row>
    <row r="69">
      <c r="A69" s="20">
        <v>67.0</v>
      </c>
      <c r="B69" s="29" t="s">
        <v>155</v>
      </c>
      <c r="C69" s="30"/>
      <c r="D69" s="20"/>
      <c r="E69" s="20"/>
      <c r="F69" s="20"/>
      <c r="G69" s="20"/>
      <c r="H69" s="33" t="s">
        <v>113</v>
      </c>
      <c r="I69" s="33" t="s">
        <v>132</v>
      </c>
      <c r="J69" s="21"/>
      <c r="K69" s="20" t="str">
        <f t="shared" si="1"/>
        <v>Health services</v>
      </c>
      <c r="L69" s="20" t="s">
        <v>67</v>
      </c>
      <c r="M69" s="20" t="str">
        <f t="shared" si="2"/>
        <v>Health services</v>
      </c>
      <c r="N69" s="22" t="s">
        <v>119</v>
      </c>
      <c r="O69" s="22" t="s">
        <v>120</v>
      </c>
      <c r="P69" s="20" t="s">
        <v>121</v>
      </c>
      <c r="Q69" s="20" t="s">
        <v>121</v>
      </c>
      <c r="R69" s="30">
        <v>2852546.0</v>
      </c>
      <c r="S69" s="30">
        <v>2852546.0</v>
      </c>
      <c r="T69" s="30">
        <v>2852546.0</v>
      </c>
      <c r="U69" s="20" t="s">
        <v>71</v>
      </c>
      <c r="V69" s="20"/>
      <c r="W69" s="30">
        <v>2852546.0</v>
      </c>
      <c r="X69" s="20"/>
      <c r="Y69" s="30">
        <v>2852546.0</v>
      </c>
      <c r="Z69" s="24">
        <f t="shared" si="3"/>
        <v>1</v>
      </c>
      <c r="AA69" s="23">
        <f t="shared" si="5"/>
        <v>2852546</v>
      </c>
      <c r="AB69" s="20"/>
      <c r="AC69" s="25">
        <f t="shared" si="4"/>
        <v>0</v>
      </c>
      <c r="AD69" s="20" t="s">
        <v>72</v>
      </c>
      <c r="AE69" s="20"/>
      <c r="AF69" s="20"/>
      <c r="AG69" s="20"/>
      <c r="AH69" s="20"/>
      <c r="AI69" s="20"/>
      <c r="AJ69" s="20"/>
      <c r="AK69" s="20"/>
      <c r="AL69" s="20"/>
      <c r="AM69" s="20"/>
      <c r="AN69" s="26"/>
      <c r="AO69" s="26"/>
      <c r="AP69" s="26"/>
      <c r="AQ69" s="26"/>
      <c r="AR69" s="26"/>
      <c r="AS69" s="26"/>
      <c r="AT69" s="26"/>
    </row>
    <row r="70">
      <c r="A70" s="20">
        <v>68.0</v>
      </c>
      <c r="B70" s="29" t="s">
        <v>156</v>
      </c>
      <c r="C70" s="30"/>
      <c r="D70" s="20"/>
      <c r="E70" s="20"/>
      <c r="F70" s="20"/>
      <c r="G70" s="20"/>
      <c r="H70" s="33" t="s">
        <v>77</v>
      </c>
      <c r="I70" s="33" t="s">
        <v>157</v>
      </c>
      <c r="J70" s="21"/>
      <c r="K70" s="20" t="str">
        <f t="shared" si="1"/>
        <v>Health services</v>
      </c>
      <c r="L70" s="20" t="s">
        <v>67</v>
      </c>
      <c r="M70" s="20" t="str">
        <f t="shared" si="2"/>
        <v>Health services</v>
      </c>
      <c r="N70" s="22" t="s">
        <v>119</v>
      </c>
      <c r="O70" s="22" t="s">
        <v>120</v>
      </c>
      <c r="P70" s="20" t="s">
        <v>121</v>
      </c>
      <c r="Q70" s="20" t="s">
        <v>121</v>
      </c>
      <c r="R70" s="30">
        <v>5969764.2</v>
      </c>
      <c r="S70" s="30">
        <v>5969764.2</v>
      </c>
      <c r="T70" s="30">
        <v>5969764.2</v>
      </c>
      <c r="U70" s="20" t="s">
        <v>71</v>
      </c>
      <c r="V70" s="20"/>
      <c r="W70" s="30">
        <v>5969764.2</v>
      </c>
      <c r="X70" s="20"/>
      <c r="Y70" s="30">
        <v>5969764.2</v>
      </c>
      <c r="Z70" s="24">
        <f t="shared" si="3"/>
        <v>1</v>
      </c>
      <c r="AA70" s="23">
        <f t="shared" si="5"/>
        <v>5969764.2</v>
      </c>
      <c r="AB70" s="20"/>
      <c r="AC70" s="25">
        <f t="shared" si="4"/>
        <v>0</v>
      </c>
      <c r="AD70" s="20" t="s">
        <v>72</v>
      </c>
      <c r="AE70" s="20"/>
      <c r="AF70" s="20"/>
      <c r="AG70" s="20"/>
      <c r="AH70" s="20"/>
      <c r="AI70" s="20"/>
      <c r="AJ70" s="20"/>
      <c r="AK70" s="20"/>
      <c r="AL70" s="20"/>
      <c r="AM70" s="20"/>
      <c r="AN70" s="26"/>
      <c r="AO70" s="26"/>
      <c r="AP70" s="26"/>
      <c r="AQ70" s="26"/>
      <c r="AR70" s="26"/>
      <c r="AS70" s="26"/>
      <c r="AT70" s="26"/>
    </row>
    <row r="71">
      <c r="A71" s="20">
        <v>69.0</v>
      </c>
      <c r="B71" s="29" t="s">
        <v>158</v>
      </c>
      <c r="C71" s="30"/>
      <c r="D71" s="20"/>
      <c r="E71" s="20"/>
      <c r="F71" s="20"/>
      <c r="G71" s="20"/>
      <c r="H71" s="33" t="s">
        <v>113</v>
      </c>
      <c r="I71" s="33" t="s">
        <v>114</v>
      </c>
      <c r="J71" s="21"/>
      <c r="K71" s="20" t="str">
        <f t="shared" si="1"/>
        <v>Health services</v>
      </c>
      <c r="L71" s="20" t="s">
        <v>67</v>
      </c>
      <c r="M71" s="20" t="str">
        <f t="shared" si="2"/>
        <v>Health services</v>
      </c>
      <c r="N71" s="22" t="s">
        <v>119</v>
      </c>
      <c r="O71" s="22" t="s">
        <v>120</v>
      </c>
      <c r="P71" s="20" t="s">
        <v>121</v>
      </c>
      <c r="Q71" s="20" t="s">
        <v>121</v>
      </c>
      <c r="R71" s="30">
        <v>4000000.0</v>
      </c>
      <c r="S71" s="30">
        <v>4000000.0</v>
      </c>
      <c r="T71" s="30">
        <v>4000000.0</v>
      </c>
      <c r="U71" s="20" t="s">
        <v>71</v>
      </c>
      <c r="V71" s="20"/>
      <c r="W71" s="30">
        <v>4000000.0</v>
      </c>
      <c r="X71" s="20"/>
      <c r="Y71" s="30">
        <v>4000000.0</v>
      </c>
      <c r="Z71" s="24">
        <f t="shared" si="3"/>
        <v>1</v>
      </c>
      <c r="AA71" s="23">
        <f t="shared" si="5"/>
        <v>4000000</v>
      </c>
      <c r="AB71" s="20"/>
      <c r="AC71" s="25">
        <f t="shared" si="4"/>
        <v>0</v>
      </c>
      <c r="AD71" s="20" t="s">
        <v>72</v>
      </c>
      <c r="AE71" s="20"/>
      <c r="AF71" s="20"/>
      <c r="AG71" s="20"/>
      <c r="AH71" s="20"/>
      <c r="AI71" s="20"/>
      <c r="AJ71" s="20"/>
      <c r="AK71" s="20"/>
      <c r="AL71" s="20"/>
      <c r="AM71" s="20"/>
      <c r="AN71" s="26"/>
      <c r="AO71" s="26"/>
      <c r="AP71" s="26"/>
      <c r="AQ71" s="26"/>
      <c r="AR71" s="26"/>
      <c r="AS71" s="26"/>
      <c r="AT71" s="26"/>
    </row>
    <row r="72">
      <c r="A72" s="20">
        <v>70.0</v>
      </c>
      <c r="B72" s="29" t="s">
        <v>159</v>
      </c>
      <c r="C72" s="30"/>
      <c r="D72" s="20"/>
      <c r="E72" s="20"/>
      <c r="F72" s="20"/>
      <c r="G72" s="20"/>
      <c r="H72" s="33" t="s">
        <v>160</v>
      </c>
      <c r="I72" s="33" t="s">
        <v>160</v>
      </c>
      <c r="J72" s="21"/>
      <c r="K72" s="20" t="str">
        <f t="shared" si="1"/>
        <v>WATER,ENVIRONMENT,CLIMATE CHANGE AND NATURAL RESOURCES</v>
      </c>
      <c r="L72" s="20" t="s">
        <v>75</v>
      </c>
      <c r="M72" s="20" t="str">
        <f t="shared" si="2"/>
        <v>WATER,ENVIRONMENT,CLIMATE CHANGE AND NATURAL RESOURCES</v>
      </c>
      <c r="N72" s="22" t="s">
        <v>119</v>
      </c>
      <c r="O72" s="22" t="s">
        <v>120</v>
      </c>
      <c r="P72" s="20" t="s">
        <v>121</v>
      </c>
      <c r="Q72" s="20" t="s">
        <v>121</v>
      </c>
      <c r="R72" s="30">
        <v>4735557.15</v>
      </c>
      <c r="S72" s="30">
        <v>4735557.15</v>
      </c>
      <c r="T72" s="30">
        <v>4735557.15</v>
      </c>
      <c r="U72" s="20" t="s">
        <v>71</v>
      </c>
      <c r="V72" s="20"/>
      <c r="W72" s="30">
        <v>4735557.15</v>
      </c>
      <c r="X72" s="20"/>
      <c r="Y72" s="30">
        <v>4735557.15</v>
      </c>
      <c r="Z72" s="24">
        <f t="shared" si="3"/>
        <v>1</v>
      </c>
      <c r="AA72" s="23">
        <f t="shared" si="5"/>
        <v>4735557.15</v>
      </c>
      <c r="AB72" s="20"/>
      <c r="AC72" s="25">
        <f t="shared" si="4"/>
        <v>0</v>
      </c>
      <c r="AD72" s="20" t="s">
        <v>72</v>
      </c>
      <c r="AE72" s="20"/>
      <c r="AF72" s="20"/>
      <c r="AG72" s="20"/>
      <c r="AH72" s="20"/>
      <c r="AI72" s="20"/>
      <c r="AJ72" s="20"/>
      <c r="AK72" s="20"/>
      <c r="AL72" s="20"/>
      <c r="AM72" s="20"/>
      <c r="AN72" s="26"/>
      <c r="AO72" s="26"/>
      <c r="AP72" s="26"/>
      <c r="AQ72" s="26"/>
      <c r="AR72" s="26"/>
      <c r="AS72" s="26"/>
      <c r="AT72" s="26"/>
    </row>
    <row r="73">
      <c r="A73" s="20">
        <v>71.0</v>
      </c>
      <c r="B73" s="29" t="s">
        <v>161</v>
      </c>
      <c r="C73" s="30"/>
      <c r="D73" s="20"/>
      <c r="E73" s="20"/>
      <c r="F73" s="20"/>
      <c r="G73" s="20"/>
      <c r="H73" s="33" t="s">
        <v>113</v>
      </c>
      <c r="I73" s="33" t="s">
        <v>114</v>
      </c>
      <c r="J73" s="21"/>
      <c r="K73" s="20" t="str">
        <f t="shared" si="1"/>
        <v>FINANCE AND ECONOMIC PLANNING</v>
      </c>
      <c r="L73" s="20" t="s">
        <v>134</v>
      </c>
      <c r="M73" s="20" t="str">
        <f t="shared" si="2"/>
        <v>FINANCE AND ECONOMIC PLANNING</v>
      </c>
      <c r="N73" s="22" t="s">
        <v>119</v>
      </c>
      <c r="O73" s="22" t="s">
        <v>120</v>
      </c>
      <c r="P73" s="20" t="s">
        <v>121</v>
      </c>
      <c r="Q73" s="20" t="s">
        <v>121</v>
      </c>
      <c r="R73" s="30">
        <v>4436365.0</v>
      </c>
      <c r="S73" s="30">
        <v>4436365.0</v>
      </c>
      <c r="T73" s="30">
        <v>4436365.0</v>
      </c>
      <c r="U73" s="20" t="s">
        <v>71</v>
      </c>
      <c r="V73" s="20"/>
      <c r="W73" s="30">
        <v>4436365.0</v>
      </c>
      <c r="X73" s="20"/>
      <c r="Y73" s="30">
        <v>4436365.0</v>
      </c>
      <c r="Z73" s="24">
        <f t="shared" si="3"/>
        <v>1</v>
      </c>
      <c r="AA73" s="23">
        <f t="shared" si="5"/>
        <v>4436365</v>
      </c>
      <c r="AB73" s="20"/>
      <c r="AC73" s="25">
        <f t="shared" si="4"/>
        <v>0</v>
      </c>
      <c r="AD73" s="20" t="s">
        <v>72</v>
      </c>
      <c r="AE73" s="20"/>
      <c r="AF73" s="20"/>
      <c r="AG73" s="20"/>
      <c r="AH73" s="20"/>
      <c r="AI73" s="20"/>
      <c r="AJ73" s="20"/>
      <c r="AK73" s="20"/>
      <c r="AL73" s="20"/>
      <c r="AM73" s="20"/>
      <c r="AN73" s="26"/>
      <c r="AO73" s="26"/>
      <c r="AP73" s="26"/>
      <c r="AQ73" s="26"/>
      <c r="AR73" s="26"/>
      <c r="AS73" s="26"/>
      <c r="AT73" s="26"/>
    </row>
    <row r="74">
      <c r="A74" s="20">
        <v>72.0</v>
      </c>
      <c r="B74" s="29" t="s">
        <v>162</v>
      </c>
      <c r="C74" s="30"/>
      <c r="D74" s="20"/>
      <c r="E74" s="20"/>
      <c r="F74" s="20"/>
      <c r="G74" s="20"/>
      <c r="H74" s="33" t="s">
        <v>65</v>
      </c>
      <c r="I74" s="33" t="s">
        <v>66</v>
      </c>
      <c r="J74" s="21"/>
      <c r="K74" s="20" t="str">
        <f t="shared" si="1"/>
        <v>FINANCE AND ECONOMIC PLANNING</v>
      </c>
      <c r="L74" s="20" t="s">
        <v>134</v>
      </c>
      <c r="M74" s="20" t="str">
        <f t="shared" si="2"/>
        <v>FINANCE AND ECONOMIC PLANNING</v>
      </c>
      <c r="N74" s="22" t="s">
        <v>119</v>
      </c>
      <c r="O74" s="22" t="s">
        <v>120</v>
      </c>
      <c r="P74" s="20" t="s">
        <v>121</v>
      </c>
      <c r="Q74" s="20" t="s">
        <v>121</v>
      </c>
      <c r="R74" s="30">
        <v>1354419.75</v>
      </c>
      <c r="S74" s="30">
        <v>1354419.75</v>
      </c>
      <c r="T74" s="30">
        <v>1354419.75</v>
      </c>
      <c r="U74" s="20" t="s">
        <v>71</v>
      </c>
      <c r="V74" s="20"/>
      <c r="W74" s="30">
        <v>1354419.75</v>
      </c>
      <c r="X74" s="20"/>
      <c r="Y74" s="30">
        <v>1354419.75</v>
      </c>
      <c r="Z74" s="24">
        <f t="shared" si="3"/>
        <v>1</v>
      </c>
      <c r="AA74" s="23">
        <f t="shared" si="5"/>
        <v>1354419.75</v>
      </c>
      <c r="AB74" s="20"/>
      <c r="AC74" s="25">
        <f t="shared" si="4"/>
        <v>0</v>
      </c>
      <c r="AD74" s="20" t="s">
        <v>72</v>
      </c>
      <c r="AE74" s="20"/>
      <c r="AF74" s="20"/>
      <c r="AG74" s="20"/>
      <c r="AH74" s="20"/>
      <c r="AI74" s="20"/>
      <c r="AJ74" s="20"/>
      <c r="AK74" s="20"/>
      <c r="AL74" s="20"/>
      <c r="AM74" s="20"/>
      <c r="AN74" s="26"/>
      <c r="AO74" s="26"/>
      <c r="AP74" s="26"/>
      <c r="AQ74" s="26"/>
      <c r="AR74" s="26"/>
      <c r="AS74" s="26"/>
      <c r="AT74" s="26"/>
    </row>
    <row r="75">
      <c r="A75" s="20">
        <v>73.0</v>
      </c>
      <c r="B75" s="29" t="s">
        <v>163</v>
      </c>
      <c r="C75" s="30"/>
      <c r="D75" s="20"/>
      <c r="E75" s="20"/>
      <c r="F75" s="20"/>
      <c r="G75" s="20"/>
      <c r="H75" s="33" t="s">
        <v>65</v>
      </c>
      <c r="I75" s="33" t="s">
        <v>66</v>
      </c>
      <c r="J75" s="21"/>
      <c r="K75" s="20" t="str">
        <f t="shared" si="1"/>
        <v>EDUCATION,INFORMATION AND ICT</v>
      </c>
      <c r="L75" s="20" t="s">
        <v>84</v>
      </c>
      <c r="M75" s="20" t="str">
        <f t="shared" si="2"/>
        <v>EDUCATION,INFORMATION AND ICT</v>
      </c>
      <c r="N75" s="22" t="s">
        <v>119</v>
      </c>
      <c r="O75" s="22" t="s">
        <v>120</v>
      </c>
      <c r="P75" s="20" t="s">
        <v>121</v>
      </c>
      <c r="Q75" s="20" t="s">
        <v>121</v>
      </c>
      <c r="R75" s="30">
        <v>1500000.0</v>
      </c>
      <c r="S75" s="30">
        <v>1500000.0</v>
      </c>
      <c r="T75" s="30">
        <v>1500000.0</v>
      </c>
      <c r="U75" s="20" t="s">
        <v>71</v>
      </c>
      <c r="V75" s="20"/>
      <c r="W75" s="30">
        <v>1500000.0</v>
      </c>
      <c r="X75" s="20"/>
      <c r="Y75" s="30">
        <v>1500000.0</v>
      </c>
      <c r="Z75" s="24">
        <f t="shared" si="3"/>
        <v>1</v>
      </c>
      <c r="AA75" s="23">
        <f t="shared" si="5"/>
        <v>1500000</v>
      </c>
      <c r="AB75" s="20"/>
      <c r="AC75" s="25">
        <f t="shared" si="4"/>
        <v>0</v>
      </c>
      <c r="AD75" s="20" t="s">
        <v>72</v>
      </c>
      <c r="AE75" s="20"/>
      <c r="AF75" s="20"/>
      <c r="AG75" s="20"/>
      <c r="AH75" s="20"/>
      <c r="AI75" s="20"/>
      <c r="AJ75" s="20"/>
      <c r="AK75" s="20"/>
      <c r="AL75" s="20"/>
      <c r="AM75" s="20"/>
      <c r="AN75" s="26"/>
      <c r="AO75" s="26"/>
      <c r="AP75" s="26"/>
      <c r="AQ75" s="26"/>
      <c r="AR75" s="26"/>
      <c r="AS75" s="26"/>
      <c r="AT75" s="26"/>
    </row>
    <row r="76">
      <c r="A76" s="20">
        <v>74.0</v>
      </c>
      <c r="B76" s="29" t="s">
        <v>164</v>
      </c>
      <c r="C76" s="30"/>
      <c r="D76" s="20"/>
      <c r="E76" s="20"/>
      <c r="F76" s="20"/>
      <c r="G76" s="20"/>
      <c r="H76" s="33" t="s">
        <v>104</v>
      </c>
      <c r="I76" s="33" t="s">
        <v>165</v>
      </c>
      <c r="J76" s="21"/>
      <c r="K76" s="20" t="str">
        <f t="shared" si="1"/>
        <v>EDUCATION,INFORMATION AND ICT</v>
      </c>
      <c r="L76" s="20" t="s">
        <v>84</v>
      </c>
      <c r="M76" s="20" t="str">
        <f t="shared" si="2"/>
        <v>EDUCATION,INFORMATION AND ICT</v>
      </c>
      <c r="N76" s="22" t="s">
        <v>119</v>
      </c>
      <c r="O76" s="22" t="s">
        <v>120</v>
      </c>
      <c r="P76" s="20" t="s">
        <v>121</v>
      </c>
      <c r="Q76" s="20" t="s">
        <v>121</v>
      </c>
      <c r="R76" s="30">
        <v>2048770.0</v>
      </c>
      <c r="S76" s="30">
        <v>2048770.0</v>
      </c>
      <c r="T76" s="30">
        <v>2048770.0</v>
      </c>
      <c r="U76" s="20" t="s">
        <v>71</v>
      </c>
      <c r="V76" s="20"/>
      <c r="W76" s="30">
        <v>2048770.0</v>
      </c>
      <c r="X76" s="20"/>
      <c r="Y76" s="30">
        <v>2048770.0</v>
      </c>
      <c r="Z76" s="24">
        <f t="shared" si="3"/>
        <v>1</v>
      </c>
      <c r="AA76" s="23">
        <f t="shared" si="5"/>
        <v>2048770</v>
      </c>
      <c r="AB76" s="20"/>
      <c r="AC76" s="25">
        <f t="shared" si="4"/>
        <v>0</v>
      </c>
      <c r="AD76" s="20" t="s">
        <v>72</v>
      </c>
      <c r="AE76" s="20"/>
      <c r="AF76" s="20"/>
      <c r="AG76" s="20"/>
      <c r="AH76" s="20"/>
      <c r="AI76" s="20"/>
      <c r="AJ76" s="20"/>
      <c r="AK76" s="20"/>
      <c r="AL76" s="20"/>
      <c r="AM76" s="20"/>
      <c r="AN76" s="26"/>
      <c r="AO76" s="26"/>
      <c r="AP76" s="26"/>
      <c r="AQ76" s="26"/>
      <c r="AR76" s="26"/>
      <c r="AS76" s="26"/>
      <c r="AT76" s="26"/>
    </row>
    <row r="77">
      <c r="A77" s="20">
        <v>75.0</v>
      </c>
      <c r="B77" s="29" t="s">
        <v>166</v>
      </c>
      <c r="C77" s="30"/>
      <c r="D77" s="20"/>
      <c r="E77" s="20"/>
      <c r="F77" s="20"/>
      <c r="G77" s="20"/>
      <c r="H77" s="33" t="s">
        <v>104</v>
      </c>
      <c r="I77" s="33" t="s">
        <v>167</v>
      </c>
      <c r="J77" s="21"/>
      <c r="K77" s="20" t="str">
        <f t="shared" si="1"/>
        <v>Health services</v>
      </c>
      <c r="L77" s="20" t="s">
        <v>67</v>
      </c>
      <c r="M77" s="20" t="str">
        <f t="shared" si="2"/>
        <v>Health services</v>
      </c>
      <c r="N77" s="22" t="s">
        <v>119</v>
      </c>
      <c r="O77" s="22" t="s">
        <v>120</v>
      </c>
      <c r="P77" s="20" t="s">
        <v>121</v>
      </c>
      <c r="Q77" s="20" t="s">
        <v>121</v>
      </c>
      <c r="R77" s="30">
        <v>2153859.0</v>
      </c>
      <c r="S77" s="30">
        <v>2153859.0</v>
      </c>
      <c r="T77" s="30">
        <v>2153859.0</v>
      </c>
      <c r="U77" s="20" t="s">
        <v>71</v>
      </c>
      <c r="V77" s="20"/>
      <c r="W77" s="30">
        <v>2153859.0</v>
      </c>
      <c r="X77" s="20"/>
      <c r="Y77" s="30">
        <v>2153859.0</v>
      </c>
      <c r="Z77" s="24">
        <f t="shared" si="3"/>
        <v>1</v>
      </c>
      <c r="AA77" s="23">
        <f t="shared" si="5"/>
        <v>2153859</v>
      </c>
      <c r="AB77" s="20"/>
      <c r="AC77" s="25">
        <f t="shared" si="4"/>
        <v>0</v>
      </c>
      <c r="AD77" s="20" t="s">
        <v>72</v>
      </c>
      <c r="AE77" s="20"/>
      <c r="AF77" s="20"/>
      <c r="AG77" s="20"/>
      <c r="AH77" s="20"/>
      <c r="AI77" s="20"/>
      <c r="AJ77" s="20"/>
      <c r="AK77" s="20"/>
      <c r="AL77" s="20"/>
      <c r="AM77" s="20"/>
      <c r="AN77" s="26"/>
      <c r="AO77" s="26"/>
      <c r="AP77" s="26"/>
      <c r="AQ77" s="26"/>
      <c r="AR77" s="26"/>
      <c r="AS77" s="26"/>
      <c r="AT77" s="26"/>
    </row>
    <row r="78">
      <c r="A78" s="20">
        <v>76.0</v>
      </c>
      <c r="B78" s="29" t="s">
        <v>168</v>
      </c>
      <c r="C78" s="30"/>
      <c r="D78" s="20"/>
      <c r="E78" s="20"/>
      <c r="F78" s="20"/>
      <c r="G78" s="20"/>
      <c r="H78" s="33" t="s">
        <v>160</v>
      </c>
      <c r="I78" s="33" t="s">
        <v>160</v>
      </c>
      <c r="J78" s="21"/>
      <c r="K78" s="20" t="str">
        <f t="shared" si="1"/>
        <v>EDUCATION,INFORMATION AND ICT</v>
      </c>
      <c r="L78" s="20" t="s">
        <v>84</v>
      </c>
      <c r="M78" s="20" t="str">
        <f t="shared" si="2"/>
        <v>EDUCATION,INFORMATION AND ICT</v>
      </c>
      <c r="N78" s="22" t="s">
        <v>119</v>
      </c>
      <c r="O78" s="22" t="s">
        <v>120</v>
      </c>
      <c r="P78" s="20" t="s">
        <v>121</v>
      </c>
      <c r="Q78" s="20" t="s">
        <v>121</v>
      </c>
      <c r="R78" s="30">
        <v>2193068.35</v>
      </c>
      <c r="S78" s="30">
        <v>2193068.35</v>
      </c>
      <c r="T78" s="30">
        <v>2193068.35</v>
      </c>
      <c r="U78" s="20" t="s">
        <v>71</v>
      </c>
      <c r="V78" s="20"/>
      <c r="W78" s="30">
        <v>2193068.35</v>
      </c>
      <c r="X78" s="20"/>
      <c r="Y78" s="30">
        <v>2193068.35</v>
      </c>
      <c r="Z78" s="24">
        <f t="shared" si="3"/>
        <v>1</v>
      </c>
      <c r="AA78" s="23">
        <f t="shared" si="5"/>
        <v>2193068.35</v>
      </c>
      <c r="AB78" s="20"/>
      <c r="AC78" s="25">
        <f t="shared" si="4"/>
        <v>0</v>
      </c>
      <c r="AD78" s="20" t="s">
        <v>72</v>
      </c>
      <c r="AE78" s="20"/>
      <c r="AF78" s="20"/>
      <c r="AG78" s="20"/>
      <c r="AH78" s="20"/>
      <c r="AI78" s="20"/>
      <c r="AJ78" s="20"/>
      <c r="AK78" s="20"/>
      <c r="AL78" s="20"/>
      <c r="AM78" s="20"/>
      <c r="AN78" s="26"/>
      <c r="AO78" s="26"/>
      <c r="AP78" s="26"/>
      <c r="AQ78" s="26"/>
      <c r="AR78" s="26"/>
      <c r="AS78" s="26"/>
      <c r="AT78" s="26"/>
    </row>
    <row r="79">
      <c r="A79" s="20">
        <v>77.0</v>
      </c>
      <c r="B79" s="29" t="s">
        <v>169</v>
      </c>
      <c r="C79" s="30"/>
      <c r="D79" s="20"/>
      <c r="E79" s="20"/>
      <c r="F79" s="20"/>
      <c r="G79" s="20"/>
      <c r="H79" s="33" t="s">
        <v>65</v>
      </c>
      <c r="I79" s="33" t="s">
        <v>66</v>
      </c>
      <c r="J79" s="21"/>
      <c r="K79" s="20" t="str">
        <f t="shared" si="1"/>
        <v>Health services</v>
      </c>
      <c r="L79" s="20" t="s">
        <v>67</v>
      </c>
      <c r="M79" s="20" t="str">
        <f t="shared" si="2"/>
        <v>Health services</v>
      </c>
      <c r="N79" s="22" t="s">
        <v>119</v>
      </c>
      <c r="O79" s="22" t="s">
        <v>120</v>
      </c>
      <c r="P79" s="20" t="s">
        <v>121</v>
      </c>
      <c r="Q79" s="20" t="s">
        <v>121</v>
      </c>
      <c r="R79" s="30">
        <v>2427748.75</v>
      </c>
      <c r="S79" s="30">
        <v>2427748.75</v>
      </c>
      <c r="T79" s="30">
        <v>2427748.75</v>
      </c>
      <c r="U79" s="20" t="s">
        <v>71</v>
      </c>
      <c r="V79" s="20"/>
      <c r="W79" s="30">
        <v>2427748.75</v>
      </c>
      <c r="X79" s="20"/>
      <c r="Y79" s="30">
        <v>2427748.75</v>
      </c>
      <c r="Z79" s="24">
        <f t="shared" si="3"/>
        <v>1</v>
      </c>
      <c r="AA79" s="23">
        <f t="shared" si="5"/>
        <v>2427748.75</v>
      </c>
      <c r="AB79" s="20"/>
      <c r="AC79" s="25">
        <f t="shared" si="4"/>
        <v>0</v>
      </c>
      <c r="AD79" s="20" t="s">
        <v>72</v>
      </c>
      <c r="AE79" s="20"/>
      <c r="AF79" s="20"/>
      <c r="AG79" s="20"/>
      <c r="AH79" s="20"/>
      <c r="AI79" s="20"/>
      <c r="AJ79" s="20"/>
      <c r="AK79" s="20"/>
      <c r="AL79" s="20"/>
      <c r="AM79" s="20"/>
      <c r="AN79" s="26"/>
      <c r="AO79" s="26"/>
      <c r="AP79" s="26"/>
      <c r="AQ79" s="26"/>
      <c r="AR79" s="26"/>
      <c r="AS79" s="26"/>
      <c r="AT79" s="26"/>
    </row>
    <row r="80">
      <c r="A80" s="20">
        <v>78.0</v>
      </c>
      <c r="B80" s="29" t="s">
        <v>170</v>
      </c>
      <c r="C80" s="30"/>
      <c r="D80" s="20"/>
      <c r="E80" s="20"/>
      <c r="F80" s="20"/>
      <c r="G80" s="20"/>
      <c r="H80" s="33" t="s">
        <v>81</v>
      </c>
      <c r="I80" s="33" t="s">
        <v>81</v>
      </c>
      <c r="J80" s="21"/>
      <c r="K80" s="20" t="str">
        <f t="shared" si="1"/>
        <v>EDUCATION,INFORMATION AND ICT</v>
      </c>
      <c r="L80" s="20" t="s">
        <v>84</v>
      </c>
      <c r="M80" s="20" t="str">
        <f t="shared" si="2"/>
        <v>EDUCATION,INFORMATION AND ICT</v>
      </c>
      <c r="N80" s="22" t="s">
        <v>119</v>
      </c>
      <c r="O80" s="22" t="s">
        <v>120</v>
      </c>
      <c r="P80" s="20" t="s">
        <v>121</v>
      </c>
      <c r="Q80" s="20" t="s">
        <v>121</v>
      </c>
      <c r="R80" s="30">
        <v>3487465.0</v>
      </c>
      <c r="S80" s="30">
        <v>3487465.0</v>
      </c>
      <c r="T80" s="30">
        <v>3487465.0</v>
      </c>
      <c r="U80" s="20" t="s">
        <v>71</v>
      </c>
      <c r="V80" s="20"/>
      <c r="W80" s="30">
        <v>3487465.0</v>
      </c>
      <c r="X80" s="20"/>
      <c r="Y80" s="30">
        <v>3487465.0</v>
      </c>
      <c r="Z80" s="24">
        <f t="shared" si="3"/>
        <v>1</v>
      </c>
      <c r="AA80" s="23">
        <f t="shared" si="5"/>
        <v>3487465</v>
      </c>
      <c r="AB80" s="20"/>
      <c r="AC80" s="25">
        <f t="shared" si="4"/>
        <v>0</v>
      </c>
      <c r="AD80" s="20" t="s">
        <v>72</v>
      </c>
      <c r="AE80" s="20"/>
      <c r="AF80" s="20"/>
      <c r="AG80" s="20"/>
      <c r="AH80" s="20"/>
      <c r="AI80" s="20"/>
      <c r="AJ80" s="20"/>
      <c r="AK80" s="20"/>
      <c r="AL80" s="20"/>
      <c r="AM80" s="20"/>
      <c r="AN80" s="26"/>
      <c r="AO80" s="26"/>
      <c r="AP80" s="26"/>
      <c r="AQ80" s="26"/>
      <c r="AR80" s="26"/>
      <c r="AS80" s="26"/>
      <c r="AT80" s="26"/>
    </row>
    <row r="81">
      <c r="A81" s="20">
        <v>79.0</v>
      </c>
      <c r="B81" s="29" t="s">
        <v>171</v>
      </c>
      <c r="C81" s="30"/>
      <c r="D81" s="20"/>
      <c r="E81" s="20"/>
      <c r="F81" s="20"/>
      <c r="G81" s="20"/>
      <c r="H81" s="33" t="s">
        <v>160</v>
      </c>
      <c r="I81" s="33" t="s">
        <v>160</v>
      </c>
      <c r="J81" s="21"/>
      <c r="K81" s="20" t="str">
        <f t="shared" si="1"/>
        <v>ROADS,TRANSPORT AND PUBLIC WORKS</v>
      </c>
      <c r="L81" s="20" t="s">
        <v>107</v>
      </c>
      <c r="M81" s="20" t="str">
        <f t="shared" si="2"/>
        <v>ROADS,TRANSPORT AND PUBLIC WORKS</v>
      </c>
      <c r="N81" s="22" t="s">
        <v>119</v>
      </c>
      <c r="O81" s="22" t="s">
        <v>120</v>
      </c>
      <c r="P81" s="20" t="s">
        <v>121</v>
      </c>
      <c r="Q81" s="20" t="s">
        <v>121</v>
      </c>
      <c r="R81" s="30">
        <v>2939634.0</v>
      </c>
      <c r="S81" s="30">
        <v>2939634.0</v>
      </c>
      <c r="T81" s="30">
        <v>2939634.0</v>
      </c>
      <c r="U81" s="20" t="s">
        <v>71</v>
      </c>
      <c r="V81" s="20"/>
      <c r="W81" s="30">
        <v>2939634.0</v>
      </c>
      <c r="X81" s="20"/>
      <c r="Y81" s="30">
        <v>2939634.0</v>
      </c>
      <c r="Z81" s="24">
        <f t="shared" si="3"/>
        <v>1</v>
      </c>
      <c r="AA81" s="23">
        <f t="shared" si="5"/>
        <v>2939634</v>
      </c>
      <c r="AB81" s="20"/>
      <c r="AC81" s="25">
        <f t="shared" si="4"/>
        <v>0</v>
      </c>
      <c r="AD81" s="20" t="s">
        <v>72</v>
      </c>
      <c r="AE81" s="20"/>
      <c r="AF81" s="20"/>
      <c r="AG81" s="20"/>
      <c r="AH81" s="20"/>
      <c r="AI81" s="20"/>
      <c r="AJ81" s="20"/>
      <c r="AK81" s="20"/>
      <c r="AL81" s="20"/>
      <c r="AM81" s="20"/>
      <c r="AN81" s="26"/>
      <c r="AO81" s="26"/>
      <c r="AP81" s="26"/>
      <c r="AQ81" s="26"/>
      <c r="AR81" s="26"/>
      <c r="AS81" s="26"/>
      <c r="AT81" s="26"/>
    </row>
    <row r="82">
      <c r="A82" s="20">
        <v>80.0</v>
      </c>
      <c r="B82" s="29" t="s">
        <v>172</v>
      </c>
      <c r="C82" s="30"/>
      <c r="D82" s="20"/>
      <c r="E82" s="20"/>
      <c r="F82" s="20"/>
      <c r="G82" s="20"/>
      <c r="H82" s="33" t="s">
        <v>65</v>
      </c>
      <c r="I82" s="33" t="s">
        <v>66</v>
      </c>
      <c r="J82" s="21"/>
      <c r="K82" s="20" t="str">
        <f t="shared" si="1"/>
        <v>AGRICULTURE,LIVESTOCK AND PASTORAL ECONOMY</v>
      </c>
      <c r="L82" s="20" t="s">
        <v>100</v>
      </c>
      <c r="M82" s="20" t="str">
        <f t="shared" si="2"/>
        <v>AGRICULTURE,LIVESTOCK AND PASTORAL ECONOMY</v>
      </c>
      <c r="N82" s="22" t="s">
        <v>119</v>
      </c>
      <c r="O82" s="22" t="s">
        <v>120</v>
      </c>
      <c r="P82" s="20" t="s">
        <v>121</v>
      </c>
      <c r="Q82" s="20" t="s">
        <v>121</v>
      </c>
      <c r="R82" s="30">
        <v>3587892.55</v>
      </c>
      <c r="S82" s="30">
        <v>3587892.55</v>
      </c>
      <c r="T82" s="30">
        <v>3587892.55</v>
      </c>
      <c r="U82" s="20" t="s">
        <v>71</v>
      </c>
      <c r="V82" s="20"/>
      <c r="W82" s="30">
        <v>3587892.55</v>
      </c>
      <c r="X82" s="20"/>
      <c r="Y82" s="30">
        <v>3587892.55</v>
      </c>
      <c r="Z82" s="24">
        <f t="shared" si="3"/>
        <v>1</v>
      </c>
      <c r="AA82" s="23">
        <f t="shared" si="5"/>
        <v>3587892.55</v>
      </c>
      <c r="AB82" s="20"/>
      <c r="AC82" s="25">
        <f t="shared" si="4"/>
        <v>0</v>
      </c>
      <c r="AD82" s="20" t="s">
        <v>72</v>
      </c>
      <c r="AE82" s="20"/>
      <c r="AF82" s="20"/>
      <c r="AG82" s="20"/>
      <c r="AH82" s="20"/>
      <c r="AI82" s="20"/>
      <c r="AJ82" s="20"/>
      <c r="AK82" s="20"/>
      <c r="AL82" s="20"/>
      <c r="AM82" s="20"/>
      <c r="AN82" s="26"/>
      <c r="AO82" s="26"/>
      <c r="AP82" s="26"/>
      <c r="AQ82" s="26"/>
      <c r="AR82" s="26"/>
      <c r="AS82" s="26"/>
      <c r="AT82" s="26"/>
    </row>
    <row r="83">
      <c r="A83" s="20">
        <v>81.0</v>
      </c>
      <c r="B83" s="29" t="s">
        <v>173</v>
      </c>
      <c r="C83" s="30"/>
      <c r="D83" s="20"/>
      <c r="E83" s="20"/>
      <c r="F83" s="20"/>
      <c r="G83" s="20"/>
      <c r="H83" s="33" t="s">
        <v>113</v>
      </c>
      <c r="I83" s="33" t="s">
        <v>114</v>
      </c>
      <c r="J83" s="21"/>
      <c r="K83" s="20" t="str">
        <f t="shared" si="1"/>
        <v>ROADS,TRANSPORT AND PUBLIC WORKS</v>
      </c>
      <c r="L83" s="20" t="s">
        <v>107</v>
      </c>
      <c r="M83" s="20" t="str">
        <f t="shared" si="2"/>
        <v>ROADS,TRANSPORT AND PUBLIC WORKS</v>
      </c>
      <c r="N83" s="22" t="s">
        <v>119</v>
      </c>
      <c r="O83" s="22" t="s">
        <v>120</v>
      </c>
      <c r="P83" s="20" t="s">
        <v>121</v>
      </c>
      <c r="Q83" s="20" t="s">
        <v>121</v>
      </c>
      <c r="R83" s="30">
        <v>4643879.0</v>
      </c>
      <c r="S83" s="30">
        <v>4643879.0</v>
      </c>
      <c r="T83" s="30">
        <v>4643879.0</v>
      </c>
      <c r="U83" s="20" t="s">
        <v>71</v>
      </c>
      <c r="V83" s="20"/>
      <c r="W83" s="30">
        <v>4643879.0</v>
      </c>
      <c r="X83" s="20"/>
      <c r="Y83" s="30">
        <v>4643879.0</v>
      </c>
      <c r="Z83" s="24">
        <f t="shared" si="3"/>
        <v>1</v>
      </c>
      <c r="AA83" s="23">
        <f t="shared" si="5"/>
        <v>4643879</v>
      </c>
      <c r="AB83" s="20"/>
      <c r="AC83" s="25">
        <f t="shared" si="4"/>
        <v>0</v>
      </c>
      <c r="AD83" s="20" t="s">
        <v>72</v>
      </c>
      <c r="AE83" s="20"/>
      <c r="AF83" s="20"/>
      <c r="AG83" s="20"/>
      <c r="AH83" s="20"/>
      <c r="AI83" s="20"/>
      <c r="AJ83" s="20"/>
      <c r="AK83" s="20"/>
      <c r="AL83" s="20"/>
      <c r="AM83" s="20"/>
      <c r="AN83" s="26"/>
      <c r="AO83" s="26"/>
      <c r="AP83" s="26"/>
      <c r="AQ83" s="26"/>
      <c r="AR83" s="26"/>
      <c r="AS83" s="26"/>
      <c r="AT83" s="26"/>
    </row>
    <row r="84">
      <c r="A84" s="20">
        <v>82.0</v>
      </c>
      <c r="B84" s="29" t="s">
        <v>174</v>
      </c>
      <c r="C84" s="30"/>
      <c r="D84" s="20"/>
      <c r="E84" s="20"/>
      <c r="F84" s="20"/>
      <c r="G84" s="20"/>
      <c r="H84" s="33" t="s">
        <v>65</v>
      </c>
      <c r="I84" s="33" t="s">
        <v>66</v>
      </c>
      <c r="J84" s="21"/>
      <c r="K84" s="20" t="str">
        <f t="shared" si="1"/>
        <v>ROADS,TRANSPORT AND PUBLIC WORKS</v>
      </c>
      <c r="L84" s="20" t="s">
        <v>107</v>
      </c>
      <c r="M84" s="20" t="str">
        <f t="shared" si="2"/>
        <v>ROADS,TRANSPORT AND PUBLIC WORKS</v>
      </c>
      <c r="N84" s="22" t="s">
        <v>119</v>
      </c>
      <c r="O84" s="22" t="s">
        <v>120</v>
      </c>
      <c r="P84" s="20" t="s">
        <v>121</v>
      </c>
      <c r="Q84" s="20" t="s">
        <v>121</v>
      </c>
      <c r="R84" s="30">
        <v>6807246.0</v>
      </c>
      <c r="S84" s="30">
        <v>6807246.0</v>
      </c>
      <c r="T84" s="30">
        <v>6807246.0</v>
      </c>
      <c r="U84" s="20" t="s">
        <v>71</v>
      </c>
      <c r="V84" s="20"/>
      <c r="W84" s="30">
        <v>6807246.0</v>
      </c>
      <c r="X84" s="20"/>
      <c r="Y84" s="30">
        <v>6807246.0</v>
      </c>
      <c r="Z84" s="24">
        <f t="shared" si="3"/>
        <v>1</v>
      </c>
      <c r="AA84" s="23">
        <f t="shared" si="5"/>
        <v>6807246</v>
      </c>
      <c r="AB84" s="20"/>
      <c r="AC84" s="25">
        <f t="shared" si="4"/>
        <v>0</v>
      </c>
      <c r="AD84" s="20" t="s">
        <v>72</v>
      </c>
      <c r="AE84" s="20"/>
      <c r="AF84" s="20"/>
      <c r="AG84" s="20"/>
      <c r="AH84" s="20"/>
      <c r="AI84" s="20"/>
      <c r="AJ84" s="20"/>
      <c r="AK84" s="20"/>
      <c r="AL84" s="20"/>
      <c r="AM84" s="20"/>
      <c r="AN84" s="26"/>
      <c r="AO84" s="26"/>
      <c r="AP84" s="26"/>
      <c r="AQ84" s="26"/>
      <c r="AR84" s="26"/>
      <c r="AS84" s="26"/>
      <c r="AT84" s="26"/>
    </row>
    <row r="85">
      <c r="A85" s="20">
        <v>83.0</v>
      </c>
      <c r="B85" s="29" t="s">
        <v>146</v>
      </c>
      <c r="C85" s="30"/>
      <c r="D85" s="20"/>
      <c r="E85" s="20"/>
      <c r="F85" s="20"/>
      <c r="G85" s="20"/>
      <c r="H85" s="33" t="s">
        <v>65</v>
      </c>
      <c r="I85" s="33" t="s">
        <v>66</v>
      </c>
      <c r="J85" s="21"/>
      <c r="K85" s="20" t="str">
        <f t="shared" si="1"/>
        <v>Health services</v>
      </c>
      <c r="L85" s="20" t="s">
        <v>67</v>
      </c>
      <c r="M85" s="20" t="str">
        <f t="shared" si="2"/>
        <v>Health services</v>
      </c>
      <c r="N85" s="22" t="s">
        <v>119</v>
      </c>
      <c r="O85" s="22" t="s">
        <v>120</v>
      </c>
      <c r="P85" s="20" t="s">
        <v>121</v>
      </c>
      <c r="Q85" s="20" t="s">
        <v>121</v>
      </c>
      <c r="R85" s="30">
        <v>1.0532386E7</v>
      </c>
      <c r="S85" s="30">
        <v>1.0532386E7</v>
      </c>
      <c r="T85" s="30">
        <v>1.0532386E7</v>
      </c>
      <c r="U85" s="20" t="s">
        <v>71</v>
      </c>
      <c r="V85" s="20"/>
      <c r="W85" s="30">
        <v>1.0532386E7</v>
      </c>
      <c r="X85" s="20"/>
      <c r="Y85" s="30">
        <v>1.0532386E7</v>
      </c>
      <c r="Z85" s="24">
        <f t="shared" si="3"/>
        <v>1</v>
      </c>
      <c r="AA85" s="23">
        <f t="shared" si="5"/>
        <v>10532386</v>
      </c>
      <c r="AB85" s="20"/>
      <c r="AC85" s="25">
        <f t="shared" si="4"/>
        <v>0</v>
      </c>
      <c r="AD85" s="20" t="s">
        <v>72</v>
      </c>
      <c r="AE85" s="20"/>
      <c r="AF85" s="20"/>
      <c r="AG85" s="20"/>
      <c r="AH85" s="20"/>
      <c r="AI85" s="20"/>
      <c r="AJ85" s="20"/>
      <c r="AK85" s="20"/>
      <c r="AL85" s="20"/>
      <c r="AM85" s="20"/>
      <c r="AN85" s="26"/>
      <c r="AO85" s="26"/>
      <c r="AP85" s="26"/>
      <c r="AQ85" s="26"/>
      <c r="AR85" s="26"/>
      <c r="AS85" s="26"/>
      <c r="AT85" s="26"/>
    </row>
    <row r="86">
      <c r="A86" s="20">
        <v>84.0</v>
      </c>
      <c r="B86" s="29" t="s">
        <v>175</v>
      </c>
      <c r="C86" s="30"/>
      <c r="D86" s="20"/>
      <c r="E86" s="20"/>
      <c r="F86" s="20"/>
      <c r="G86" s="20"/>
      <c r="H86" s="33" t="s">
        <v>113</v>
      </c>
      <c r="I86" s="33" t="s">
        <v>114</v>
      </c>
      <c r="J86" s="21"/>
      <c r="K86" s="20" t="str">
        <f t="shared" si="1"/>
        <v>ROADS,TRANSPORT AND PUBLIC WORKS</v>
      </c>
      <c r="L86" s="20" t="s">
        <v>107</v>
      </c>
      <c r="M86" s="20" t="str">
        <f t="shared" si="2"/>
        <v>ROADS,TRANSPORT AND PUBLIC WORKS</v>
      </c>
      <c r="N86" s="22" t="s">
        <v>119</v>
      </c>
      <c r="O86" s="22" t="s">
        <v>120</v>
      </c>
      <c r="P86" s="20" t="s">
        <v>121</v>
      </c>
      <c r="Q86" s="20" t="s">
        <v>121</v>
      </c>
      <c r="R86" s="30">
        <v>1.3530937E7</v>
      </c>
      <c r="S86" s="30">
        <v>1.3530937E7</v>
      </c>
      <c r="T86" s="30">
        <v>1.3530937E7</v>
      </c>
      <c r="U86" s="20" t="s">
        <v>71</v>
      </c>
      <c r="V86" s="20"/>
      <c r="W86" s="30">
        <v>1.3530937E7</v>
      </c>
      <c r="X86" s="20"/>
      <c r="Y86" s="30">
        <v>1.3530937E7</v>
      </c>
      <c r="Z86" s="24">
        <f t="shared" si="3"/>
        <v>1</v>
      </c>
      <c r="AA86" s="23">
        <f t="shared" si="5"/>
        <v>13530937</v>
      </c>
      <c r="AB86" s="20"/>
      <c r="AC86" s="25">
        <f t="shared" si="4"/>
        <v>0</v>
      </c>
      <c r="AD86" s="20" t="s">
        <v>72</v>
      </c>
      <c r="AE86" s="20"/>
      <c r="AF86" s="20"/>
      <c r="AG86" s="20"/>
      <c r="AH86" s="20"/>
      <c r="AI86" s="20"/>
      <c r="AJ86" s="20"/>
      <c r="AK86" s="20"/>
      <c r="AL86" s="20"/>
      <c r="AM86" s="20"/>
      <c r="AN86" s="26"/>
      <c r="AO86" s="26"/>
      <c r="AP86" s="26"/>
      <c r="AQ86" s="26"/>
      <c r="AR86" s="26"/>
      <c r="AS86" s="26"/>
      <c r="AT86" s="26"/>
    </row>
    <row r="87">
      <c r="A87" s="20">
        <v>85.0</v>
      </c>
      <c r="B87" s="29" t="s">
        <v>176</v>
      </c>
      <c r="C87" s="30"/>
      <c r="D87" s="20"/>
      <c r="E87" s="20"/>
      <c r="F87" s="20"/>
      <c r="G87" s="20"/>
      <c r="H87" s="33" t="s">
        <v>65</v>
      </c>
      <c r="I87" s="33" t="s">
        <v>66</v>
      </c>
      <c r="J87" s="21"/>
      <c r="K87" s="20" t="str">
        <f t="shared" si="1"/>
        <v>Health services</v>
      </c>
      <c r="L87" s="20" t="s">
        <v>67</v>
      </c>
      <c r="M87" s="20" t="str">
        <f t="shared" si="2"/>
        <v>Health services</v>
      </c>
      <c r="N87" s="22" t="s">
        <v>119</v>
      </c>
      <c r="O87" s="22" t="s">
        <v>120</v>
      </c>
      <c r="P87" s="20" t="s">
        <v>121</v>
      </c>
      <c r="Q87" s="20" t="s">
        <v>121</v>
      </c>
      <c r="R87" s="30">
        <v>1960000.0</v>
      </c>
      <c r="S87" s="30">
        <v>1960000.0</v>
      </c>
      <c r="T87" s="30">
        <v>1960000.0</v>
      </c>
      <c r="U87" s="20" t="s">
        <v>71</v>
      </c>
      <c r="V87" s="20"/>
      <c r="W87" s="30">
        <v>1960000.0</v>
      </c>
      <c r="X87" s="20"/>
      <c r="Y87" s="30">
        <v>1960000.0</v>
      </c>
      <c r="Z87" s="24">
        <f t="shared" si="3"/>
        <v>1</v>
      </c>
      <c r="AA87" s="23">
        <f t="shared" si="5"/>
        <v>1960000</v>
      </c>
      <c r="AB87" s="20"/>
      <c r="AC87" s="25">
        <f t="shared" si="4"/>
        <v>0</v>
      </c>
      <c r="AD87" s="20" t="s">
        <v>72</v>
      </c>
      <c r="AE87" s="20"/>
      <c r="AF87" s="20"/>
      <c r="AG87" s="20"/>
      <c r="AH87" s="20"/>
      <c r="AI87" s="20"/>
      <c r="AJ87" s="20"/>
      <c r="AK87" s="20"/>
      <c r="AL87" s="20"/>
      <c r="AM87" s="20"/>
      <c r="AN87" s="26"/>
      <c r="AO87" s="26"/>
      <c r="AP87" s="26"/>
      <c r="AQ87" s="26"/>
      <c r="AR87" s="26"/>
      <c r="AS87" s="26"/>
      <c r="AT87" s="26"/>
    </row>
    <row r="88">
      <c r="A88" s="20">
        <v>86.0</v>
      </c>
      <c r="B88" s="29" t="s">
        <v>177</v>
      </c>
      <c r="C88" s="30"/>
      <c r="D88" s="20"/>
      <c r="E88" s="20"/>
      <c r="F88" s="20"/>
      <c r="G88" s="20"/>
      <c r="H88" s="33" t="s">
        <v>104</v>
      </c>
      <c r="I88" s="33" t="s">
        <v>167</v>
      </c>
      <c r="J88" s="21"/>
      <c r="K88" s="20" t="str">
        <f t="shared" si="1"/>
        <v>Health services</v>
      </c>
      <c r="L88" s="20" t="s">
        <v>67</v>
      </c>
      <c r="M88" s="20" t="str">
        <f t="shared" si="2"/>
        <v>Health services</v>
      </c>
      <c r="N88" s="22" t="s">
        <v>119</v>
      </c>
      <c r="O88" s="22" t="s">
        <v>120</v>
      </c>
      <c r="P88" s="20" t="s">
        <v>121</v>
      </c>
      <c r="Q88" s="20" t="s">
        <v>121</v>
      </c>
      <c r="R88" s="30">
        <v>2679697.0</v>
      </c>
      <c r="S88" s="30">
        <v>2679697.0</v>
      </c>
      <c r="T88" s="30">
        <v>2679697.0</v>
      </c>
      <c r="U88" s="20" t="s">
        <v>71</v>
      </c>
      <c r="V88" s="20"/>
      <c r="W88" s="30">
        <v>2679697.0</v>
      </c>
      <c r="X88" s="20"/>
      <c r="Y88" s="30">
        <v>2679697.0</v>
      </c>
      <c r="Z88" s="24">
        <f t="shared" si="3"/>
        <v>1</v>
      </c>
      <c r="AA88" s="23">
        <f t="shared" si="5"/>
        <v>2679697</v>
      </c>
      <c r="AB88" s="20"/>
      <c r="AC88" s="25">
        <f t="shared" si="4"/>
        <v>0</v>
      </c>
      <c r="AD88" s="20" t="s">
        <v>72</v>
      </c>
      <c r="AE88" s="20"/>
      <c r="AF88" s="20"/>
      <c r="AG88" s="20"/>
      <c r="AH88" s="20"/>
      <c r="AI88" s="20"/>
      <c r="AJ88" s="20"/>
      <c r="AK88" s="20"/>
      <c r="AL88" s="20"/>
      <c r="AM88" s="20"/>
      <c r="AN88" s="26"/>
      <c r="AO88" s="26"/>
      <c r="AP88" s="26"/>
      <c r="AQ88" s="26"/>
      <c r="AR88" s="26"/>
      <c r="AS88" s="26"/>
      <c r="AT88" s="26"/>
    </row>
    <row r="89">
      <c r="A89" s="20">
        <v>87.0</v>
      </c>
      <c r="B89" s="29" t="s">
        <v>178</v>
      </c>
      <c r="C89" s="30"/>
      <c r="D89" s="20"/>
      <c r="E89" s="20"/>
      <c r="F89" s="20"/>
      <c r="G89" s="20"/>
      <c r="H89" s="33" t="s">
        <v>65</v>
      </c>
      <c r="I89" s="33" t="s">
        <v>87</v>
      </c>
      <c r="J89" s="21"/>
      <c r="K89" s="20" t="str">
        <f t="shared" si="1"/>
        <v>Health services</v>
      </c>
      <c r="L89" s="20" t="s">
        <v>67</v>
      </c>
      <c r="M89" s="20" t="str">
        <f t="shared" si="2"/>
        <v>Health services</v>
      </c>
      <c r="N89" s="22" t="s">
        <v>119</v>
      </c>
      <c r="O89" s="22" t="s">
        <v>120</v>
      </c>
      <c r="P89" s="20" t="s">
        <v>121</v>
      </c>
      <c r="Q89" s="20" t="s">
        <v>121</v>
      </c>
      <c r="R89" s="30">
        <v>4697265.0</v>
      </c>
      <c r="S89" s="30">
        <v>4697265.0</v>
      </c>
      <c r="T89" s="30">
        <v>4697265.0</v>
      </c>
      <c r="U89" s="20" t="s">
        <v>71</v>
      </c>
      <c r="V89" s="20"/>
      <c r="W89" s="30">
        <v>4697265.0</v>
      </c>
      <c r="X89" s="20"/>
      <c r="Y89" s="30">
        <v>4697265.0</v>
      </c>
      <c r="Z89" s="24">
        <f t="shared" si="3"/>
        <v>1</v>
      </c>
      <c r="AA89" s="23">
        <f t="shared" si="5"/>
        <v>4697265</v>
      </c>
      <c r="AB89" s="20"/>
      <c r="AC89" s="25">
        <f t="shared" si="4"/>
        <v>0</v>
      </c>
      <c r="AD89" s="20" t="s">
        <v>72</v>
      </c>
      <c r="AE89" s="20"/>
      <c r="AF89" s="20"/>
      <c r="AG89" s="20"/>
      <c r="AH89" s="20"/>
      <c r="AI89" s="20"/>
      <c r="AJ89" s="20"/>
      <c r="AK89" s="20"/>
      <c r="AL89" s="20"/>
      <c r="AM89" s="20"/>
      <c r="AN89" s="26"/>
      <c r="AO89" s="26"/>
      <c r="AP89" s="26"/>
      <c r="AQ89" s="26"/>
      <c r="AR89" s="26"/>
      <c r="AS89" s="26"/>
      <c r="AT89" s="26"/>
    </row>
    <row r="90">
      <c r="A90" s="20">
        <v>88.0</v>
      </c>
      <c r="B90" s="29" t="s">
        <v>175</v>
      </c>
      <c r="C90" s="30"/>
      <c r="D90" s="20"/>
      <c r="E90" s="20"/>
      <c r="F90" s="20"/>
      <c r="G90" s="20"/>
      <c r="H90" s="33" t="s">
        <v>113</v>
      </c>
      <c r="I90" s="33" t="s">
        <v>114</v>
      </c>
      <c r="J90" s="21"/>
      <c r="K90" s="20" t="str">
        <f t="shared" si="1"/>
        <v>ROADS,TRANSPORT AND PUBLIC WORKS</v>
      </c>
      <c r="L90" s="20" t="s">
        <v>107</v>
      </c>
      <c r="M90" s="20" t="str">
        <f t="shared" si="2"/>
        <v>ROADS,TRANSPORT AND PUBLIC WORKS</v>
      </c>
      <c r="N90" s="22" t="s">
        <v>119</v>
      </c>
      <c r="O90" s="22" t="s">
        <v>120</v>
      </c>
      <c r="P90" s="20" t="s">
        <v>121</v>
      </c>
      <c r="Q90" s="20" t="s">
        <v>121</v>
      </c>
      <c r="R90" s="30">
        <v>1.33E7</v>
      </c>
      <c r="S90" s="30">
        <v>1.33E7</v>
      </c>
      <c r="T90" s="30">
        <v>1.33E7</v>
      </c>
      <c r="U90" s="20" t="s">
        <v>71</v>
      </c>
      <c r="V90" s="20"/>
      <c r="W90" s="30">
        <v>1.33E7</v>
      </c>
      <c r="X90" s="20"/>
      <c r="Y90" s="30">
        <v>1.33E7</v>
      </c>
      <c r="Z90" s="24">
        <f t="shared" si="3"/>
        <v>1</v>
      </c>
      <c r="AA90" s="23">
        <f t="shared" si="5"/>
        <v>13300000</v>
      </c>
      <c r="AB90" s="20"/>
      <c r="AC90" s="25">
        <f t="shared" si="4"/>
        <v>0</v>
      </c>
      <c r="AD90" s="20" t="s">
        <v>72</v>
      </c>
      <c r="AE90" s="20"/>
      <c r="AF90" s="20"/>
      <c r="AG90" s="20"/>
      <c r="AH90" s="20"/>
      <c r="AI90" s="20"/>
      <c r="AJ90" s="20"/>
      <c r="AK90" s="20"/>
      <c r="AL90" s="20"/>
      <c r="AM90" s="20"/>
      <c r="AN90" s="26"/>
      <c r="AO90" s="26"/>
      <c r="AP90" s="26"/>
      <c r="AQ90" s="26"/>
      <c r="AR90" s="26"/>
      <c r="AS90" s="26"/>
      <c r="AT90" s="26"/>
    </row>
    <row r="91">
      <c r="A91" s="20">
        <v>89.0</v>
      </c>
      <c r="B91" s="29" t="s">
        <v>131</v>
      </c>
      <c r="C91" s="30"/>
      <c r="D91" s="20"/>
      <c r="E91" s="20"/>
      <c r="F91" s="20"/>
      <c r="G91" s="20"/>
      <c r="H91" s="33" t="s">
        <v>113</v>
      </c>
      <c r="I91" s="33" t="s">
        <v>132</v>
      </c>
      <c r="J91" s="21"/>
      <c r="K91" s="20" t="str">
        <f t="shared" si="1"/>
        <v>Health services</v>
      </c>
      <c r="L91" s="20" t="s">
        <v>67</v>
      </c>
      <c r="M91" s="20" t="str">
        <f t="shared" si="2"/>
        <v>Health services</v>
      </c>
      <c r="N91" s="22" t="s">
        <v>119</v>
      </c>
      <c r="O91" s="22" t="s">
        <v>120</v>
      </c>
      <c r="P91" s="20" t="s">
        <v>121</v>
      </c>
      <c r="Q91" s="20" t="s">
        <v>121</v>
      </c>
      <c r="R91" s="30">
        <v>3000000.0</v>
      </c>
      <c r="S91" s="30">
        <v>3000000.0</v>
      </c>
      <c r="T91" s="30">
        <v>3000000.0</v>
      </c>
      <c r="U91" s="20" t="s">
        <v>71</v>
      </c>
      <c r="V91" s="20"/>
      <c r="W91" s="30">
        <v>3000000.0</v>
      </c>
      <c r="X91" s="20"/>
      <c r="Y91" s="30">
        <v>3000000.0</v>
      </c>
      <c r="Z91" s="24">
        <f t="shared" si="3"/>
        <v>1</v>
      </c>
      <c r="AA91" s="23">
        <f t="shared" si="5"/>
        <v>3000000</v>
      </c>
      <c r="AB91" s="20"/>
      <c r="AC91" s="25">
        <f t="shared" si="4"/>
        <v>0</v>
      </c>
      <c r="AD91" s="20" t="s">
        <v>72</v>
      </c>
      <c r="AE91" s="20"/>
      <c r="AF91" s="20"/>
      <c r="AG91" s="20"/>
      <c r="AH91" s="20"/>
      <c r="AI91" s="20"/>
      <c r="AJ91" s="20"/>
      <c r="AK91" s="20"/>
      <c r="AL91" s="20"/>
      <c r="AM91" s="20"/>
      <c r="AN91" s="26"/>
      <c r="AO91" s="26"/>
      <c r="AP91" s="26"/>
      <c r="AQ91" s="26"/>
      <c r="AR91" s="26"/>
      <c r="AS91" s="26"/>
      <c r="AT91" s="26"/>
    </row>
    <row r="92">
      <c r="A92" s="20">
        <v>90.0</v>
      </c>
      <c r="B92" s="29" t="s">
        <v>179</v>
      </c>
      <c r="C92" s="30"/>
      <c r="D92" s="20"/>
      <c r="E92" s="20"/>
      <c r="F92" s="20"/>
      <c r="G92" s="20"/>
      <c r="H92" s="33" t="s">
        <v>113</v>
      </c>
      <c r="I92" s="33" t="s">
        <v>180</v>
      </c>
      <c r="J92" s="21"/>
      <c r="K92" s="20" t="str">
        <f t="shared" si="1"/>
        <v>EDUCATION,INFORMATION AND ICT</v>
      </c>
      <c r="L92" s="20" t="s">
        <v>84</v>
      </c>
      <c r="M92" s="20" t="str">
        <f t="shared" si="2"/>
        <v>EDUCATION,INFORMATION AND ICT</v>
      </c>
      <c r="N92" s="22" t="s">
        <v>119</v>
      </c>
      <c r="O92" s="22" t="s">
        <v>120</v>
      </c>
      <c r="P92" s="20" t="s">
        <v>121</v>
      </c>
      <c r="Q92" s="20" t="s">
        <v>121</v>
      </c>
      <c r="R92" s="30">
        <v>2375000.0</v>
      </c>
      <c r="S92" s="30">
        <v>2375000.0</v>
      </c>
      <c r="T92" s="30">
        <v>2375000.0</v>
      </c>
      <c r="U92" s="20" t="s">
        <v>71</v>
      </c>
      <c r="V92" s="20"/>
      <c r="W92" s="30">
        <v>2375000.0</v>
      </c>
      <c r="X92" s="20"/>
      <c r="Y92" s="30">
        <v>2375000.0</v>
      </c>
      <c r="Z92" s="24">
        <f t="shared" si="3"/>
        <v>1</v>
      </c>
      <c r="AA92" s="23">
        <f t="shared" si="5"/>
        <v>2375000</v>
      </c>
      <c r="AB92" s="20"/>
      <c r="AC92" s="25">
        <f t="shared" si="4"/>
        <v>0</v>
      </c>
      <c r="AD92" s="20" t="s">
        <v>72</v>
      </c>
      <c r="AE92" s="20"/>
      <c r="AF92" s="20"/>
      <c r="AG92" s="20"/>
      <c r="AH92" s="20"/>
      <c r="AI92" s="20"/>
      <c r="AJ92" s="20"/>
      <c r="AK92" s="20"/>
      <c r="AL92" s="20"/>
      <c r="AM92" s="20"/>
      <c r="AN92" s="26"/>
      <c r="AO92" s="26"/>
      <c r="AP92" s="26"/>
      <c r="AQ92" s="26"/>
      <c r="AR92" s="26"/>
      <c r="AS92" s="26"/>
      <c r="AT92" s="26"/>
    </row>
    <row r="93">
      <c r="A93" s="20">
        <v>91.0</v>
      </c>
      <c r="B93" s="29" t="s">
        <v>181</v>
      </c>
      <c r="C93" s="30"/>
      <c r="D93" s="20"/>
      <c r="E93" s="20"/>
      <c r="F93" s="20"/>
      <c r="G93" s="20"/>
      <c r="H93" s="33" t="s">
        <v>81</v>
      </c>
      <c r="I93" s="33" t="s">
        <v>83</v>
      </c>
      <c r="J93" s="21"/>
      <c r="K93" s="20" t="str">
        <f t="shared" si="1"/>
        <v>WATER,ENVIRONMENT,CLIMATE CHANGE AND NATURAL RESOURCES</v>
      </c>
      <c r="L93" s="20" t="s">
        <v>75</v>
      </c>
      <c r="M93" s="20" t="str">
        <f t="shared" si="2"/>
        <v>WATER,ENVIRONMENT,CLIMATE CHANGE AND NATURAL RESOURCES</v>
      </c>
      <c r="N93" s="22" t="s">
        <v>119</v>
      </c>
      <c r="O93" s="22" t="s">
        <v>120</v>
      </c>
      <c r="P93" s="20" t="s">
        <v>121</v>
      </c>
      <c r="Q93" s="20" t="s">
        <v>121</v>
      </c>
      <c r="R93" s="30">
        <v>4275000.0</v>
      </c>
      <c r="S93" s="30">
        <v>4275000.0</v>
      </c>
      <c r="T93" s="30">
        <v>4275000.0</v>
      </c>
      <c r="U93" s="20" t="s">
        <v>71</v>
      </c>
      <c r="V93" s="20"/>
      <c r="W93" s="30">
        <v>4275000.0</v>
      </c>
      <c r="X93" s="20"/>
      <c r="Y93" s="30">
        <v>4275000.0</v>
      </c>
      <c r="Z93" s="24">
        <f t="shared" si="3"/>
        <v>1</v>
      </c>
      <c r="AA93" s="23">
        <f t="shared" si="5"/>
        <v>4275000</v>
      </c>
      <c r="AB93" s="20"/>
      <c r="AC93" s="25">
        <f t="shared" si="4"/>
        <v>0</v>
      </c>
      <c r="AD93" s="20" t="s">
        <v>72</v>
      </c>
      <c r="AE93" s="20"/>
      <c r="AF93" s="20"/>
      <c r="AG93" s="20"/>
      <c r="AH93" s="20"/>
      <c r="AI93" s="20"/>
      <c r="AJ93" s="20"/>
      <c r="AK93" s="20"/>
      <c r="AL93" s="20"/>
      <c r="AM93" s="20"/>
      <c r="AN93" s="26"/>
      <c r="AO93" s="26"/>
      <c r="AP93" s="26"/>
      <c r="AQ93" s="26"/>
      <c r="AR93" s="26"/>
      <c r="AS93" s="26"/>
      <c r="AT93" s="26"/>
    </row>
    <row r="94">
      <c r="A94" s="20">
        <v>92.0</v>
      </c>
      <c r="B94" s="29" t="s">
        <v>147</v>
      </c>
      <c r="C94" s="30"/>
      <c r="D94" s="20"/>
      <c r="E94" s="20"/>
      <c r="F94" s="20"/>
      <c r="G94" s="20"/>
      <c r="H94" s="33" t="s">
        <v>104</v>
      </c>
      <c r="I94" s="33" t="s">
        <v>182</v>
      </c>
      <c r="J94" s="21"/>
      <c r="K94" s="20" t="str">
        <f t="shared" si="1"/>
        <v>WATER,ENVIRONMENT,CLIMATE CHANGE AND NATURAL RESOURCES</v>
      </c>
      <c r="L94" s="20" t="s">
        <v>75</v>
      </c>
      <c r="M94" s="20" t="str">
        <f t="shared" si="2"/>
        <v>WATER,ENVIRONMENT,CLIMATE CHANGE AND NATURAL RESOURCES</v>
      </c>
      <c r="N94" s="22" t="s">
        <v>119</v>
      </c>
      <c r="O94" s="22" t="s">
        <v>120</v>
      </c>
      <c r="P94" s="20" t="s">
        <v>121</v>
      </c>
      <c r="Q94" s="20" t="s">
        <v>121</v>
      </c>
      <c r="R94" s="30">
        <v>4.2E7</v>
      </c>
      <c r="S94" s="30">
        <v>4.2E7</v>
      </c>
      <c r="T94" s="30">
        <v>4.2E7</v>
      </c>
      <c r="U94" s="20" t="s">
        <v>71</v>
      </c>
      <c r="V94" s="20"/>
      <c r="W94" s="30">
        <v>4.2E7</v>
      </c>
      <c r="X94" s="20"/>
      <c r="Y94" s="30">
        <v>4.2E7</v>
      </c>
      <c r="Z94" s="24">
        <f t="shared" si="3"/>
        <v>1</v>
      </c>
      <c r="AA94" s="23">
        <f t="shared" si="5"/>
        <v>42000000</v>
      </c>
      <c r="AB94" s="20"/>
      <c r="AC94" s="25">
        <f t="shared" si="4"/>
        <v>0</v>
      </c>
      <c r="AD94" s="20" t="s">
        <v>72</v>
      </c>
      <c r="AE94" s="20"/>
      <c r="AF94" s="20"/>
      <c r="AG94" s="20"/>
      <c r="AH94" s="20"/>
      <c r="AI94" s="20"/>
      <c r="AJ94" s="20"/>
      <c r="AK94" s="20"/>
      <c r="AL94" s="20"/>
      <c r="AM94" s="20"/>
      <c r="AN94" s="26"/>
      <c r="AO94" s="26"/>
      <c r="AP94" s="26"/>
      <c r="AQ94" s="26"/>
      <c r="AR94" s="26"/>
      <c r="AS94" s="26"/>
      <c r="AT94" s="26"/>
    </row>
    <row r="95">
      <c r="A95" s="20">
        <v>93.0</v>
      </c>
      <c r="B95" s="29" t="s">
        <v>183</v>
      </c>
      <c r="C95" s="30"/>
      <c r="D95" s="20"/>
      <c r="E95" s="20"/>
      <c r="F95" s="20"/>
      <c r="G95" s="20"/>
      <c r="H95" s="33" t="s">
        <v>113</v>
      </c>
      <c r="I95" s="33" t="s">
        <v>114</v>
      </c>
      <c r="J95" s="21"/>
      <c r="K95" s="20" t="str">
        <f t="shared" si="1"/>
        <v>ROADS,TRANSPORT AND PUBLIC WORKS</v>
      </c>
      <c r="L95" s="20" t="s">
        <v>107</v>
      </c>
      <c r="M95" s="20" t="str">
        <f t="shared" si="2"/>
        <v>ROADS,TRANSPORT AND PUBLIC WORKS</v>
      </c>
      <c r="N95" s="22" t="s">
        <v>119</v>
      </c>
      <c r="O95" s="22" t="s">
        <v>120</v>
      </c>
      <c r="P95" s="20" t="s">
        <v>121</v>
      </c>
      <c r="Q95" s="20" t="s">
        <v>121</v>
      </c>
      <c r="R95" s="30">
        <v>2371200.0</v>
      </c>
      <c r="S95" s="30">
        <v>2371200.0</v>
      </c>
      <c r="T95" s="30">
        <v>2371200.0</v>
      </c>
      <c r="U95" s="20" t="s">
        <v>71</v>
      </c>
      <c r="V95" s="20"/>
      <c r="W95" s="30">
        <v>2371200.0</v>
      </c>
      <c r="X95" s="20"/>
      <c r="Y95" s="30">
        <v>2371200.0</v>
      </c>
      <c r="Z95" s="24">
        <f t="shared" si="3"/>
        <v>1</v>
      </c>
      <c r="AA95" s="23">
        <f t="shared" si="5"/>
        <v>2371200</v>
      </c>
      <c r="AB95" s="20"/>
      <c r="AC95" s="25">
        <f t="shared" si="4"/>
        <v>0</v>
      </c>
      <c r="AD95" s="20" t="s">
        <v>72</v>
      </c>
      <c r="AE95" s="20"/>
      <c r="AF95" s="20"/>
      <c r="AG95" s="20"/>
      <c r="AH95" s="20"/>
      <c r="AI95" s="20"/>
      <c r="AJ95" s="20"/>
      <c r="AK95" s="20"/>
      <c r="AL95" s="20"/>
      <c r="AM95" s="20"/>
      <c r="AN95" s="26"/>
      <c r="AO95" s="26"/>
      <c r="AP95" s="26"/>
      <c r="AQ95" s="26"/>
      <c r="AR95" s="26"/>
      <c r="AS95" s="26"/>
      <c r="AT95" s="26"/>
    </row>
    <row r="96">
      <c r="A96" s="20">
        <v>94.0</v>
      </c>
      <c r="B96" s="29" t="s">
        <v>184</v>
      </c>
      <c r="C96" s="34"/>
      <c r="D96" s="20"/>
      <c r="E96" s="20"/>
      <c r="F96" s="20"/>
      <c r="G96" s="20"/>
      <c r="H96" s="33" t="s">
        <v>65</v>
      </c>
      <c r="I96" s="33" t="s">
        <v>66</v>
      </c>
      <c r="J96" s="21"/>
      <c r="K96" s="20" t="str">
        <f t="shared" si="1"/>
        <v>EDUCATION,INFORMATION AND ICT</v>
      </c>
      <c r="L96" s="20" t="s">
        <v>84</v>
      </c>
      <c r="M96" s="20" t="str">
        <f t="shared" si="2"/>
        <v>EDUCATION,INFORMATION AND ICT</v>
      </c>
      <c r="N96" s="22" t="s">
        <v>119</v>
      </c>
      <c r="O96" s="22" t="s">
        <v>120</v>
      </c>
      <c r="P96" s="20" t="s">
        <v>121</v>
      </c>
      <c r="Q96" s="20" t="s">
        <v>121</v>
      </c>
      <c r="R96" s="34">
        <v>2000000.0</v>
      </c>
      <c r="S96" s="34">
        <v>2000000.0</v>
      </c>
      <c r="T96" s="34">
        <v>2000000.0</v>
      </c>
      <c r="U96" s="20" t="s">
        <v>71</v>
      </c>
      <c r="V96" s="20"/>
      <c r="W96" s="34">
        <v>2000000.0</v>
      </c>
      <c r="X96" s="20"/>
      <c r="Y96" s="34">
        <v>2000000.0</v>
      </c>
      <c r="Z96" s="24">
        <f t="shared" si="3"/>
        <v>1</v>
      </c>
      <c r="AA96" s="23">
        <f t="shared" si="5"/>
        <v>2000000</v>
      </c>
      <c r="AB96" s="20"/>
      <c r="AC96" s="35">
        <f t="shared" si="4"/>
        <v>0</v>
      </c>
      <c r="AD96" s="20" t="s">
        <v>72</v>
      </c>
      <c r="AE96" s="20"/>
      <c r="AF96" s="20"/>
      <c r="AG96" s="20"/>
      <c r="AH96" s="20"/>
      <c r="AI96" s="20"/>
      <c r="AJ96" s="20"/>
      <c r="AK96" s="20"/>
      <c r="AL96" s="20"/>
      <c r="AM96" s="20"/>
      <c r="AN96" s="26"/>
      <c r="AO96" s="26"/>
      <c r="AP96" s="26"/>
      <c r="AQ96" s="26"/>
      <c r="AR96" s="26"/>
      <c r="AS96" s="26"/>
      <c r="AT96" s="26"/>
    </row>
    <row r="97">
      <c r="A97" s="20">
        <v>95.0</v>
      </c>
      <c r="B97" s="29" t="s">
        <v>185</v>
      </c>
      <c r="C97" s="34"/>
      <c r="D97" s="20"/>
      <c r="E97" s="20"/>
      <c r="F97" s="20"/>
      <c r="G97" s="20"/>
      <c r="H97" s="33" t="s">
        <v>65</v>
      </c>
      <c r="I97" s="33" t="s">
        <v>74</v>
      </c>
      <c r="J97" s="21"/>
      <c r="K97" s="20" t="str">
        <f t="shared" si="1"/>
        <v>EDUCATION,INFORMATION AND ICT</v>
      </c>
      <c r="L97" s="20" t="s">
        <v>84</v>
      </c>
      <c r="M97" s="20" t="str">
        <f t="shared" si="2"/>
        <v>EDUCATION,INFORMATION AND ICT</v>
      </c>
      <c r="N97" s="22" t="s">
        <v>119</v>
      </c>
      <c r="O97" s="22" t="s">
        <v>120</v>
      </c>
      <c r="P97" s="20" t="s">
        <v>121</v>
      </c>
      <c r="Q97" s="20" t="s">
        <v>121</v>
      </c>
      <c r="R97" s="34">
        <v>2000000.0</v>
      </c>
      <c r="S97" s="34">
        <v>2000000.0</v>
      </c>
      <c r="T97" s="34">
        <v>2000000.0</v>
      </c>
      <c r="U97" s="20" t="s">
        <v>71</v>
      </c>
      <c r="V97" s="20"/>
      <c r="W97" s="34">
        <v>2000000.0</v>
      </c>
      <c r="X97" s="20"/>
      <c r="Y97" s="34">
        <v>2000000.0</v>
      </c>
      <c r="Z97" s="24">
        <f t="shared" si="3"/>
        <v>1</v>
      </c>
      <c r="AA97" s="23">
        <f t="shared" si="5"/>
        <v>2000000</v>
      </c>
      <c r="AB97" s="20"/>
      <c r="AC97" s="35">
        <f t="shared" si="4"/>
        <v>0</v>
      </c>
      <c r="AD97" s="20" t="s">
        <v>72</v>
      </c>
      <c r="AE97" s="20"/>
      <c r="AF97" s="20"/>
      <c r="AG97" s="20"/>
      <c r="AH97" s="20"/>
      <c r="AI97" s="20"/>
      <c r="AJ97" s="20"/>
      <c r="AK97" s="20"/>
      <c r="AL97" s="20"/>
      <c r="AM97" s="20"/>
      <c r="AN97" s="26"/>
      <c r="AO97" s="26"/>
      <c r="AP97" s="26"/>
      <c r="AQ97" s="26"/>
      <c r="AR97" s="26"/>
      <c r="AS97" s="26"/>
      <c r="AT97" s="26"/>
    </row>
    <row r="98">
      <c r="A98" s="20">
        <v>96.0</v>
      </c>
      <c r="B98" s="29" t="s">
        <v>186</v>
      </c>
      <c r="C98" s="34"/>
      <c r="D98" s="20"/>
      <c r="E98" s="20"/>
      <c r="F98" s="20"/>
      <c r="G98" s="20"/>
      <c r="H98" s="33" t="s">
        <v>65</v>
      </c>
      <c r="I98" s="33" t="s">
        <v>66</v>
      </c>
      <c r="J98" s="21"/>
      <c r="K98" s="20" t="str">
        <f t="shared" si="1"/>
        <v>EDUCATION,INFORMATION AND ICT</v>
      </c>
      <c r="L98" s="20" t="s">
        <v>84</v>
      </c>
      <c r="M98" s="20" t="str">
        <f t="shared" si="2"/>
        <v>EDUCATION,INFORMATION AND ICT</v>
      </c>
      <c r="N98" s="22" t="s">
        <v>119</v>
      </c>
      <c r="O98" s="22" t="s">
        <v>120</v>
      </c>
      <c r="P98" s="20" t="s">
        <v>121</v>
      </c>
      <c r="Q98" s="20" t="s">
        <v>121</v>
      </c>
      <c r="R98" s="34">
        <v>2000000.0</v>
      </c>
      <c r="S98" s="34">
        <v>2000000.0</v>
      </c>
      <c r="T98" s="34">
        <v>2000000.0</v>
      </c>
      <c r="U98" s="20" t="s">
        <v>71</v>
      </c>
      <c r="V98" s="20"/>
      <c r="W98" s="34">
        <v>2000000.0</v>
      </c>
      <c r="X98" s="20"/>
      <c r="Y98" s="34">
        <v>2000000.0</v>
      </c>
      <c r="Z98" s="24">
        <f t="shared" si="3"/>
        <v>1</v>
      </c>
      <c r="AA98" s="23">
        <f t="shared" si="5"/>
        <v>2000000</v>
      </c>
      <c r="AB98" s="20"/>
      <c r="AC98" s="35">
        <f t="shared" si="4"/>
        <v>0</v>
      </c>
      <c r="AD98" s="20" t="s">
        <v>72</v>
      </c>
      <c r="AE98" s="20"/>
      <c r="AF98" s="20"/>
      <c r="AG98" s="20"/>
      <c r="AH98" s="20"/>
      <c r="AI98" s="20"/>
      <c r="AJ98" s="20"/>
      <c r="AK98" s="20"/>
      <c r="AL98" s="20"/>
      <c r="AM98" s="20"/>
      <c r="AN98" s="26"/>
      <c r="AO98" s="26"/>
      <c r="AP98" s="26"/>
      <c r="AQ98" s="26"/>
      <c r="AR98" s="26"/>
      <c r="AS98" s="26"/>
      <c r="AT98" s="26"/>
    </row>
    <row r="99">
      <c r="A99" s="20">
        <v>97.0</v>
      </c>
      <c r="B99" s="29" t="s">
        <v>187</v>
      </c>
      <c r="C99" s="34"/>
      <c r="D99" s="20"/>
      <c r="E99" s="20"/>
      <c r="F99" s="20"/>
      <c r="G99" s="20"/>
      <c r="H99" s="33" t="s">
        <v>65</v>
      </c>
      <c r="I99" s="33" t="s">
        <v>66</v>
      </c>
      <c r="J99" s="21"/>
      <c r="K99" s="20" t="str">
        <f t="shared" si="1"/>
        <v>ROADS,TRANSPORT AND PUBLIC WORKS</v>
      </c>
      <c r="L99" s="20" t="s">
        <v>107</v>
      </c>
      <c r="M99" s="20" t="str">
        <f t="shared" si="2"/>
        <v>ROADS,TRANSPORT AND PUBLIC WORKS</v>
      </c>
      <c r="N99" s="22" t="s">
        <v>119</v>
      </c>
      <c r="O99" s="22" t="s">
        <v>120</v>
      </c>
      <c r="P99" s="20" t="s">
        <v>121</v>
      </c>
      <c r="Q99" s="20" t="s">
        <v>121</v>
      </c>
      <c r="R99" s="34">
        <v>4500000.0</v>
      </c>
      <c r="S99" s="34">
        <v>4500000.0</v>
      </c>
      <c r="T99" s="34">
        <v>4500000.0</v>
      </c>
      <c r="U99" s="20" t="s">
        <v>71</v>
      </c>
      <c r="V99" s="20"/>
      <c r="W99" s="34">
        <v>4500000.0</v>
      </c>
      <c r="X99" s="20"/>
      <c r="Y99" s="34">
        <v>4500000.0</v>
      </c>
      <c r="Z99" s="24">
        <f t="shared" si="3"/>
        <v>1</v>
      </c>
      <c r="AA99" s="23">
        <f t="shared" si="5"/>
        <v>4500000</v>
      </c>
      <c r="AB99" s="20"/>
      <c r="AC99" s="35">
        <f t="shared" si="4"/>
        <v>0</v>
      </c>
      <c r="AD99" s="20" t="s">
        <v>72</v>
      </c>
      <c r="AE99" s="20"/>
      <c r="AF99" s="20"/>
      <c r="AG99" s="20"/>
      <c r="AH99" s="20"/>
      <c r="AI99" s="20"/>
      <c r="AJ99" s="20"/>
      <c r="AK99" s="20"/>
      <c r="AL99" s="20"/>
      <c r="AM99" s="20"/>
      <c r="AN99" s="26"/>
      <c r="AO99" s="26"/>
      <c r="AP99" s="26"/>
      <c r="AQ99" s="26"/>
      <c r="AR99" s="26"/>
      <c r="AS99" s="26"/>
      <c r="AT99" s="26"/>
    </row>
    <row r="100">
      <c r="A100" s="20">
        <v>98.0</v>
      </c>
      <c r="B100" s="29" t="s">
        <v>188</v>
      </c>
      <c r="C100" s="34"/>
      <c r="D100" s="20"/>
      <c r="E100" s="20"/>
      <c r="F100" s="20"/>
      <c r="G100" s="20"/>
      <c r="H100" s="33" t="s">
        <v>65</v>
      </c>
      <c r="I100" s="33" t="s">
        <v>66</v>
      </c>
      <c r="J100" s="21"/>
      <c r="K100" s="20" t="str">
        <f t="shared" si="1"/>
        <v>Health services</v>
      </c>
      <c r="L100" s="20" t="s">
        <v>67</v>
      </c>
      <c r="M100" s="20" t="str">
        <f t="shared" si="2"/>
        <v>Health services</v>
      </c>
      <c r="N100" s="22" t="s">
        <v>119</v>
      </c>
      <c r="O100" s="22" t="s">
        <v>120</v>
      </c>
      <c r="P100" s="20" t="s">
        <v>121</v>
      </c>
      <c r="Q100" s="20" t="s">
        <v>121</v>
      </c>
      <c r="R100" s="34">
        <v>2850000.0</v>
      </c>
      <c r="S100" s="34">
        <v>2850000.0</v>
      </c>
      <c r="T100" s="34">
        <v>2850000.0</v>
      </c>
      <c r="U100" s="20" t="s">
        <v>71</v>
      </c>
      <c r="V100" s="20"/>
      <c r="W100" s="34">
        <v>2850000.0</v>
      </c>
      <c r="X100" s="20"/>
      <c r="Y100" s="34">
        <v>2850000.0</v>
      </c>
      <c r="Z100" s="24">
        <f t="shared" si="3"/>
        <v>1</v>
      </c>
      <c r="AA100" s="23">
        <f t="shared" si="5"/>
        <v>2850000</v>
      </c>
      <c r="AB100" s="20"/>
      <c r="AC100" s="35">
        <f t="shared" si="4"/>
        <v>0</v>
      </c>
      <c r="AD100" s="20" t="s">
        <v>72</v>
      </c>
      <c r="AE100" s="20"/>
      <c r="AF100" s="20"/>
      <c r="AG100" s="20"/>
      <c r="AH100" s="20"/>
      <c r="AI100" s="20"/>
      <c r="AJ100" s="20"/>
      <c r="AK100" s="20"/>
      <c r="AL100" s="20"/>
      <c r="AM100" s="20"/>
      <c r="AN100" s="26"/>
      <c r="AO100" s="26"/>
      <c r="AP100" s="26"/>
      <c r="AQ100" s="26"/>
      <c r="AR100" s="26"/>
      <c r="AS100" s="26"/>
      <c r="AT100" s="26"/>
    </row>
    <row r="101">
      <c r="A101" s="20">
        <v>99.0</v>
      </c>
      <c r="B101" s="29" t="s">
        <v>189</v>
      </c>
      <c r="C101" s="34"/>
      <c r="D101" s="20"/>
      <c r="E101" s="20"/>
      <c r="F101" s="20"/>
      <c r="G101" s="20"/>
      <c r="H101" s="33" t="s">
        <v>65</v>
      </c>
      <c r="I101" s="33" t="s">
        <v>66</v>
      </c>
      <c r="J101" s="21"/>
      <c r="K101" s="20" t="str">
        <f t="shared" si="1"/>
        <v>ROADS,TRANSPORT AND PUBLIC WORKS</v>
      </c>
      <c r="L101" s="20" t="s">
        <v>107</v>
      </c>
      <c r="M101" s="20" t="str">
        <f t="shared" si="2"/>
        <v>ROADS,TRANSPORT AND PUBLIC WORKS</v>
      </c>
      <c r="N101" s="22" t="s">
        <v>119</v>
      </c>
      <c r="O101" s="22" t="s">
        <v>120</v>
      </c>
      <c r="P101" s="20" t="s">
        <v>121</v>
      </c>
      <c r="Q101" s="20" t="s">
        <v>121</v>
      </c>
      <c r="R101" s="34">
        <v>6612000.0</v>
      </c>
      <c r="S101" s="34">
        <v>6612000.0</v>
      </c>
      <c r="T101" s="34">
        <v>6612000.0</v>
      </c>
      <c r="U101" s="20" t="s">
        <v>71</v>
      </c>
      <c r="V101" s="20"/>
      <c r="W101" s="34">
        <v>6612000.0</v>
      </c>
      <c r="X101" s="20"/>
      <c r="Y101" s="34">
        <v>6612000.0</v>
      </c>
      <c r="Z101" s="24">
        <f t="shared" si="3"/>
        <v>1</v>
      </c>
      <c r="AA101" s="23">
        <f t="shared" si="5"/>
        <v>6612000</v>
      </c>
      <c r="AB101" s="20"/>
      <c r="AC101" s="35">
        <f t="shared" si="4"/>
        <v>0</v>
      </c>
      <c r="AD101" s="20" t="s">
        <v>72</v>
      </c>
      <c r="AE101" s="20"/>
      <c r="AF101" s="20"/>
      <c r="AG101" s="20"/>
      <c r="AH101" s="20"/>
      <c r="AI101" s="20"/>
      <c r="AJ101" s="20"/>
      <c r="AK101" s="20"/>
      <c r="AL101" s="20"/>
      <c r="AM101" s="20"/>
      <c r="AN101" s="26"/>
      <c r="AO101" s="26"/>
      <c r="AP101" s="26"/>
      <c r="AQ101" s="26"/>
      <c r="AR101" s="26"/>
      <c r="AS101" s="26"/>
      <c r="AT101" s="26"/>
    </row>
    <row r="102">
      <c r="A102" s="20">
        <v>100.0</v>
      </c>
      <c r="B102" s="29" t="s">
        <v>190</v>
      </c>
      <c r="C102" s="34"/>
      <c r="D102" s="20"/>
      <c r="E102" s="20"/>
      <c r="F102" s="20"/>
      <c r="G102" s="20"/>
      <c r="H102" s="33" t="s">
        <v>104</v>
      </c>
      <c r="I102" s="33" t="s">
        <v>191</v>
      </c>
      <c r="J102" s="21"/>
      <c r="K102" s="20" t="str">
        <f t="shared" si="1"/>
        <v>WATER,ENVIRONMENT,CLIMATE CHANGE AND NATURAL RESOURCES</v>
      </c>
      <c r="L102" s="20" t="s">
        <v>75</v>
      </c>
      <c r="M102" s="20" t="str">
        <f t="shared" si="2"/>
        <v>WATER,ENVIRONMENT,CLIMATE CHANGE AND NATURAL RESOURCES</v>
      </c>
      <c r="N102" s="22" t="s">
        <v>119</v>
      </c>
      <c r="O102" s="22" t="s">
        <v>120</v>
      </c>
      <c r="P102" s="20" t="s">
        <v>121</v>
      </c>
      <c r="Q102" s="20" t="s">
        <v>121</v>
      </c>
      <c r="R102" s="34">
        <v>3.078E7</v>
      </c>
      <c r="S102" s="34">
        <v>3.078E7</v>
      </c>
      <c r="T102" s="34">
        <v>3.078E7</v>
      </c>
      <c r="U102" s="20" t="s">
        <v>71</v>
      </c>
      <c r="V102" s="20"/>
      <c r="W102" s="34">
        <v>3.078E7</v>
      </c>
      <c r="X102" s="20"/>
      <c r="Y102" s="34">
        <v>3.078E7</v>
      </c>
      <c r="Z102" s="24">
        <f t="shared" si="3"/>
        <v>1</v>
      </c>
      <c r="AA102" s="23">
        <f t="shared" si="5"/>
        <v>30780000</v>
      </c>
      <c r="AB102" s="20"/>
      <c r="AC102" s="35">
        <f t="shared" si="4"/>
        <v>0</v>
      </c>
      <c r="AD102" s="20" t="s">
        <v>72</v>
      </c>
      <c r="AE102" s="20"/>
      <c r="AF102" s="20"/>
      <c r="AG102" s="20"/>
      <c r="AH102" s="20"/>
      <c r="AI102" s="20"/>
      <c r="AJ102" s="20"/>
      <c r="AK102" s="20"/>
      <c r="AL102" s="20"/>
      <c r="AM102" s="20"/>
      <c r="AN102" s="26"/>
      <c r="AO102" s="26"/>
      <c r="AP102" s="26"/>
      <c r="AQ102" s="26"/>
      <c r="AR102" s="26"/>
      <c r="AS102" s="26"/>
      <c r="AT102" s="26"/>
    </row>
    <row r="103">
      <c r="A103" s="20">
        <v>101.0</v>
      </c>
      <c r="B103" s="29" t="s">
        <v>192</v>
      </c>
      <c r="C103" s="34"/>
      <c r="D103" s="20"/>
      <c r="E103" s="20"/>
      <c r="F103" s="20"/>
      <c r="G103" s="20"/>
      <c r="H103" s="33" t="s">
        <v>81</v>
      </c>
      <c r="I103" s="33" t="s">
        <v>83</v>
      </c>
      <c r="J103" s="21"/>
      <c r="K103" s="20" t="str">
        <f t="shared" si="1"/>
        <v>EDUCATION,INFORMATION AND ICT</v>
      </c>
      <c r="L103" s="20" t="s">
        <v>84</v>
      </c>
      <c r="M103" s="20" t="str">
        <f t="shared" si="2"/>
        <v>EDUCATION,INFORMATION AND ICT</v>
      </c>
      <c r="N103" s="22" t="s">
        <v>119</v>
      </c>
      <c r="O103" s="22" t="s">
        <v>120</v>
      </c>
      <c r="P103" s="20" t="s">
        <v>121</v>
      </c>
      <c r="Q103" s="20" t="s">
        <v>121</v>
      </c>
      <c r="R103" s="34">
        <v>1520000.0</v>
      </c>
      <c r="S103" s="34">
        <v>1520000.0</v>
      </c>
      <c r="T103" s="34">
        <v>1520000.0</v>
      </c>
      <c r="U103" s="20" t="s">
        <v>71</v>
      </c>
      <c r="V103" s="20"/>
      <c r="W103" s="34">
        <v>1520000.0</v>
      </c>
      <c r="X103" s="20"/>
      <c r="Y103" s="34">
        <v>1520000.0</v>
      </c>
      <c r="Z103" s="24">
        <f t="shared" si="3"/>
        <v>1</v>
      </c>
      <c r="AA103" s="23">
        <f t="shared" si="5"/>
        <v>1520000</v>
      </c>
      <c r="AB103" s="20"/>
      <c r="AC103" s="35">
        <f t="shared" si="4"/>
        <v>0</v>
      </c>
      <c r="AD103" s="20" t="s">
        <v>72</v>
      </c>
      <c r="AE103" s="20"/>
      <c r="AF103" s="20"/>
      <c r="AG103" s="20"/>
      <c r="AH103" s="20"/>
      <c r="AI103" s="20"/>
      <c r="AJ103" s="20"/>
      <c r="AK103" s="20"/>
      <c r="AL103" s="20"/>
      <c r="AM103" s="20"/>
      <c r="AN103" s="26"/>
      <c r="AO103" s="26"/>
      <c r="AP103" s="26"/>
      <c r="AQ103" s="26"/>
      <c r="AR103" s="26"/>
      <c r="AS103" s="26"/>
      <c r="AT103" s="26"/>
    </row>
    <row r="104">
      <c r="A104" s="20">
        <v>102.0</v>
      </c>
      <c r="B104" s="29" t="s">
        <v>187</v>
      </c>
      <c r="C104" s="34"/>
      <c r="D104" s="20"/>
      <c r="E104" s="20"/>
      <c r="F104" s="20"/>
      <c r="G104" s="20"/>
      <c r="H104" s="33" t="s">
        <v>65</v>
      </c>
      <c r="I104" s="33" t="s">
        <v>66</v>
      </c>
      <c r="J104" s="21"/>
      <c r="K104" s="20" t="str">
        <f t="shared" si="1"/>
        <v>ROADS,TRANSPORT AND PUBLIC WORKS</v>
      </c>
      <c r="L104" s="20" t="s">
        <v>107</v>
      </c>
      <c r="M104" s="20" t="str">
        <f t="shared" si="2"/>
        <v>ROADS,TRANSPORT AND PUBLIC WORKS</v>
      </c>
      <c r="N104" s="22" t="s">
        <v>119</v>
      </c>
      <c r="O104" s="22" t="s">
        <v>120</v>
      </c>
      <c r="P104" s="20" t="s">
        <v>121</v>
      </c>
      <c r="Q104" s="20" t="s">
        <v>121</v>
      </c>
      <c r="R104" s="34">
        <v>855000.0</v>
      </c>
      <c r="S104" s="34">
        <v>855000.0</v>
      </c>
      <c r="T104" s="34">
        <v>855000.0</v>
      </c>
      <c r="U104" s="20" t="s">
        <v>71</v>
      </c>
      <c r="V104" s="20"/>
      <c r="W104" s="34">
        <v>855000.0</v>
      </c>
      <c r="X104" s="20"/>
      <c r="Y104" s="34">
        <v>855000.0</v>
      </c>
      <c r="Z104" s="24">
        <f t="shared" si="3"/>
        <v>1</v>
      </c>
      <c r="AA104" s="23">
        <f t="shared" si="5"/>
        <v>855000</v>
      </c>
      <c r="AB104" s="20"/>
      <c r="AC104" s="35">
        <f t="shared" si="4"/>
        <v>0</v>
      </c>
      <c r="AD104" s="20" t="s">
        <v>72</v>
      </c>
      <c r="AE104" s="20"/>
      <c r="AF104" s="20"/>
      <c r="AG104" s="20"/>
      <c r="AH104" s="20"/>
      <c r="AI104" s="20"/>
      <c r="AJ104" s="20"/>
      <c r="AK104" s="20"/>
      <c r="AL104" s="20"/>
      <c r="AM104" s="20"/>
      <c r="AN104" s="26"/>
      <c r="AO104" s="26"/>
      <c r="AP104" s="26"/>
      <c r="AQ104" s="26"/>
      <c r="AR104" s="26"/>
      <c r="AS104" s="26"/>
      <c r="AT104" s="26"/>
    </row>
    <row r="105">
      <c r="A105" s="20">
        <v>103.0</v>
      </c>
      <c r="B105" s="29" t="s">
        <v>193</v>
      </c>
      <c r="C105" s="30"/>
      <c r="D105" s="20"/>
      <c r="E105" s="20"/>
      <c r="F105" s="20"/>
      <c r="G105" s="20"/>
      <c r="H105" s="33" t="s">
        <v>77</v>
      </c>
      <c r="I105" s="33" t="s">
        <v>77</v>
      </c>
      <c r="J105" s="21"/>
      <c r="K105" s="20" t="str">
        <f t="shared" si="1"/>
        <v>ROADS,TRANSPORT AND PUBLIC WORKS</v>
      </c>
      <c r="L105" s="20" t="s">
        <v>107</v>
      </c>
      <c r="M105" s="20" t="str">
        <f t="shared" si="2"/>
        <v>ROADS,TRANSPORT AND PUBLIC WORKS</v>
      </c>
      <c r="N105" s="22" t="s">
        <v>119</v>
      </c>
      <c r="O105" s="22" t="s">
        <v>120</v>
      </c>
      <c r="P105" s="20" t="s">
        <v>121</v>
      </c>
      <c r="Q105" s="20" t="s">
        <v>121</v>
      </c>
      <c r="R105" s="30">
        <v>3476956.0</v>
      </c>
      <c r="S105" s="30">
        <v>3476956.0</v>
      </c>
      <c r="T105" s="30">
        <v>3476956.0</v>
      </c>
      <c r="U105" s="20" t="s">
        <v>71</v>
      </c>
      <c r="V105" s="20"/>
      <c r="W105" s="30">
        <v>3476956.0</v>
      </c>
      <c r="X105" s="20"/>
      <c r="Y105" s="30">
        <v>3476956.0</v>
      </c>
      <c r="Z105" s="24">
        <f t="shared" si="3"/>
        <v>1</v>
      </c>
      <c r="AA105" s="23">
        <f t="shared" si="5"/>
        <v>3476956</v>
      </c>
      <c r="AB105" s="20"/>
      <c r="AC105" s="25">
        <f t="shared" si="4"/>
        <v>0</v>
      </c>
      <c r="AD105" s="20" t="s">
        <v>72</v>
      </c>
      <c r="AE105" s="20"/>
      <c r="AF105" s="20"/>
      <c r="AG105" s="20"/>
      <c r="AH105" s="20"/>
      <c r="AI105" s="20"/>
      <c r="AJ105" s="20"/>
      <c r="AK105" s="20"/>
      <c r="AL105" s="20"/>
      <c r="AM105" s="20"/>
      <c r="AN105" s="26"/>
      <c r="AO105" s="26"/>
      <c r="AP105" s="26"/>
      <c r="AQ105" s="26"/>
      <c r="AR105" s="26"/>
      <c r="AS105" s="26"/>
      <c r="AT105" s="26"/>
    </row>
    <row r="106">
      <c r="A106" s="20">
        <v>104.0</v>
      </c>
      <c r="B106" s="29" t="s">
        <v>147</v>
      </c>
      <c r="C106" s="30"/>
      <c r="D106" s="20"/>
      <c r="E106" s="20"/>
      <c r="F106" s="20"/>
      <c r="G106" s="20"/>
      <c r="H106" s="33" t="s">
        <v>113</v>
      </c>
      <c r="I106" s="33" t="s">
        <v>114</v>
      </c>
      <c r="J106" s="21"/>
      <c r="K106" s="20" t="str">
        <f t="shared" si="1"/>
        <v>WATER,ENVIRONMENT,CLIMATE CHANGE AND NATURAL RESOURCES</v>
      </c>
      <c r="L106" s="20" t="s">
        <v>75</v>
      </c>
      <c r="M106" s="20" t="str">
        <f t="shared" si="2"/>
        <v>WATER,ENVIRONMENT,CLIMATE CHANGE AND NATURAL RESOURCES</v>
      </c>
      <c r="N106" s="22" t="s">
        <v>119</v>
      </c>
      <c r="O106" s="22" t="s">
        <v>120</v>
      </c>
      <c r="P106" s="20" t="s">
        <v>121</v>
      </c>
      <c r="Q106" s="20" t="s">
        <v>121</v>
      </c>
      <c r="R106" s="30">
        <v>2.9900637E7</v>
      </c>
      <c r="S106" s="30">
        <v>2.9900637E7</v>
      </c>
      <c r="T106" s="30">
        <v>2.9900637E7</v>
      </c>
      <c r="U106" s="20" t="s">
        <v>71</v>
      </c>
      <c r="V106" s="20"/>
      <c r="W106" s="30">
        <v>2.9900637E7</v>
      </c>
      <c r="X106" s="20"/>
      <c r="Y106" s="30">
        <v>2.9900637E7</v>
      </c>
      <c r="Z106" s="24">
        <f t="shared" si="3"/>
        <v>1</v>
      </c>
      <c r="AA106" s="23">
        <f t="shared" si="5"/>
        <v>29900637</v>
      </c>
      <c r="AB106" s="20"/>
      <c r="AC106" s="25">
        <f t="shared" si="4"/>
        <v>0</v>
      </c>
      <c r="AD106" s="20" t="s">
        <v>72</v>
      </c>
      <c r="AE106" s="20"/>
      <c r="AF106" s="20"/>
      <c r="AG106" s="20"/>
      <c r="AH106" s="20"/>
      <c r="AI106" s="20"/>
      <c r="AJ106" s="20"/>
      <c r="AK106" s="20"/>
      <c r="AL106" s="20"/>
      <c r="AM106" s="20"/>
      <c r="AN106" s="26"/>
      <c r="AO106" s="26"/>
      <c r="AP106" s="26"/>
      <c r="AQ106" s="26"/>
      <c r="AR106" s="26"/>
      <c r="AS106" s="26"/>
      <c r="AT106" s="26"/>
    </row>
    <row r="107">
      <c r="A107" s="20">
        <v>105.0</v>
      </c>
      <c r="B107" s="29" t="s">
        <v>194</v>
      </c>
      <c r="C107" s="30"/>
      <c r="D107" s="20"/>
      <c r="E107" s="20"/>
      <c r="F107" s="20"/>
      <c r="G107" s="20"/>
      <c r="H107" s="33" t="s">
        <v>65</v>
      </c>
      <c r="I107" s="33" t="s">
        <v>66</v>
      </c>
      <c r="J107" s="21"/>
      <c r="K107" s="20" t="str">
        <f t="shared" si="1"/>
        <v>EDUCATION,INFORMATION AND ICT</v>
      </c>
      <c r="L107" s="20" t="s">
        <v>84</v>
      </c>
      <c r="M107" s="20" t="str">
        <f t="shared" si="2"/>
        <v>EDUCATION,INFORMATION AND ICT</v>
      </c>
      <c r="N107" s="22" t="s">
        <v>119</v>
      </c>
      <c r="O107" s="22" t="s">
        <v>120</v>
      </c>
      <c r="P107" s="20" t="s">
        <v>121</v>
      </c>
      <c r="Q107" s="20" t="s">
        <v>121</v>
      </c>
      <c r="R107" s="30">
        <v>2102437.0</v>
      </c>
      <c r="S107" s="30">
        <v>2102437.0</v>
      </c>
      <c r="T107" s="30">
        <v>2102437.0</v>
      </c>
      <c r="U107" s="20" t="s">
        <v>71</v>
      </c>
      <c r="V107" s="20"/>
      <c r="W107" s="30">
        <v>2102437.0</v>
      </c>
      <c r="X107" s="20"/>
      <c r="Y107" s="30">
        <v>2102437.0</v>
      </c>
      <c r="Z107" s="24">
        <f t="shared" si="3"/>
        <v>1</v>
      </c>
      <c r="AA107" s="23">
        <f t="shared" si="5"/>
        <v>2102437</v>
      </c>
      <c r="AB107" s="20"/>
      <c r="AC107" s="25">
        <f t="shared" si="4"/>
        <v>0</v>
      </c>
      <c r="AD107" s="20" t="s">
        <v>72</v>
      </c>
      <c r="AE107" s="20"/>
      <c r="AF107" s="20"/>
      <c r="AG107" s="20"/>
      <c r="AH107" s="20"/>
      <c r="AI107" s="20"/>
      <c r="AJ107" s="20"/>
      <c r="AK107" s="20"/>
      <c r="AL107" s="20"/>
      <c r="AM107" s="20"/>
      <c r="AN107" s="26"/>
      <c r="AO107" s="26"/>
      <c r="AP107" s="26"/>
      <c r="AQ107" s="26"/>
      <c r="AR107" s="26"/>
      <c r="AS107" s="26"/>
      <c r="AT107" s="26"/>
    </row>
    <row r="108">
      <c r="A108" s="20">
        <v>106.0</v>
      </c>
      <c r="B108" s="29" t="s">
        <v>195</v>
      </c>
      <c r="C108" s="30"/>
      <c r="D108" s="20"/>
      <c r="E108" s="20"/>
      <c r="F108" s="20"/>
      <c r="G108" s="20"/>
      <c r="H108" s="33" t="s">
        <v>65</v>
      </c>
      <c r="I108" s="33" t="s">
        <v>66</v>
      </c>
      <c r="J108" s="21"/>
      <c r="K108" s="20" t="str">
        <f t="shared" si="1"/>
        <v>ROADS,TRANSPORT AND PUBLIC WORKS</v>
      </c>
      <c r="L108" s="20" t="s">
        <v>107</v>
      </c>
      <c r="M108" s="20" t="str">
        <f t="shared" si="2"/>
        <v>ROADS,TRANSPORT AND PUBLIC WORKS</v>
      </c>
      <c r="N108" s="22" t="s">
        <v>119</v>
      </c>
      <c r="O108" s="22" t="s">
        <v>120</v>
      </c>
      <c r="P108" s="20" t="s">
        <v>121</v>
      </c>
      <c r="Q108" s="20" t="s">
        <v>121</v>
      </c>
      <c r="R108" s="30">
        <v>3484638.0</v>
      </c>
      <c r="S108" s="30">
        <v>3484638.0</v>
      </c>
      <c r="T108" s="30">
        <v>3484638.0</v>
      </c>
      <c r="U108" s="20" t="s">
        <v>71</v>
      </c>
      <c r="V108" s="20"/>
      <c r="W108" s="30">
        <v>3484638.0</v>
      </c>
      <c r="X108" s="20"/>
      <c r="Y108" s="30">
        <v>3484638.0</v>
      </c>
      <c r="Z108" s="24">
        <f t="shared" si="3"/>
        <v>1</v>
      </c>
      <c r="AA108" s="23">
        <f t="shared" si="5"/>
        <v>3484638</v>
      </c>
      <c r="AB108" s="20"/>
      <c r="AC108" s="25">
        <f t="shared" si="4"/>
        <v>0</v>
      </c>
      <c r="AD108" s="20" t="s">
        <v>72</v>
      </c>
      <c r="AE108" s="20"/>
      <c r="AF108" s="20"/>
      <c r="AG108" s="20"/>
      <c r="AH108" s="20"/>
      <c r="AI108" s="20"/>
      <c r="AJ108" s="20"/>
      <c r="AK108" s="20"/>
      <c r="AL108" s="20"/>
      <c r="AM108" s="20"/>
      <c r="AN108" s="26"/>
      <c r="AO108" s="26"/>
      <c r="AP108" s="26"/>
      <c r="AQ108" s="26"/>
      <c r="AR108" s="26"/>
      <c r="AS108" s="26"/>
      <c r="AT108" s="26"/>
    </row>
    <row r="109">
      <c r="A109" s="20">
        <v>107.0</v>
      </c>
      <c r="B109" s="29" t="s">
        <v>193</v>
      </c>
      <c r="C109" s="30"/>
      <c r="D109" s="20"/>
      <c r="E109" s="20"/>
      <c r="F109" s="20"/>
      <c r="G109" s="20"/>
      <c r="H109" s="33" t="s">
        <v>77</v>
      </c>
      <c r="I109" s="33" t="s">
        <v>77</v>
      </c>
      <c r="J109" s="21"/>
      <c r="K109" s="20" t="str">
        <f t="shared" si="1"/>
        <v>ROADS,TRANSPORT AND PUBLIC WORKS</v>
      </c>
      <c r="L109" s="20" t="s">
        <v>107</v>
      </c>
      <c r="M109" s="20" t="str">
        <f t="shared" si="2"/>
        <v>ROADS,TRANSPORT AND PUBLIC WORKS</v>
      </c>
      <c r="N109" s="22" t="s">
        <v>119</v>
      </c>
      <c r="O109" s="22" t="s">
        <v>120</v>
      </c>
      <c r="P109" s="20" t="s">
        <v>121</v>
      </c>
      <c r="Q109" s="20" t="s">
        <v>121</v>
      </c>
      <c r="R109" s="30">
        <v>1.235E7</v>
      </c>
      <c r="S109" s="30">
        <v>1.235E7</v>
      </c>
      <c r="T109" s="30">
        <v>1.235E7</v>
      </c>
      <c r="U109" s="20" t="s">
        <v>71</v>
      </c>
      <c r="V109" s="20"/>
      <c r="W109" s="30">
        <v>1.235E7</v>
      </c>
      <c r="X109" s="20"/>
      <c r="Y109" s="30">
        <v>1.235E7</v>
      </c>
      <c r="Z109" s="24">
        <f t="shared" si="3"/>
        <v>1</v>
      </c>
      <c r="AA109" s="23">
        <f t="shared" si="5"/>
        <v>12350000</v>
      </c>
      <c r="AB109" s="20"/>
      <c r="AC109" s="25">
        <f t="shared" si="4"/>
        <v>0</v>
      </c>
      <c r="AD109" s="20" t="s">
        <v>72</v>
      </c>
      <c r="AE109" s="20"/>
      <c r="AF109" s="20"/>
      <c r="AG109" s="20"/>
      <c r="AH109" s="20"/>
      <c r="AI109" s="20"/>
      <c r="AJ109" s="20"/>
      <c r="AK109" s="20"/>
      <c r="AL109" s="20"/>
      <c r="AM109" s="20"/>
      <c r="AN109" s="26"/>
      <c r="AO109" s="26"/>
      <c r="AP109" s="26"/>
      <c r="AQ109" s="26"/>
      <c r="AR109" s="26"/>
      <c r="AS109" s="26"/>
      <c r="AT109" s="26"/>
    </row>
    <row r="110">
      <c r="A110" s="20">
        <v>108.0</v>
      </c>
      <c r="B110" s="36" t="s">
        <v>196</v>
      </c>
      <c r="C110" s="30"/>
      <c r="D110" s="20"/>
      <c r="E110" s="20"/>
      <c r="F110" s="20"/>
      <c r="G110" s="20"/>
      <c r="H110" s="33" t="s">
        <v>77</v>
      </c>
      <c r="I110" s="33" t="s">
        <v>77</v>
      </c>
      <c r="J110" s="21"/>
      <c r="K110" s="20" t="str">
        <f t="shared" si="1"/>
        <v>WATER,ENVIRONMENT,CLIMATE CHANGE AND NATURAL RESOURCES</v>
      </c>
      <c r="L110" s="20" t="s">
        <v>75</v>
      </c>
      <c r="M110" s="20" t="str">
        <f t="shared" si="2"/>
        <v>WATER,ENVIRONMENT,CLIMATE CHANGE AND NATURAL RESOURCES</v>
      </c>
      <c r="N110" s="22" t="s">
        <v>119</v>
      </c>
      <c r="O110" s="22" t="s">
        <v>120</v>
      </c>
      <c r="P110" s="20" t="s">
        <v>121</v>
      </c>
      <c r="Q110" s="20" t="s">
        <v>121</v>
      </c>
      <c r="R110" s="30">
        <v>1.235E7</v>
      </c>
      <c r="S110" s="30">
        <v>1.235E7</v>
      </c>
      <c r="T110" s="30">
        <v>1.235E7</v>
      </c>
      <c r="U110" s="20" t="s">
        <v>71</v>
      </c>
      <c r="V110" s="20"/>
      <c r="W110" s="30">
        <v>1.235E7</v>
      </c>
      <c r="X110" s="20"/>
      <c r="Y110" s="30">
        <v>1.235E7</v>
      </c>
      <c r="Z110" s="24">
        <f t="shared" si="3"/>
        <v>1</v>
      </c>
      <c r="AA110" s="23">
        <f t="shared" si="5"/>
        <v>12350000</v>
      </c>
      <c r="AB110" s="20"/>
      <c r="AC110" s="25">
        <f t="shared" si="4"/>
        <v>0</v>
      </c>
      <c r="AD110" s="20" t="s">
        <v>72</v>
      </c>
      <c r="AE110" s="20"/>
      <c r="AF110" s="20"/>
      <c r="AG110" s="20"/>
      <c r="AH110" s="20"/>
      <c r="AI110" s="20"/>
      <c r="AJ110" s="20"/>
      <c r="AK110" s="20"/>
      <c r="AL110" s="20"/>
      <c r="AM110" s="20"/>
      <c r="AN110" s="26"/>
      <c r="AO110" s="26"/>
      <c r="AP110" s="26"/>
      <c r="AQ110" s="26"/>
      <c r="AR110" s="26"/>
      <c r="AS110" s="26"/>
      <c r="AT110" s="26"/>
    </row>
    <row r="111">
      <c r="A111" s="20">
        <v>109.0</v>
      </c>
      <c r="B111" s="29" t="s">
        <v>197</v>
      </c>
      <c r="C111" s="30"/>
      <c r="D111" s="20"/>
      <c r="E111" s="20"/>
      <c r="F111" s="20"/>
      <c r="G111" s="20"/>
      <c r="H111" s="33" t="s">
        <v>65</v>
      </c>
      <c r="I111" s="33" t="s">
        <v>66</v>
      </c>
      <c r="J111" s="21"/>
      <c r="K111" s="20" t="str">
        <f t="shared" si="1"/>
        <v>ROADS,TRANSPORT AND PUBLIC WORKS</v>
      </c>
      <c r="L111" s="20" t="s">
        <v>107</v>
      </c>
      <c r="M111" s="20" t="str">
        <f t="shared" si="2"/>
        <v>ROADS,TRANSPORT AND PUBLIC WORKS</v>
      </c>
      <c r="N111" s="22" t="s">
        <v>119</v>
      </c>
      <c r="O111" s="22" t="s">
        <v>120</v>
      </c>
      <c r="P111" s="20" t="s">
        <v>121</v>
      </c>
      <c r="Q111" s="20" t="s">
        <v>121</v>
      </c>
      <c r="R111" s="30">
        <v>3473447.0</v>
      </c>
      <c r="S111" s="30">
        <v>3473447.0</v>
      </c>
      <c r="T111" s="30">
        <v>3473447.0</v>
      </c>
      <c r="U111" s="20" t="s">
        <v>71</v>
      </c>
      <c r="V111" s="20"/>
      <c r="W111" s="30">
        <v>3473447.0</v>
      </c>
      <c r="X111" s="20"/>
      <c r="Y111" s="30">
        <v>3473447.0</v>
      </c>
      <c r="Z111" s="24">
        <f t="shared" si="3"/>
        <v>1</v>
      </c>
      <c r="AA111" s="23">
        <f t="shared" si="5"/>
        <v>3473447</v>
      </c>
      <c r="AB111" s="20"/>
      <c r="AC111" s="25">
        <f t="shared" si="4"/>
        <v>0</v>
      </c>
      <c r="AD111" s="20" t="s">
        <v>72</v>
      </c>
      <c r="AE111" s="20"/>
      <c r="AF111" s="20"/>
      <c r="AG111" s="20"/>
      <c r="AH111" s="20"/>
      <c r="AI111" s="20"/>
      <c r="AJ111" s="20"/>
      <c r="AK111" s="20"/>
      <c r="AL111" s="20"/>
      <c r="AM111" s="20"/>
      <c r="AN111" s="26"/>
      <c r="AO111" s="26"/>
      <c r="AP111" s="26"/>
      <c r="AQ111" s="26"/>
      <c r="AR111" s="26"/>
      <c r="AS111" s="26"/>
      <c r="AT111" s="26"/>
    </row>
    <row r="112">
      <c r="A112" s="20">
        <v>110.0</v>
      </c>
      <c r="B112" s="29" t="s">
        <v>198</v>
      </c>
      <c r="C112" s="30"/>
      <c r="D112" s="20"/>
      <c r="E112" s="20"/>
      <c r="F112" s="20"/>
      <c r="G112" s="20"/>
      <c r="H112" s="33" t="s">
        <v>104</v>
      </c>
      <c r="I112" s="33" t="s">
        <v>199</v>
      </c>
      <c r="J112" s="21"/>
      <c r="K112" s="20" t="str">
        <f t="shared" si="1"/>
        <v>EDUCATION,INFORMATION AND ICT</v>
      </c>
      <c r="L112" s="20" t="s">
        <v>84</v>
      </c>
      <c r="M112" s="20" t="str">
        <f t="shared" si="2"/>
        <v>EDUCATION,INFORMATION AND ICT</v>
      </c>
      <c r="N112" s="22" t="s">
        <v>119</v>
      </c>
      <c r="O112" s="22" t="s">
        <v>120</v>
      </c>
      <c r="P112" s="20" t="s">
        <v>121</v>
      </c>
      <c r="Q112" s="20" t="s">
        <v>121</v>
      </c>
      <c r="R112" s="30">
        <v>3669500.0</v>
      </c>
      <c r="S112" s="30">
        <v>3669500.0</v>
      </c>
      <c r="T112" s="30">
        <v>3669500.0</v>
      </c>
      <c r="U112" s="20" t="s">
        <v>71</v>
      </c>
      <c r="V112" s="20"/>
      <c r="W112" s="30">
        <v>3669500.0</v>
      </c>
      <c r="X112" s="20"/>
      <c r="Y112" s="30">
        <v>3669500.0</v>
      </c>
      <c r="Z112" s="24">
        <f t="shared" si="3"/>
        <v>1</v>
      </c>
      <c r="AA112" s="23">
        <f t="shared" si="5"/>
        <v>3669500</v>
      </c>
      <c r="AB112" s="20"/>
      <c r="AC112" s="25">
        <f t="shared" si="4"/>
        <v>0</v>
      </c>
      <c r="AD112" s="20" t="s">
        <v>72</v>
      </c>
      <c r="AE112" s="20"/>
      <c r="AF112" s="20"/>
      <c r="AG112" s="20"/>
      <c r="AH112" s="20"/>
      <c r="AI112" s="20"/>
      <c r="AJ112" s="20"/>
      <c r="AK112" s="20"/>
      <c r="AL112" s="20"/>
      <c r="AM112" s="20"/>
      <c r="AN112" s="26"/>
      <c r="AO112" s="26"/>
      <c r="AP112" s="26"/>
      <c r="AQ112" s="26"/>
      <c r="AR112" s="26"/>
      <c r="AS112" s="26"/>
      <c r="AT112" s="26"/>
    </row>
    <row r="113">
      <c r="A113" s="20">
        <v>111.0</v>
      </c>
      <c r="B113" s="29" t="s">
        <v>200</v>
      </c>
      <c r="C113" s="30"/>
      <c r="D113" s="20"/>
      <c r="E113" s="20"/>
      <c r="F113" s="20"/>
      <c r="G113" s="20"/>
      <c r="H113" s="33" t="s">
        <v>65</v>
      </c>
      <c r="I113" s="33" t="s">
        <v>66</v>
      </c>
      <c r="J113" s="21"/>
      <c r="K113" s="20" t="str">
        <f t="shared" si="1"/>
        <v>ROADS,TRANSPORT AND PUBLIC WORKS</v>
      </c>
      <c r="L113" s="20" t="s">
        <v>107</v>
      </c>
      <c r="M113" s="20" t="str">
        <f t="shared" si="2"/>
        <v>ROADS,TRANSPORT AND PUBLIC WORKS</v>
      </c>
      <c r="N113" s="22" t="s">
        <v>119</v>
      </c>
      <c r="O113" s="22" t="s">
        <v>120</v>
      </c>
      <c r="P113" s="20" t="s">
        <v>121</v>
      </c>
      <c r="Q113" s="20" t="s">
        <v>121</v>
      </c>
      <c r="R113" s="30">
        <v>4171540.0</v>
      </c>
      <c r="S113" s="30">
        <v>4171540.0</v>
      </c>
      <c r="T113" s="30">
        <v>4171540.0</v>
      </c>
      <c r="U113" s="20" t="s">
        <v>71</v>
      </c>
      <c r="V113" s="20"/>
      <c r="W113" s="30">
        <v>4171540.0</v>
      </c>
      <c r="X113" s="20"/>
      <c r="Y113" s="30">
        <v>4171540.0</v>
      </c>
      <c r="Z113" s="24">
        <f t="shared" si="3"/>
        <v>1</v>
      </c>
      <c r="AA113" s="23">
        <f t="shared" si="5"/>
        <v>4171540</v>
      </c>
      <c r="AB113" s="20"/>
      <c r="AC113" s="25">
        <f t="shared" si="4"/>
        <v>0</v>
      </c>
      <c r="AD113" s="20" t="s">
        <v>72</v>
      </c>
      <c r="AE113" s="20"/>
      <c r="AF113" s="20"/>
      <c r="AG113" s="20"/>
      <c r="AH113" s="20"/>
      <c r="AI113" s="20"/>
      <c r="AJ113" s="20"/>
      <c r="AK113" s="20"/>
      <c r="AL113" s="20"/>
      <c r="AM113" s="20"/>
      <c r="AN113" s="26"/>
      <c r="AO113" s="26"/>
      <c r="AP113" s="26"/>
      <c r="AQ113" s="26"/>
      <c r="AR113" s="26"/>
      <c r="AS113" s="26"/>
      <c r="AT113" s="26"/>
    </row>
    <row r="114">
      <c r="A114" s="20">
        <v>112.0</v>
      </c>
      <c r="B114" s="29" t="s">
        <v>201</v>
      </c>
      <c r="C114" s="30"/>
      <c r="D114" s="20"/>
      <c r="E114" s="20"/>
      <c r="F114" s="20"/>
      <c r="G114" s="20"/>
      <c r="H114" s="33" t="s">
        <v>65</v>
      </c>
      <c r="I114" s="33" t="s">
        <v>90</v>
      </c>
      <c r="J114" s="21"/>
      <c r="K114" s="20" t="str">
        <f t="shared" si="1"/>
        <v>Health services</v>
      </c>
      <c r="L114" s="20" t="s">
        <v>67</v>
      </c>
      <c r="M114" s="20" t="str">
        <f t="shared" si="2"/>
        <v>Health services</v>
      </c>
      <c r="N114" s="22" t="s">
        <v>119</v>
      </c>
      <c r="O114" s="22" t="s">
        <v>120</v>
      </c>
      <c r="P114" s="20" t="s">
        <v>121</v>
      </c>
      <c r="Q114" s="20" t="s">
        <v>121</v>
      </c>
      <c r="R114" s="30">
        <v>6000000.0</v>
      </c>
      <c r="S114" s="30">
        <v>6000000.0</v>
      </c>
      <c r="T114" s="30">
        <v>6000000.0</v>
      </c>
      <c r="U114" s="20" t="s">
        <v>71</v>
      </c>
      <c r="V114" s="20"/>
      <c r="W114" s="30">
        <v>6000000.0</v>
      </c>
      <c r="X114" s="20"/>
      <c r="Y114" s="30">
        <v>6000000.0</v>
      </c>
      <c r="Z114" s="24">
        <f t="shared" si="3"/>
        <v>1</v>
      </c>
      <c r="AA114" s="23">
        <f t="shared" si="5"/>
        <v>6000000</v>
      </c>
      <c r="AB114" s="20"/>
      <c r="AC114" s="25">
        <f t="shared" si="4"/>
        <v>0</v>
      </c>
      <c r="AD114" s="20" t="s">
        <v>72</v>
      </c>
      <c r="AE114" s="20"/>
      <c r="AF114" s="20"/>
      <c r="AG114" s="20"/>
      <c r="AH114" s="20"/>
      <c r="AI114" s="20"/>
      <c r="AJ114" s="20"/>
      <c r="AK114" s="20"/>
      <c r="AL114" s="20"/>
      <c r="AM114" s="20"/>
      <c r="AN114" s="26"/>
      <c r="AO114" s="26"/>
      <c r="AP114" s="26"/>
      <c r="AQ114" s="26"/>
      <c r="AR114" s="26"/>
      <c r="AS114" s="26"/>
      <c r="AT114" s="26"/>
    </row>
    <row r="115">
      <c r="A115" s="20">
        <v>113.0</v>
      </c>
      <c r="B115" s="29" t="s">
        <v>202</v>
      </c>
      <c r="C115" s="30"/>
      <c r="D115" s="20"/>
      <c r="E115" s="20"/>
      <c r="F115" s="20"/>
      <c r="G115" s="20"/>
      <c r="H115" s="33" t="s">
        <v>65</v>
      </c>
      <c r="I115" s="33" t="s">
        <v>66</v>
      </c>
      <c r="J115" s="21"/>
      <c r="K115" s="20" t="str">
        <f t="shared" si="1"/>
        <v>ROADS,TRANSPORT AND PUBLIC WORKS</v>
      </c>
      <c r="L115" s="20" t="s">
        <v>107</v>
      </c>
      <c r="M115" s="20" t="str">
        <f t="shared" si="2"/>
        <v>ROADS,TRANSPORT AND PUBLIC WORKS</v>
      </c>
      <c r="N115" s="22" t="s">
        <v>119</v>
      </c>
      <c r="O115" s="22" t="s">
        <v>120</v>
      </c>
      <c r="P115" s="20" t="s">
        <v>121</v>
      </c>
      <c r="Q115" s="20" t="s">
        <v>121</v>
      </c>
      <c r="R115" s="30">
        <v>4190404.0</v>
      </c>
      <c r="S115" s="30">
        <v>4190404.0</v>
      </c>
      <c r="T115" s="30">
        <v>4190404.0</v>
      </c>
      <c r="U115" s="20" t="s">
        <v>71</v>
      </c>
      <c r="V115" s="20"/>
      <c r="W115" s="30">
        <v>4190404.0</v>
      </c>
      <c r="X115" s="20"/>
      <c r="Y115" s="30">
        <v>4190404.0</v>
      </c>
      <c r="Z115" s="24">
        <f t="shared" si="3"/>
        <v>1</v>
      </c>
      <c r="AA115" s="23">
        <f t="shared" si="5"/>
        <v>4190404</v>
      </c>
      <c r="AB115" s="20"/>
      <c r="AC115" s="25">
        <f t="shared" si="4"/>
        <v>0</v>
      </c>
      <c r="AD115" s="20" t="s">
        <v>72</v>
      </c>
      <c r="AE115" s="20"/>
      <c r="AF115" s="20"/>
      <c r="AG115" s="20"/>
      <c r="AH115" s="20"/>
      <c r="AI115" s="20"/>
      <c r="AJ115" s="20"/>
      <c r="AK115" s="20"/>
      <c r="AL115" s="20"/>
      <c r="AM115" s="20"/>
      <c r="AN115" s="26"/>
      <c r="AO115" s="26"/>
      <c r="AP115" s="26"/>
      <c r="AQ115" s="26"/>
      <c r="AR115" s="26"/>
      <c r="AS115" s="26"/>
      <c r="AT115" s="26"/>
    </row>
    <row r="116">
      <c r="A116" s="20">
        <v>114.0</v>
      </c>
      <c r="B116" s="29" t="s">
        <v>203</v>
      </c>
      <c r="C116" s="30"/>
      <c r="D116" s="20"/>
      <c r="E116" s="20"/>
      <c r="F116" s="20"/>
      <c r="G116" s="20"/>
      <c r="H116" s="33" t="s">
        <v>65</v>
      </c>
      <c r="I116" s="33" t="s">
        <v>66</v>
      </c>
      <c r="J116" s="21"/>
      <c r="K116" s="20" t="str">
        <f t="shared" si="1"/>
        <v>Health services</v>
      </c>
      <c r="L116" s="20" t="s">
        <v>67</v>
      </c>
      <c r="M116" s="20" t="str">
        <f t="shared" si="2"/>
        <v>Health services</v>
      </c>
      <c r="N116" s="22" t="s">
        <v>119</v>
      </c>
      <c r="O116" s="22" t="s">
        <v>120</v>
      </c>
      <c r="P116" s="20" t="s">
        <v>121</v>
      </c>
      <c r="Q116" s="20" t="s">
        <v>121</v>
      </c>
      <c r="R116" s="30">
        <v>5527134.2</v>
      </c>
      <c r="S116" s="30">
        <v>5527134.2</v>
      </c>
      <c r="T116" s="30">
        <v>5527134.2</v>
      </c>
      <c r="U116" s="20" t="s">
        <v>71</v>
      </c>
      <c r="V116" s="20"/>
      <c r="W116" s="30">
        <v>5527134.2</v>
      </c>
      <c r="X116" s="20"/>
      <c r="Y116" s="30">
        <v>5527134.2</v>
      </c>
      <c r="Z116" s="24">
        <f t="shared" si="3"/>
        <v>1</v>
      </c>
      <c r="AA116" s="23">
        <f t="shared" si="5"/>
        <v>5527134.2</v>
      </c>
      <c r="AB116" s="20"/>
      <c r="AC116" s="25">
        <f t="shared" si="4"/>
        <v>0</v>
      </c>
      <c r="AD116" s="20" t="s">
        <v>72</v>
      </c>
      <c r="AE116" s="20"/>
      <c r="AF116" s="20"/>
      <c r="AG116" s="20"/>
      <c r="AH116" s="20"/>
      <c r="AI116" s="20"/>
      <c r="AJ116" s="20"/>
      <c r="AK116" s="20"/>
      <c r="AL116" s="20"/>
      <c r="AM116" s="20"/>
      <c r="AN116" s="26"/>
      <c r="AO116" s="26"/>
      <c r="AP116" s="26"/>
      <c r="AQ116" s="26"/>
      <c r="AR116" s="26"/>
      <c r="AS116" s="26"/>
      <c r="AT116" s="26"/>
    </row>
    <row r="117">
      <c r="A117" s="20">
        <v>115.0</v>
      </c>
      <c r="B117" s="31" t="s">
        <v>204</v>
      </c>
      <c r="C117" s="32"/>
      <c r="D117" s="20"/>
      <c r="E117" s="20"/>
      <c r="F117" s="20"/>
      <c r="G117" s="20"/>
      <c r="H117" s="33" t="s">
        <v>65</v>
      </c>
      <c r="I117" s="33" t="s">
        <v>66</v>
      </c>
      <c r="J117" s="21"/>
      <c r="K117" s="20" t="str">
        <f t="shared" si="1"/>
        <v>ROADS,TRANSPORT AND PUBLIC WORKS</v>
      </c>
      <c r="L117" s="20" t="s">
        <v>107</v>
      </c>
      <c r="M117" s="20" t="str">
        <f t="shared" si="2"/>
        <v>ROADS,TRANSPORT AND PUBLIC WORKS</v>
      </c>
      <c r="N117" s="22" t="s">
        <v>119</v>
      </c>
      <c r="O117" s="22" t="s">
        <v>120</v>
      </c>
      <c r="P117" s="20" t="s">
        <v>121</v>
      </c>
      <c r="Q117" s="20" t="s">
        <v>121</v>
      </c>
      <c r="R117" s="32">
        <v>7001103.45</v>
      </c>
      <c r="S117" s="32">
        <v>7001103.45</v>
      </c>
      <c r="T117" s="32">
        <v>7001103.45</v>
      </c>
      <c r="U117" s="20" t="s">
        <v>71</v>
      </c>
      <c r="V117" s="20"/>
      <c r="W117" s="32">
        <v>7001103.45</v>
      </c>
      <c r="X117" s="20"/>
      <c r="Y117" s="32">
        <v>7001103.45</v>
      </c>
      <c r="Z117" s="24">
        <f t="shared" si="3"/>
        <v>1</v>
      </c>
      <c r="AA117" s="23">
        <f t="shared" si="5"/>
        <v>7001103.45</v>
      </c>
      <c r="AB117" s="20"/>
      <c r="AC117" s="25">
        <f t="shared" si="4"/>
        <v>0</v>
      </c>
      <c r="AD117" s="20" t="s">
        <v>72</v>
      </c>
      <c r="AE117" s="20"/>
      <c r="AF117" s="20"/>
      <c r="AG117" s="20"/>
      <c r="AH117" s="20"/>
      <c r="AI117" s="20"/>
      <c r="AJ117" s="20"/>
      <c r="AK117" s="20"/>
      <c r="AL117" s="20"/>
      <c r="AM117" s="20"/>
      <c r="AN117" s="26"/>
      <c r="AO117" s="26"/>
      <c r="AP117" s="26"/>
      <c r="AQ117" s="26"/>
      <c r="AR117" s="26"/>
      <c r="AS117" s="26"/>
      <c r="AT117" s="26"/>
    </row>
    <row r="118">
      <c r="A118" s="20">
        <v>116.0</v>
      </c>
      <c r="B118" s="29" t="s">
        <v>205</v>
      </c>
      <c r="C118" s="30"/>
      <c r="D118" s="20"/>
      <c r="E118" s="20"/>
      <c r="F118" s="20"/>
      <c r="G118" s="20"/>
      <c r="H118" s="33" t="s">
        <v>77</v>
      </c>
      <c r="I118" s="33" t="s">
        <v>77</v>
      </c>
      <c r="J118" s="21"/>
      <c r="K118" s="20" t="str">
        <f t="shared" si="1"/>
        <v>ROADS,TRANSPORT AND PUBLIC WORKS</v>
      </c>
      <c r="L118" s="20" t="s">
        <v>107</v>
      </c>
      <c r="M118" s="20" t="str">
        <f t="shared" si="2"/>
        <v>ROADS,TRANSPORT AND PUBLIC WORKS</v>
      </c>
      <c r="N118" s="22" t="s">
        <v>119</v>
      </c>
      <c r="O118" s="22" t="s">
        <v>120</v>
      </c>
      <c r="P118" s="20" t="s">
        <v>121</v>
      </c>
      <c r="Q118" s="20" t="s">
        <v>121</v>
      </c>
      <c r="R118" s="30">
        <v>3040000.0</v>
      </c>
      <c r="S118" s="30">
        <v>3040000.0</v>
      </c>
      <c r="T118" s="30">
        <v>3040000.0</v>
      </c>
      <c r="U118" s="20" t="s">
        <v>71</v>
      </c>
      <c r="V118" s="20"/>
      <c r="W118" s="30">
        <v>3040000.0</v>
      </c>
      <c r="X118" s="20"/>
      <c r="Y118" s="30">
        <v>3040000.0</v>
      </c>
      <c r="Z118" s="24">
        <f t="shared" si="3"/>
        <v>1</v>
      </c>
      <c r="AA118" s="23">
        <f t="shared" si="5"/>
        <v>3040000</v>
      </c>
      <c r="AB118" s="20"/>
      <c r="AC118" s="25">
        <f t="shared" si="4"/>
        <v>0</v>
      </c>
      <c r="AD118" s="20" t="s">
        <v>72</v>
      </c>
      <c r="AE118" s="20"/>
      <c r="AF118" s="20"/>
      <c r="AG118" s="20"/>
      <c r="AH118" s="20"/>
      <c r="AI118" s="20"/>
      <c r="AJ118" s="20"/>
      <c r="AK118" s="20"/>
      <c r="AL118" s="20"/>
      <c r="AM118" s="20"/>
      <c r="AN118" s="26"/>
      <c r="AO118" s="26"/>
      <c r="AP118" s="26"/>
      <c r="AQ118" s="26"/>
      <c r="AR118" s="26"/>
      <c r="AS118" s="26"/>
      <c r="AT118" s="26"/>
    </row>
    <row r="119">
      <c r="A119" s="20">
        <v>117.0</v>
      </c>
      <c r="B119" s="29" t="s">
        <v>206</v>
      </c>
      <c r="C119" s="30"/>
      <c r="D119" s="20"/>
      <c r="E119" s="20"/>
      <c r="F119" s="20"/>
      <c r="G119" s="20"/>
      <c r="H119" s="33" t="s">
        <v>160</v>
      </c>
      <c r="I119" s="33" t="s">
        <v>207</v>
      </c>
      <c r="J119" s="21"/>
      <c r="K119" s="20" t="str">
        <f t="shared" si="1"/>
        <v>ROADS,TRANSPORT AND PUBLIC WORKS</v>
      </c>
      <c r="L119" s="20" t="s">
        <v>107</v>
      </c>
      <c r="M119" s="20" t="str">
        <f t="shared" si="2"/>
        <v>ROADS,TRANSPORT AND PUBLIC WORKS</v>
      </c>
      <c r="N119" s="22" t="s">
        <v>119</v>
      </c>
      <c r="O119" s="22" t="s">
        <v>120</v>
      </c>
      <c r="P119" s="20" t="s">
        <v>121</v>
      </c>
      <c r="Q119" s="20" t="s">
        <v>121</v>
      </c>
      <c r="R119" s="30">
        <v>4074976.0</v>
      </c>
      <c r="S119" s="30">
        <v>4074976.0</v>
      </c>
      <c r="T119" s="30">
        <v>4074976.0</v>
      </c>
      <c r="U119" s="20" t="s">
        <v>71</v>
      </c>
      <c r="V119" s="20"/>
      <c r="W119" s="30">
        <v>4074976.0</v>
      </c>
      <c r="X119" s="20"/>
      <c r="Y119" s="30">
        <v>4074976.0</v>
      </c>
      <c r="Z119" s="24">
        <f t="shared" si="3"/>
        <v>1</v>
      </c>
      <c r="AA119" s="23">
        <f t="shared" si="5"/>
        <v>4074976</v>
      </c>
      <c r="AB119" s="20"/>
      <c r="AC119" s="25">
        <f t="shared" si="4"/>
        <v>0</v>
      </c>
      <c r="AD119" s="20" t="s">
        <v>72</v>
      </c>
      <c r="AE119" s="20"/>
      <c r="AF119" s="20"/>
      <c r="AG119" s="20"/>
      <c r="AH119" s="20"/>
      <c r="AI119" s="20"/>
      <c r="AJ119" s="20"/>
      <c r="AK119" s="20"/>
      <c r="AL119" s="20"/>
      <c r="AM119" s="20"/>
      <c r="AN119" s="26"/>
      <c r="AO119" s="26"/>
      <c r="AP119" s="26"/>
      <c r="AQ119" s="26"/>
      <c r="AR119" s="26"/>
      <c r="AS119" s="26"/>
      <c r="AT119" s="26"/>
    </row>
    <row r="120">
      <c r="A120" s="20">
        <v>118.0</v>
      </c>
      <c r="B120" s="29" t="s">
        <v>208</v>
      </c>
      <c r="C120" s="30"/>
      <c r="D120" s="20"/>
      <c r="E120" s="20"/>
      <c r="F120" s="20"/>
      <c r="G120" s="20"/>
      <c r="H120" s="33" t="s">
        <v>65</v>
      </c>
      <c r="I120" s="33" t="s">
        <v>66</v>
      </c>
      <c r="J120" s="21"/>
      <c r="K120" s="20" t="str">
        <f t="shared" si="1"/>
        <v>ROADS,TRANSPORT AND PUBLIC WORKS</v>
      </c>
      <c r="L120" s="20" t="s">
        <v>107</v>
      </c>
      <c r="M120" s="20" t="str">
        <f t="shared" si="2"/>
        <v>ROADS,TRANSPORT AND PUBLIC WORKS</v>
      </c>
      <c r="N120" s="22" t="s">
        <v>119</v>
      </c>
      <c r="O120" s="22" t="s">
        <v>120</v>
      </c>
      <c r="P120" s="20" t="s">
        <v>121</v>
      </c>
      <c r="Q120" s="20" t="s">
        <v>121</v>
      </c>
      <c r="R120" s="30">
        <v>7600000.0</v>
      </c>
      <c r="S120" s="30">
        <v>7600000.0</v>
      </c>
      <c r="T120" s="30">
        <v>7600000.0</v>
      </c>
      <c r="U120" s="20" t="s">
        <v>71</v>
      </c>
      <c r="V120" s="20"/>
      <c r="W120" s="30">
        <v>7600000.0</v>
      </c>
      <c r="X120" s="20"/>
      <c r="Y120" s="30">
        <v>7600000.0</v>
      </c>
      <c r="Z120" s="24">
        <f t="shared" si="3"/>
        <v>1</v>
      </c>
      <c r="AA120" s="23">
        <f t="shared" si="5"/>
        <v>7600000</v>
      </c>
      <c r="AB120" s="20"/>
      <c r="AC120" s="25">
        <f t="shared" si="4"/>
        <v>0</v>
      </c>
      <c r="AD120" s="20" t="s">
        <v>72</v>
      </c>
      <c r="AE120" s="20"/>
      <c r="AF120" s="20"/>
      <c r="AG120" s="20"/>
      <c r="AH120" s="20"/>
      <c r="AI120" s="20"/>
      <c r="AJ120" s="20"/>
      <c r="AK120" s="20"/>
      <c r="AL120" s="20"/>
      <c r="AM120" s="20"/>
      <c r="AN120" s="26"/>
      <c r="AO120" s="26"/>
      <c r="AP120" s="26"/>
      <c r="AQ120" s="26"/>
      <c r="AR120" s="26"/>
      <c r="AS120" s="26"/>
      <c r="AT120" s="26"/>
    </row>
    <row r="121">
      <c r="A121" s="20">
        <v>119.0</v>
      </c>
      <c r="B121" s="29" t="s">
        <v>209</v>
      </c>
      <c r="C121" s="30"/>
      <c r="D121" s="20"/>
      <c r="E121" s="20"/>
      <c r="F121" s="20"/>
      <c r="G121" s="20"/>
      <c r="H121" s="33" t="s">
        <v>65</v>
      </c>
      <c r="I121" s="33" t="s">
        <v>66</v>
      </c>
      <c r="J121" s="21"/>
      <c r="K121" s="20" t="str">
        <f t="shared" si="1"/>
        <v>LANDS,PHYSICAL PLANNING AND URBAN DEVELOPMENT</v>
      </c>
      <c r="L121" s="20" t="s">
        <v>98</v>
      </c>
      <c r="M121" s="20" t="str">
        <f t="shared" si="2"/>
        <v>LANDS,PHYSICAL PLANNING AND URBAN DEVELOPMENT</v>
      </c>
      <c r="N121" s="22" t="s">
        <v>119</v>
      </c>
      <c r="O121" s="22" t="s">
        <v>120</v>
      </c>
      <c r="P121" s="20" t="s">
        <v>121</v>
      </c>
      <c r="Q121" s="20" t="s">
        <v>121</v>
      </c>
      <c r="R121" s="30">
        <v>9010000.0</v>
      </c>
      <c r="S121" s="30">
        <v>9010000.0</v>
      </c>
      <c r="T121" s="30">
        <v>9010000.0</v>
      </c>
      <c r="U121" s="20" t="s">
        <v>71</v>
      </c>
      <c r="V121" s="20"/>
      <c r="W121" s="30">
        <v>9010000.0</v>
      </c>
      <c r="X121" s="20"/>
      <c r="Y121" s="30">
        <v>9010000.0</v>
      </c>
      <c r="Z121" s="24">
        <f t="shared" si="3"/>
        <v>1</v>
      </c>
      <c r="AA121" s="23">
        <f t="shared" si="5"/>
        <v>9010000</v>
      </c>
      <c r="AB121" s="20"/>
      <c r="AC121" s="25">
        <f t="shared" si="4"/>
        <v>0</v>
      </c>
      <c r="AD121" s="20" t="s">
        <v>72</v>
      </c>
      <c r="AE121" s="20"/>
      <c r="AF121" s="20"/>
      <c r="AG121" s="20"/>
      <c r="AH121" s="20"/>
      <c r="AI121" s="20"/>
      <c r="AJ121" s="20"/>
      <c r="AK121" s="20"/>
      <c r="AL121" s="20"/>
      <c r="AM121" s="20"/>
      <c r="AN121" s="26"/>
      <c r="AO121" s="26"/>
      <c r="AP121" s="26"/>
      <c r="AQ121" s="26"/>
      <c r="AR121" s="26"/>
      <c r="AS121" s="26"/>
      <c r="AT121" s="26"/>
    </row>
    <row r="122">
      <c r="A122" s="20">
        <v>120.0</v>
      </c>
      <c r="B122" s="29" t="s">
        <v>201</v>
      </c>
      <c r="C122" s="30"/>
      <c r="D122" s="20"/>
      <c r="E122" s="20"/>
      <c r="F122" s="20"/>
      <c r="G122" s="20"/>
      <c r="H122" s="33" t="s">
        <v>65</v>
      </c>
      <c r="I122" s="33" t="s">
        <v>90</v>
      </c>
      <c r="J122" s="21"/>
      <c r="K122" s="20" t="str">
        <f t="shared" si="1"/>
        <v>Health services</v>
      </c>
      <c r="L122" s="20" t="s">
        <v>67</v>
      </c>
      <c r="M122" s="20" t="str">
        <f t="shared" si="2"/>
        <v>Health services</v>
      </c>
      <c r="N122" s="22" t="s">
        <v>119</v>
      </c>
      <c r="O122" s="22" t="s">
        <v>120</v>
      </c>
      <c r="P122" s="20" t="s">
        <v>121</v>
      </c>
      <c r="Q122" s="20" t="s">
        <v>121</v>
      </c>
      <c r="R122" s="30">
        <v>9500000.0</v>
      </c>
      <c r="S122" s="30">
        <v>9500000.0</v>
      </c>
      <c r="T122" s="30">
        <v>9500000.0</v>
      </c>
      <c r="U122" s="20" t="s">
        <v>71</v>
      </c>
      <c r="V122" s="20"/>
      <c r="W122" s="30">
        <v>9500000.0</v>
      </c>
      <c r="X122" s="20"/>
      <c r="Y122" s="30">
        <v>9500000.0</v>
      </c>
      <c r="Z122" s="24">
        <f t="shared" si="3"/>
        <v>1</v>
      </c>
      <c r="AA122" s="23">
        <f t="shared" si="5"/>
        <v>9500000</v>
      </c>
      <c r="AB122" s="20"/>
      <c r="AC122" s="25">
        <f t="shared" si="4"/>
        <v>0</v>
      </c>
      <c r="AD122" s="20" t="s">
        <v>72</v>
      </c>
      <c r="AE122" s="20"/>
      <c r="AF122" s="20"/>
      <c r="AG122" s="20"/>
      <c r="AH122" s="20"/>
      <c r="AI122" s="20"/>
      <c r="AJ122" s="20"/>
      <c r="AK122" s="20"/>
      <c r="AL122" s="20"/>
      <c r="AM122" s="20"/>
      <c r="AN122" s="26"/>
      <c r="AO122" s="26"/>
      <c r="AP122" s="26"/>
      <c r="AQ122" s="26"/>
      <c r="AR122" s="26"/>
      <c r="AS122" s="26"/>
      <c r="AT122" s="26"/>
    </row>
    <row r="123">
      <c r="A123" s="20">
        <v>121.0</v>
      </c>
      <c r="B123" s="29" t="s">
        <v>210</v>
      </c>
      <c r="C123" s="30"/>
      <c r="D123" s="20"/>
      <c r="E123" s="20"/>
      <c r="F123" s="20"/>
      <c r="G123" s="20"/>
      <c r="H123" s="33" t="s">
        <v>65</v>
      </c>
      <c r="I123" s="33" t="s">
        <v>66</v>
      </c>
      <c r="J123" s="21"/>
      <c r="K123" s="20" t="str">
        <f t="shared" si="1"/>
        <v>Health services</v>
      </c>
      <c r="L123" s="20" t="s">
        <v>67</v>
      </c>
      <c r="M123" s="20" t="str">
        <f t="shared" si="2"/>
        <v>Health services</v>
      </c>
      <c r="N123" s="22" t="s">
        <v>119</v>
      </c>
      <c r="O123" s="22" t="s">
        <v>120</v>
      </c>
      <c r="P123" s="20" t="s">
        <v>121</v>
      </c>
      <c r="Q123" s="20" t="s">
        <v>121</v>
      </c>
      <c r="R123" s="30">
        <v>4.25E7</v>
      </c>
      <c r="S123" s="30">
        <v>4.25E7</v>
      </c>
      <c r="T123" s="30">
        <v>4.25E7</v>
      </c>
      <c r="U123" s="20" t="s">
        <v>71</v>
      </c>
      <c r="V123" s="20"/>
      <c r="W123" s="30">
        <v>4.25E7</v>
      </c>
      <c r="X123" s="20"/>
      <c r="Y123" s="30">
        <v>4.25E7</v>
      </c>
      <c r="Z123" s="24">
        <f t="shared" si="3"/>
        <v>1</v>
      </c>
      <c r="AA123" s="23">
        <f t="shared" si="5"/>
        <v>42500000</v>
      </c>
      <c r="AB123" s="20"/>
      <c r="AC123" s="25">
        <f t="shared" si="4"/>
        <v>0</v>
      </c>
      <c r="AD123" s="20" t="s">
        <v>72</v>
      </c>
      <c r="AE123" s="20"/>
      <c r="AF123" s="20"/>
      <c r="AG123" s="20"/>
      <c r="AH123" s="20"/>
      <c r="AI123" s="20"/>
      <c r="AJ123" s="20"/>
      <c r="AK123" s="20"/>
      <c r="AL123" s="20"/>
      <c r="AM123" s="20"/>
      <c r="AN123" s="26"/>
      <c r="AO123" s="26"/>
      <c r="AP123" s="26"/>
      <c r="AQ123" s="26"/>
      <c r="AR123" s="26"/>
      <c r="AS123" s="26"/>
      <c r="AT123" s="26"/>
    </row>
    <row r="124">
      <c r="A124" s="20">
        <v>122.0</v>
      </c>
      <c r="B124" s="29" t="s">
        <v>211</v>
      </c>
      <c r="C124" s="30"/>
      <c r="D124" s="20"/>
      <c r="E124" s="20"/>
      <c r="F124" s="20"/>
      <c r="G124" s="20"/>
      <c r="H124" s="33" t="s">
        <v>65</v>
      </c>
      <c r="I124" s="33" t="s">
        <v>66</v>
      </c>
      <c r="J124" s="21"/>
      <c r="K124" s="20" t="str">
        <f t="shared" si="1"/>
        <v>ROADS,TRANSPORT AND PUBLIC WORKS</v>
      </c>
      <c r="L124" s="20" t="s">
        <v>107</v>
      </c>
      <c r="M124" s="20" t="str">
        <f t="shared" si="2"/>
        <v>ROADS,TRANSPORT AND PUBLIC WORKS</v>
      </c>
      <c r="N124" s="22" t="s">
        <v>119</v>
      </c>
      <c r="O124" s="22" t="s">
        <v>120</v>
      </c>
      <c r="P124" s="20" t="s">
        <v>121</v>
      </c>
      <c r="Q124" s="20" t="s">
        <v>121</v>
      </c>
      <c r="R124" s="30">
        <v>8575350.0</v>
      </c>
      <c r="S124" s="30">
        <v>8575350.0</v>
      </c>
      <c r="T124" s="30">
        <v>8575350.0</v>
      </c>
      <c r="U124" s="20" t="s">
        <v>71</v>
      </c>
      <c r="V124" s="20"/>
      <c r="W124" s="30">
        <v>8575350.0</v>
      </c>
      <c r="X124" s="20"/>
      <c r="Y124" s="30">
        <v>8575350.0</v>
      </c>
      <c r="Z124" s="24">
        <f t="shared" si="3"/>
        <v>1</v>
      </c>
      <c r="AA124" s="23">
        <f t="shared" si="5"/>
        <v>8575350</v>
      </c>
      <c r="AB124" s="20"/>
      <c r="AC124" s="25">
        <f t="shared" si="4"/>
        <v>0</v>
      </c>
      <c r="AD124" s="20" t="s">
        <v>72</v>
      </c>
      <c r="AE124" s="20"/>
      <c r="AF124" s="20"/>
      <c r="AG124" s="20"/>
      <c r="AH124" s="20"/>
      <c r="AI124" s="20"/>
      <c r="AJ124" s="20"/>
      <c r="AK124" s="20"/>
      <c r="AL124" s="20"/>
      <c r="AM124" s="20"/>
      <c r="AN124" s="26"/>
      <c r="AO124" s="26"/>
      <c r="AP124" s="26"/>
      <c r="AQ124" s="26"/>
      <c r="AR124" s="26"/>
      <c r="AS124" s="26"/>
      <c r="AT124" s="26"/>
    </row>
    <row r="125">
      <c r="A125" s="20">
        <v>123.0</v>
      </c>
      <c r="B125" s="29" t="s">
        <v>212</v>
      </c>
      <c r="C125" s="30"/>
      <c r="D125" s="20"/>
      <c r="E125" s="20"/>
      <c r="F125" s="20"/>
      <c r="G125" s="20"/>
      <c r="H125" s="33" t="s">
        <v>65</v>
      </c>
      <c r="I125" s="33" t="s">
        <v>66</v>
      </c>
      <c r="J125" s="21"/>
      <c r="K125" s="20" t="str">
        <f t="shared" si="1"/>
        <v>ROADS,TRANSPORT AND PUBLIC WORKS</v>
      </c>
      <c r="L125" s="20" t="s">
        <v>107</v>
      </c>
      <c r="M125" s="20" t="str">
        <f t="shared" si="2"/>
        <v>ROADS,TRANSPORT AND PUBLIC WORKS</v>
      </c>
      <c r="N125" s="22" t="s">
        <v>119</v>
      </c>
      <c r="O125" s="22" t="s">
        <v>120</v>
      </c>
      <c r="P125" s="20" t="s">
        <v>121</v>
      </c>
      <c r="Q125" s="20" t="s">
        <v>121</v>
      </c>
      <c r="R125" s="30">
        <v>2000000.0</v>
      </c>
      <c r="S125" s="30">
        <v>2000000.0</v>
      </c>
      <c r="T125" s="30">
        <v>2000000.0</v>
      </c>
      <c r="U125" s="20" t="s">
        <v>71</v>
      </c>
      <c r="V125" s="20"/>
      <c r="W125" s="30">
        <v>2000000.0</v>
      </c>
      <c r="X125" s="20"/>
      <c r="Y125" s="30">
        <v>2000000.0</v>
      </c>
      <c r="Z125" s="24">
        <f t="shared" si="3"/>
        <v>1</v>
      </c>
      <c r="AA125" s="23">
        <f t="shared" si="5"/>
        <v>2000000</v>
      </c>
      <c r="AB125" s="20"/>
      <c r="AC125" s="25">
        <f t="shared" si="4"/>
        <v>0</v>
      </c>
      <c r="AD125" s="20" t="s">
        <v>72</v>
      </c>
      <c r="AE125" s="20"/>
      <c r="AF125" s="20"/>
      <c r="AG125" s="20"/>
      <c r="AH125" s="20"/>
      <c r="AI125" s="20"/>
      <c r="AJ125" s="20"/>
      <c r="AK125" s="20"/>
      <c r="AL125" s="20"/>
      <c r="AM125" s="20"/>
      <c r="AN125" s="26"/>
      <c r="AO125" s="26"/>
      <c r="AP125" s="26"/>
      <c r="AQ125" s="26"/>
      <c r="AR125" s="26"/>
      <c r="AS125" s="26"/>
      <c r="AT125" s="26"/>
    </row>
    <row r="126">
      <c r="A126" s="20">
        <v>124.0</v>
      </c>
      <c r="B126" s="29" t="s">
        <v>213</v>
      </c>
      <c r="C126" s="30"/>
      <c r="D126" s="20"/>
      <c r="E126" s="20"/>
      <c r="F126" s="20"/>
      <c r="G126" s="20"/>
      <c r="H126" s="33" t="s">
        <v>65</v>
      </c>
      <c r="I126" s="33" t="s">
        <v>90</v>
      </c>
      <c r="J126" s="21"/>
      <c r="K126" s="20" t="str">
        <f t="shared" si="1"/>
        <v>ROADS,TRANSPORT AND PUBLIC WORKS</v>
      </c>
      <c r="L126" s="20" t="s">
        <v>107</v>
      </c>
      <c r="M126" s="20" t="str">
        <f t="shared" si="2"/>
        <v>ROADS,TRANSPORT AND PUBLIC WORKS</v>
      </c>
      <c r="N126" s="22" t="s">
        <v>119</v>
      </c>
      <c r="O126" s="22" t="s">
        <v>120</v>
      </c>
      <c r="P126" s="20" t="s">
        <v>121</v>
      </c>
      <c r="Q126" s="20" t="s">
        <v>121</v>
      </c>
      <c r="R126" s="30">
        <v>3000000.0</v>
      </c>
      <c r="S126" s="30">
        <v>3000000.0</v>
      </c>
      <c r="T126" s="30">
        <v>3000000.0</v>
      </c>
      <c r="U126" s="20" t="s">
        <v>71</v>
      </c>
      <c r="V126" s="20"/>
      <c r="W126" s="30">
        <v>3000000.0</v>
      </c>
      <c r="X126" s="20"/>
      <c r="Y126" s="30">
        <v>3000000.0</v>
      </c>
      <c r="Z126" s="24">
        <f t="shared" si="3"/>
        <v>1</v>
      </c>
      <c r="AA126" s="23">
        <f t="shared" si="5"/>
        <v>3000000</v>
      </c>
      <c r="AB126" s="20"/>
      <c r="AC126" s="25">
        <f t="shared" si="4"/>
        <v>0</v>
      </c>
      <c r="AD126" s="20" t="s">
        <v>72</v>
      </c>
      <c r="AE126" s="20"/>
      <c r="AF126" s="20"/>
      <c r="AG126" s="20"/>
      <c r="AH126" s="20"/>
      <c r="AI126" s="20"/>
      <c r="AJ126" s="20"/>
      <c r="AK126" s="20"/>
      <c r="AL126" s="20"/>
      <c r="AM126" s="20"/>
      <c r="AN126" s="26"/>
      <c r="AO126" s="26"/>
      <c r="AP126" s="26"/>
      <c r="AQ126" s="26"/>
      <c r="AR126" s="26"/>
      <c r="AS126" s="26"/>
      <c r="AT126" s="26"/>
    </row>
    <row r="127">
      <c r="A127" s="20">
        <v>125.0</v>
      </c>
      <c r="B127" s="29" t="s">
        <v>214</v>
      </c>
      <c r="C127" s="30"/>
      <c r="D127" s="20"/>
      <c r="E127" s="20"/>
      <c r="F127" s="20"/>
      <c r="G127" s="20"/>
      <c r="H127" s="33" t="s">
        <v>77</v>
      </c>
      <c r="I127" s="33" t="s">
        <v>77</v>
      </c>
      <c r="J127" s="21"/>
      <c r="K127" s="20" t="str">
        <f t="shared" si="1"/>
        <v>ROADS,TRANSPORT AND PUBLIC WORKS</v>
      </c>
      <c r="L127" s="20" t="s">
        <v>107</v>
      </c>
      <c r="M127" s="20" t="str">
        <f t="shared" si="2"/>
        <v>ROADS,TRANSPORT AND PUBLIC WORKS</v>
      </c>
      <c r="N127" s="22" t="s">
        <v>119</v>
      </c>
      <c r="O127" s="22" t="s">
        <v>120</v>
      </c>
      <c r="P127" s="20" t="s">
        <v>121</v>
      </c>
      <c r="Q127" s="20" t="s">
        <v>121</v>
      </c>
      <c r="R127" s="30">
        <v>1.235E7</v>
      </c>
      <c r="S127" s="30">
        <v>1.235E7</v>
      </c>
      <c r="T127" s="30">
        <v>1.235E7</v>
      </c>
      <c r="U127" s="20" t="s">
        <v>71</v>
      </c>
      <c r="V127" s="20"/>
      <c r="W127" s="30">
        <v>1.235E7</v>
      </c>
      <c r="X127" s="20"/>
      <c r="Y127" s="30">
        <v>1.235E7</v>
      </c>
      <c r="Z127" s="24">
        <f t="shared" si="3"/>
        <v>1</v>
      </c>
      <c r="AA127" s="23">
        <f t="shared" si="5"/>
        <v>12350000</v>
      </c>
      <c r="AB127" s="20"/>
      <c r="AC127" s="25">
        <f t="shared" si="4"/>
        <v>0</v>
      </c>
      <c r="AD127" s="20" t="s">
        <v>72</v>
      </c>
      <c r="AE127" s="20"/>
      <c r="AF127" s="20"/>
      <c r="AG127" s="20"/>
      <c r="AH127" s="20"/>
      <c r="AI127" s="20"/>
      <c r="AJ127" s="20"/>
      <c r="AK127" s="20"/>
      <c r="AL127" s="20"/>
      <c r="AM127" s="20"/>
      <c r="AN127" s="26"/>
      <c r="AO127" s="26"/>
      <c r="AP127" s="26"/>
      <c r="AQ127" s="26"/>
      <c r="AR127" s="26"/>
      <c r="AS127" s="26"/>
      <c r="AT127" s="26"/>
    </row>
    <row r="128">
      <c r="A128" s="20">
        <v>126.0</v>
      </c>
      <c r="B128" s="29" t="s">
        <v>214</v>
      </c>
      <c r="C128" s="30"/>
      <c r="D128" s="20"/>
      <c r="E128" s="20"/>
      <c r="F128" s="20"/>
      <c r="G128" s="20"/>
      <c r="H128" s="33" t="s">
        <v>77</v>
      </c>
      <c r="I128" s="33" t="s">
        <v>77</v>
      </c>
      <c r="J128" s="21"/>
      <c r="K128" s="20" t="str">
        <f t="shared" si="1"/>
        <v>ROADS,TRANSPORT AND PUBLIC WORKS</v>
      </c>
      <c r="L128" s="20" t="s">
        <v>107</v>
      </c>
      <c r="M128" s="20" t="str">
        <f t="shared" si="2"/>
        <v>ROADS,TRANSPORT AND PUBLIC WORKS</v>
      </c>
      <c r="N128" s="22" t="s">
        <v>119</v>
      </c>
      <c r="O128" s="22" t="s">
        <v>120</v>
      </c>
      <c r="P128" s="20" t="s">
        <v>121</v>
      </c>
      <c r="Q128" s="20" t="s">
        <v>121</v>
      </c>
      <c r="R128" s="30">
        <v>1600000.0</v>
      </c>
      <c r="S128" s="30">
        <v>1600000.0</v>
      </c>
      <c r="T128" s="30">
        <v>1600000.0</v>
      </c>
      <c r="U128" s="20" t="s">
        <v>71</v>
      </c>
      <c r="V128" s="20"/>
      <c r="W128" s="30">
        <v>1600000.0</v>
      </c>
      <c r="X128" s="20"/>
      <c r="Y128" s="30">
        <v>1600000.0</v>
      </c>
      <c r="Z128" s="24">
        <f t="shared" si="3"/>
        <v>1</v>
      </c>
      <c r="AA128" s="23">
        <f t="shared" si="5"/>
        <v>1600000</v>
      </c>
      <c r="AB128" s="20"/>
      <c r="AC128" s="25">
        <f t="shared" si="4"/>
        <v>0</v>
      </c>
      <c r="AD128" s="20" t="s">
        <v>72</v>
      </c>
      <c r="AE128" s="20"/>
      <c r="AF128" s="20"/>
      <c r="AG128" s="20"/>
      <c r="AH128" s="20"/>
      <c r="AI128" s="20"/>
      <c r="AJ128" s="20"/>
      <c r="AK128" s="20"/>
      <c r="AL128" s="20"/>
      <c r="AM128" s="20"/>
      <c r="AN128" s="26"/>
      <c r="AO128" s="26"/>
      <c r="AP128" s="26"/>
      <c r="AQ128" s="26"/>
      <c r="AR128" s="26"/>
      <c r="AS128" s="26"/>
      <c r="AT128" s="26"/>
    </row>
    <row r="129">
      <c r="A129" s="20">
        <v>127.0</v>
      </c>
      <c r="B129" s="29" t="s">
        <v>215</v>
      </c>
      <c r="C129" s="30"/>
      <c r="D129" s="20"/>
      <c r="E129" s="20"/>
      <c r="F129" s="20"/>
      <c r="G129" s="20"/>
      <c r="H129" s="33" t="s">
        <v>65</v>
      </c>
      <c r="I129" s="33" t="s">
        <v>66</v>
      </c>
      <c r="J129" s="21"/>
      <c r="K129" s="20" t="str">
        <f t="shared" si="1"/>
        <v>ROADS,TRANSPORT AND PUBLIC WORKS</v>
      </c>
      <c r="L129" s="20" t="s">
        <v>107</v>
      </c>
      <c r="M129" s="20" t="str">
        <f t="shared" si="2"/>
        <v>ROADS,TRANSPORT AND PUBLIC WORKS</v>
      </c>
      <c r="N129" s="22" t="s">
        <v>119</v>
      </c>
      <c r="O129" s="22" t="s">
        <v>120</v>
      </c>
      <c r="P129" s="20" t="s">
        <v>121</v>
      </c>
      <c r="Q129" s="20" t="s">
        <v>121</v>
      </c>
      <c r="R129" s="30">
        <v>1963650.0</v>
      </c>
      <c r="S129" s="30">
        <v>1963650.0</v>
      </c>
      <c r="T129" s="30">
        <v>1963650.0</v>
      </c>
      <c r="U129" s="20" t="s">
        <v>71</v>
      </c>
      <c r="V129" s="20"/>
      <c r="W129" s="30">
        <v>1963650.0</v>
      </c>
      <c r="X129" s="20"/>
      <c r="Y129" s="30">
        <v>1963650.0</v>
      </c>
      <c r="Z129" s="24">
        <f t="shared" si="3"/>
        <v>1</v>
      </c>
      <c r="AA129" s="23">
        <f t="shared" si="5"/>
        <v>1963650</v>
      </c>
      <c r="AB129" s="20"/>
      <c r="AC129" s="25">
        <f t="shared" si="4"/>
        <v>0</v>
      </c>
      <c r="AD129" s="20" t="s">
        <v>72</v>
      </c>
      <c r="AE129" s="20"/>
      <c r="AF129" s="20"/>
      <c r="AG129" s="20"/>
      <c r="AH129" s="20"/>
      <c r="AI129" s="20"/>
      <c r="AJ129" s="20"/>
      <c r="AK129" s="20"/>
      <c r="AL129" s="20"/>
      <c r="AM129" s="20"/>
      <c r="AN129" s="26"/>
      <c r="AO129" s="26"/>
      <c r="AP129" s="26"/>
      <c r="AQ129" s="26"/>
      <c r="AR129" s="26"/>
      <c r="AS129" s="26"/>
      <c r="AT129" s="26"/>
    </row>
    <row r="130">
      <c r="A130" s="20">
        <v>128.0</v>
      </c>
      <c r="B130" s="29" t="s">
        <v>216</v>
      </c>
      <c r="C130" s="30"/>
      <c r="D130" s="20"/>
      <c r="E130" s="20"/>
      <c r="F130" s="20"/>
      <c r="G130" s="20"/>
      <c r="H130" s="33" t="s">
        <v>65</v>
      </c>
      <c r="I130" s="33" t="s">
        <v>74</v>
      </c>
      <c r="J130" s="21"/>
      <c r="K130" s="20" t="str">
        <f t="shared" si="1"/>
        <v>ROADS,TRANSPORT AND PUBLIC WORKS</v>
      </c>
      <c r="L130" s="20" t="s">
        <v>107</v>
      </c>
      <c r="M130" s="20" t="str">
        <f t="shared" si="2"/>
        <v>ROADS,TRANSPORT AND PUBLIC WORKS</v>
      </c>
      <c r="N130" s="22" t="s">
        <v>119</v>
      </c>
      <c r="O130" s="22" t="s">
        <v>120</v>
      </c>
      <c r="P130" s="20" t="s">
        <v>121</v>
      </c>
      <c r="Q130" s="20" t="s">
        <v>121</v>
      </c>
      <c r="R130" s="30">
        <v>2293041.6</v>
      </c>
      <c r="S130" s="30">
        <v>2293041.6</v>
      </c>
      <c r="T130" s="30">
        <v>2293041.6</v>
      </c>
      <c r="U130" s="20" t="s">
        <v>71</v>
      </c>
      <c r="V130" s="20"/>
      <c r="W130" s="30">
        <v>2293041.6</v>
      </c>
      <c r="X130" s="20"/>
      <c r="Y130" s="30">
        <v>2293041.6</v>
      </c>
      <c r="Z130" s="24">
        <f t="shared" si="3"/>
        <v>1</v>
      </c>
      <c r="AA130" s="23">
        <f t="shared" si="5"/>
        <v>2293041.6</v>
      </c>
      <c r="AB130" s="20"/>
      <c r="AC130" s="25">
        <f t="shared" si="4"/>
        <v>0</v>
      </c>
      <c r="AD130" s="20" t="s">
        <v>72</v>
      </c>
      <c r="AE130" s="20"/>
      <c r="AF130" s="20"/>
      <c r="AG130" s="20"/>
      <c r="AH130" s="20"/>
      <c r="AI130" s="20"/>
      <c r="AJ130" s="20"/>
      <c r="AK130" s="20"/>
      <c r="AL130" s="20"/>
      <c r="AM130" s="20"/>
      <c r="AN130" s="26"/>
      <c r="AO130" s="26"/>
      <c r="AP130" s="26"/>
      <c r="AQ130" s="26"/>
      <c r="AR130" s="26"/>
      <c r="AS130" s="26"/>
      <c r="AT130" s="26"/>
    </row>
    <row r="131">
      <c r="A131" s="20">
        <v>129.0</v>
      </c>
      <c r="B131" s="29" t="s">
        <v>217</v>
      </c>
      <c r="C131" s="30"/>
      <c r="D131" s="20"/>
      <c r="E131" s="20"/>
      <c r="F131" s="20"/>
      <c r="G131" s="20"/>
      <c r="H131" s="33" t="s">
        <v>65</v>
      </c>
      <c r="I131" s="33" t="s">
        <v>87</v>
      </c>
      <c r="J131" s="21"/>
      <c r="K131" s="20" t="str">
        <f t="shared" si="1"/>
        <v>ROADS,TRANSPORT AND PUBLIC WORKS</v>
      </c>
      <c r="L131" s="20" t="s">
        <v>107</v>
      </c>
      <c r="M131" s="20" t="str">
        <f t="shared" si="2"/>
        <v>ROADS,TRANSPORT AND PUBLIC WORKS</v>
      </c>
      <c r="N131" s="22" t="s">
        <v>119</v>
      </c>
      <c r="O131" s="22" t="s">
        <v>120</v>
      </c>
      <c r="P131" s="20" t="s">
        <v>121</v>
      </c>
      <c r="Q131" s="20" t="s">
        <v>121</v>
      </c>
      <c r="R131" s="30">
        <v>2354533.2</v>
      </c>
      <c r="S131" s="30">
        <v>2354533.2</v>
      </c>
      <c r="T131" s="30">
        <v>2354533.2</v>
      </c>
      <c r="U131" s="20" t="s">
        <v>71</v>
      </c>
      <c r="V131" s="20"/>
      <c r="W131" s="30">
        <v>2354533.2</v>
      </c>
      <c r="X131" s="20"/>
      <c r="Y131" s="30">
        <v>2354533.2</v>
      </c>
      <c r="Z131" s="24">
        <f t="shared" si="3"/>
        <v>1</v>
      </c>
      <c r="AA131" s="23">
        <f t="shared" si="5"/>
        <v>2354533.2</v>
      </c>
      <c r="AB131" s="20"/>
      <c r="AC131" s="25">
        <f t="shared" si="4"/>
        <v>0</v>
      </c>
      <c r="AD131" s="20" t="s">
        <v>72</v>
      </c>
      <c r="AE131" s="20"/>
      <c r="AF131" s="20"/>
      <c r="AG131" s="20"/>
      <c r="AH131" s="20"/>
      <c r="AI131" s="20"/>
      <c r="AJ131" s="20"/>
      <c r="AK131" s="20"/>
      <c r="AL131" s="20"/>
      <c r="AM131" s="20"/>
      <c r="AN131" s="26"/>
      <c r="AO131" s="26"/>
      <c r="AP131" s="26"/>
      <c r="AQ131" s="26"/>
      <c r="AR131" s="26"/>
      <c r="AS131" s="26"/>
      <c r="AT131" s="26"/>
    </row>
    <row r="132">
      <c r="A132" s="20">
        <v>130.0</v>
      </c>
      <c r="B132" s="31" t="s">
        <v>218</v>
      </c>
      <c r="C132" s="32"/>
      <c r="D132" s="20"/>
      <c r="E132" s="20"/>
      <c r="F132" s="20"/>
      <c r="G132" s="20"/>
      <c r="H132" s="33" t="s">
        <v>160</v>
      </c>
      <c r="I132" s="33" t="s">
        <v>160</v>
      </c>
      <c r="J132" s="21"/>
      <c r="K132" s="20" t="str">
        <f t="shared" si="1"/>
        <v>ROADS,TRANSPORT AND PUBLIC WORKS</v>
      </c>
      <c r="L132" s="20" t="s">
        <v>107</v>
      </c>
      <c r="M132" s="20" t="str">
        <f t="shared" si="2"/>
        <v>ROADS,TRANSPORT AND PUBLIC WORKS</v>
      </c>
      <c r="N132" s="22" t="s">
        <v>119</v>
      </c>
      <c r="O132" s="22" t="s">
        <v>120</v>
      </c>
      <c r="P132" s="20" t="s">
        <v>121</v>
      </c>
      <c r="Q132" s="20" t="s">
        <v>121</v>
      </c>
      <c r="R132" s="32">
        <v>2377014.0</v>
      </c>
      <c r="S132" s="32">
        <v>2377014.0</v>
      </c>
      <c r="T132" s="32">
        <v>2377014.0</v>
      </c>
      <c r="U132" s="20" t="s">
        <v>71</v>
      </c>
      <c r="V132" s="20"/>
      <c r="W132" s="32">
        <v>2377014.0</v>
      </c>
      <c r="X132" s="20"/>
      <c r="Y132" s="32">
        <v>2377014.0</v>
      </c>
      <c r="Z132" s="24">
        <f t="shared" si="3"/>
        <v>1</v>
      </c>
      <c r="AA132" s="23">
        <f t="shared" si="5"/>
        <v>2377014</v>
      </c>
      <c r="AB132" s="20"/>
      <c r="AC132" s="25">
        <f t="shared" si="4"/>
        <v>0</v>
      </c>
      <c r="AD132" s="20" t="s">
        <v>72</v>
      </c>
      <c r="AE132" s="20"/>
      <c r="AF132" s="20"/>
      <c r="AG132" s="20"/>
      <c r="AH132" s="20"/>
      <c r="AI132" s="20"/>
      <c r="AJ132" s="20"/>
      <c r="AK132" s="20"/>
      <c r="AL132" s="20"/>
      <c r="AM132" s="20"/>
      <c r="AN132" s="26"/>
      <c r="AO132" s="26"/>
      <c r="AP132" s="26"/>
      <c r="AQ132" s="26"/>
      <c r="AR132" s="26"/>
      <c r="AS132" s="26"/>
      <c r="AT132" s="26"/>
    </row>
    <row r="133">
      <c r="A133" s="20">
        <v>131.0</v>
      </c>
      <c r="B133" s="31" t="s">
        <v>219</v>
      </c>
      <c r="C133" s="32"/>
      <c r="D133" s="20"/>
      <c r="E133" s="20"/>
      <c r="F133" s="20"/>
      <c r="G133" s="20"/>
      <c r="H133" s="33" t="s">
        <v>65</v>
      </c>
      <c r="I133" s="33" t="s">
        <v>90</v>
      </c>
      <c r="J133" s="21"/>
      <c r="K133" s="20" t="str">
        <f t="shared" si="1"/>
        <v>ROADS,TRANSPORT AND PUBLIC WORKS</v>
      </c>
      <c r="L133" s="20" t="s">
        <v>107</v>
      </c>
      <c r="M133" s="20" t="str">
        <f t="shared" si="2"/>
        <v>ROADS,TRANSPORT AND PUBLIC WORKS</v>
      </c>
      <c r="N133" s="22" t="s">
        <v>119</v>
      </c>
      <c r="O133" s="22" t="s">
        <v>120</v>
      </c>
      <c r="P133" s="20" t="s">
        <v>121</v>
      </c>
      <c r="Q133" s="20" t="s">
        <v>121</v>
      </c>
      <c r="R133" s="32">
        <v>2421398.0</v>
      </c>
      <c r="S133" s="32">
        <v>2421398.0</v>
      </c>
      <c r="T133" s="32">
        <v>2421398.0</v>
      </c>
      <c r="U133" s="20" t="s">
        <v>71</v>
      </c>
      <c r="V133" s="20"/>
      <c r="W133" s="32">
        <v>2421398.0</v>
      </c>
      <c r="X133" s="20"/>
      <c r="Y133" s="32">
        <v>2421398.0</v>
      </c>
      <c r="Z133" s="24">
        <f t="shared" si="3"/>
        <v>1</v>
      </c>
      <c r="AA133" s="23">
        <f t="shared" si="5"/>
        <v>2421398</v>
      </c>
      <c r="AB133" s="20"/>
      <c r="AC133" s="25">
        <f t="shared" si="4"/>
        <v>0</v>
      </c>
      <c r="AD133" s="20" t="s">
        <v>72</v>
      </c>
      <c r="AE133" s="20"/>
      <c r="AF133" s="20"/>
      <c r="AG133" s="20"/>
      <c r="AH133" s="20"/>
      <c r="AI133" s="20"/>
      <c r="AJ133" s="20"/>
      <c r="AK133" s="20"/>
      <c r="AL133" s="20"/>
      <c r="AM133" s="20"/>
      <c r="AN133" s="26"/>
      <c r="AO133" s="26"/>
      <c r="AP133" s="26"/>
      <c r="AQ133" s="26"/>
      <c r="AR133" s="26"/>
      <c r="AS133" s="26"/>
      <c r="AT133" s="26"/>
    </row>
    <row r="134">
      <c r="A134" s="20">
        <v>132.0</v>
      </c>
      <c r="B134" s="29" t="s">
        <v>220</v>
      </c>
      <c r="C134" s="30"/>
      <c r="D134" s="20"/>
      <c r="E134" s="20"/>
      <c r="F134" s="20"/>
      <c r="G134" s="20"/>
      <c r="H134" s="33" t="s">
        <v>65</v>
      </c>
      <c r="I134" s="33" t="s">
        <v>87</v>
      </c>
      <c r="J134" s="21"/>
      <c r="K134" s="20" t="str">
        <f t="shared" si="1"/>
        <v>ROADS,TRANSPORT AND PUBLIC WORKS</v>
      </c>
      <c r="L134" s="20" t="s">
        <v>107</v>
      </c>
      <c r="M134" s="20" t="str">
        <f t="shared" si="2"/>
        <v>ROADS,TRANSPORT AND PUBLIC WORKS</v>
      </c>
      <c r="N134" s="22" t="s">
        <v>119</v>
      </c>
      <c r="O134" s="22" t="s">
        <v>120</v>
      </c>
      <c r="P134" s="20" t="s">
        <v>121</v>
      </c>
      <c r="Q134" s="20" t="s">
        <v>121</v>
      </c>
      <c r="R134" s="30">
        <v>2790704.8</v>
      </c>
      <c r="S134" s="30">
        <v>2790704.8</v>
      </c>
      <c r="T134" s="30">
        <v>2790704.8</v>
      </c>
      <c r="U134" s="20" t="s">
        <v>71</v>
      </c>
      <c r="V134" s="20"/>
      <c r="W134" s="30">
        <v>2790704.8</v>
      </c>
      <c r="X134" s="20"/>
      <c r="Y134" s="30">
        <v>2790704.8</v>
      </c>
      <c r="Z134" s="24">
        <f t="shared" si="3"/>
        <v>1</v>
      </c>
      <c r="AA134" s="23">
        <f t="shared" si="5"/>
        <v>2790704.8</v>
      </c>
      <c r="AB134" s="20"/>
      <c r="AC134" s="25">
        <f t="shared" si="4"/>
        <v>0</v>
      </c>
      <c r="AD134" s="20" t="s">
        <v>72</v>
      </c>
      <c r="AE134" s="20"/>
      <c r="AF134" s="20"/>
      <c r="AG134" s="20"/>
      <c r="AH134" s="20"/>
      <c r="AI134" s="20"/>
      <c r="AJ134" s="20"/>
      <c r="AK134" s="20"/>
      <c r="AL134" s="20"/>
      <c r="AM134" s="20"/>
      <c r="AN134" s="26"/>
      <c r="AO134" s="26"/>
      <c r="AP134" s="26"/>
      <c r="AQ134" s="26"/>
      <c r="AR134" s="26"/>
      <c r="AS134" s="26"/>
      <c r="AT134" s="26"/>
    </row>
    <row r="135">
      <c r="A135" s="20">
        <v>133.0</v>
      </c>
      <c r="B135" s="29" t="s">
        <v>221</v>
      </c>
      <c r="C135" s="30"/>
      <c r="D135" s="20"/>
      <c r="E135" s="20"/>
      <c r="F135" s="20"/>
      <c r="G135" s="20"/>
      <c r="H135" s="33" t="s">
        <v>65</v>
      </c>
      <c r="I135" s="33" t="s">
        <v>87</v>
      </c>
      <c r="J135" s="21"/>
      <c r="K135" s="20" t="str">
        <f t="shared" si="1"/>
        <v>ROADS,TRANSPORT AND PUBLIC WORKS</v>
      </c>
      <c r="L135" s="20" t="s">
        <v>107</v>
      </c>
      <c r="M135" s="20" t="str">
        <f t="shared" si="2"/>
        <v>ROADS,TRANSPORT AND PUBLIC WORKS</v>
      </c>
      <c r="N135" s="22" t="s">
        <v>119</v>
      </c>
      <c r="O135" s="22" t="s">
        <v>120</v>
      </c>
      <c r="P135" s="20" t="s">
        <v>121</v>
      </c>
      <c r="Q135" s="20" t="s">
        <v>121</v>
      </c>
      <c r="R135" s="30">
        <v>2817814.0</v>
      </c>
      <c r="S135" s="30">
        <v>2817814.0</v>
      </c>
      <c r="T135" s="30">
        <v>2817814.0</v>
      </c>
      <c r="U135" s="20" t="s">
        <v>71</v>
      </c>
      <c r="V135" s="20"/>
      <c r="W135" s="30">
        <v>2817814.0</v>
      </c>
      <c r="X135" s="20"/>
      <c r="Y135" s="30">
        <v>2817814.0</v>
      </c>
      <c r="Z135" s="24">
        <f t="shared" si="3"/>
        <v>1</v>
      </c>
      <c r="AA135" s="23">
        <f t="shared" si="5"/>
        <v>2817814</v>
      </c>
      <c r="AB135" s="20"/>
      <c r="AC135" s="25">
        <f t="shared" si="4"/>
        <v>0</v>
      </c>
      <c r="AD135" s="20" t="s">
        <v>72</v>
      </c>
      <c r="AE135" s="20"/>
      <c r="AF135" s="20"/>
      <c r="AG135" s="20"/>
      <c r="AH135" s="20"/>
      <c r="AI135" s="20"/>
      <c r="AJ135" s="20"/>
      <c r="AK135" s="20"/>
      <c r="AL135" s="20"/>
      <c r="AM135" s="20"/>
      <c r="AN135" s="26"/>
      <c r="AO135" s="26"/>
      <c r="AP135" s="26"/>
      <c r="AQ135" s="26"/>
      <c r="AR135" s="26"/>
      <c r="AS135" s="26"/>
      <c r="AT135" s="26"/>
    </row>
    <row r="136">
      <c r="A136" s="20">
        <v>134.0</v>
      </c>
      <c r="B136" s="29" t="s">
        <v>222</v>
      </c>
      <c r="C136" s="30"/>
      <c r="D136" s="20"/>
      <c r="E136" s="20"/>
      <c r="F136" s="20"/>
      <c r="G136" s="20"/>
      <c r="H136" s="33" t="s">
        <v>113</v>
      </c>
      <c r="I136" s="33" t="s">
        <v>114</v>
      </c>
      <c r="J136" s="21"/>
      <c r="K136" s="20" t="str">
        <f t="shared" si="1"/>
        <v>ROADS,TRANSPORT AND PUBLIC WORKS</v>
      </c>
      <c r="L136" s="20" t="s">
        <v>107</v>
      </c>
      <c r="M136" s="20" t="str">
        <f t="shared" si="2"/>
        <v>ROADS,TRANSPORT AND PUBLIC WORKS</v>
      </c>
      <c r="N136" s="22" t="s">
        <v>119</v>
      </c>
      <c r="O136" s="22" t="s">
        <v>120</v>
      </c>
      <c r="P136" s="20" t="s">
        <v>121</v>
      </c>
      <c r="Q136" s="20" t="s">
        <v>121</v>
      </c>
      <c r="R136" s="30">
        <v>2836327.6</v>
      </c>
      <c r="S136" s="30">
        <v>2836327.6</v>
      </c>
      <c r="T136" s="30">
        <v>2836327.6</v>
      </c>
      <c r="U136" s="20" t="s">
        <v>71</v>
      </c>
      <c r="V136" s="20"/>
      <c r="W136" s="30">
        <v>2836327.6</v>
      </c>
      <c r="X136" s="20"/>
      <c r="Y136" s="30">
        <v>2836327.6</v>
      </c>
      <c r="Z136" s="24">
        <f t="shared" si="3"/>
        <v>1</v>
      </c>
      <c r="AA136" s="23">
        <f t="shared" si="5"/>
        <v>2836327.6</v>
      </c>
      <c r="AB136" s="20"/>
      <c r="AC136" s="25">
        <f t="shared" si="4"/>
        <v>0</v>
      </c>
      <c r="AD136" s="20" t="s">
        <v>72</v>
      </c>
      <c r="AE136" s="20"/>
      <c r="AF136" s="20"/>
      <c r="AG136" s="20"/>
      <c r="AH136" s="20"/>
      <c r="AI136" s="20"/>
      <c r="AJ136" s="20"/>
      <c r="AK136" s="20"/>
      <c r="AL136" s="20"/>
      <c r="AM136" s="20"/>
      <c r="AN136" s="26"/>
      <c r="AO136" s="26"/>
      <c r="AP136" s="26"/>
      <c r="AQ136" s="26"/>
      <c r="AR136" s="26"/>
      <c r="AS136" s="26"/>
      <c r="AT136" s="26"/>
    </row>
    <row r="137">
      <c r="A137" s="20">
        <v>135.0</v>
      </c>
      <c r="B137" s="29" t="s">
        <v>223</v>
      </c>
      <c r="C137" s="30"/>
      <c r="D137" s="20"/>
      <c r="E137" s="20"/>
      <c r="F137" s="20"/>
      <c r="G137" s="20"/>
      <c r="H137" s="33" t="s">
        <v>65</v>
      </c>
      <c r="I137" s="33" t="s">
        <v>90</v>
      </c>
      <c r="J137" s="21"/>
      <c r="K137" s="20" t="str">
        <f t="shared" si="1"/>
        <v>ROADS,TRANSPORT AND PUBLIC WORKS</v>
      </c>
      <c r="L137" s="20" t="s">
        <v>107</v>
      </c>
      <c r="M137" s="20" t="str">
        <f t="shared" si="2"/>
        <v>ROADS,TRANSPORT AND PUBLIC WORKS</v>
      </c>
      <c r="N137" s="22" t="s">
        <v>119</v>
      </c>
      <c r="O137" s="22" t="s">
        <v>120</v>
      </c>
      <c r="P137" s="20" t="s">
        <v>121</v>
      </c>
      <c r="Q137" s="20" t="s">
        <v>121</v>
      </c>
      <c r="R137" s="30">
        <v>2836548.0</v>
      </c>
      <c r="S137" s="30">
        <v>2836548.0</v>
      </c>
      <c r="T137" s="30">
        <v>2836548.0</v>
      </c>
      <c r="U137" s="20" t="s">
        <v>71</v>
      </c>
      <c r="V137" s="20"/>
      <c r="W137" s="30">
        <v>2836548.0</v>
      </c>
      <c r="X137" s="20"/>
      <c r="Y137" s="30">
        <v>2836548.0</v>
      </c>
      <c r="Z137" s="24">
        <f t="shared" si="3"/>
        <v>1</v>
      </c>
      <c r="AA137" s="23">
        <f t="shared" si="5"/>
        <v>2836548</v>
      </c>
      <c r="AB137" s="20"/>
      <c r="AC137" s="25">
        <f t="shared" si="4"/>
        <v>0</v>
      </c>
      <c r="AD137" s="20" t="s">
        <v>72</v>
      </c>
      <c r="AE137" s="20"/>
      <c r="AF137" s="20"/>
      <c r="AG137" s="20"/>
      <c r="AH137" s="20"/>
      <c r="AI137" s="20"/>
      <c r="AJ137" s="20"/>
      <c r="AK137" s="20"/>
      <c r="AL137" s="20"/>
      <c r="AM137" s="20"/>
      <c r="AN137" s="26"/>
      <c r="AO137" s="26"/>
      <c r="AP137" s="26"/>
      <c r="AQ137" s="26"/>
      <c r="AR137" s="26"/>
      <c r="AS137" s="26"/>
      <c r="AT137" s="26"/>
    </row>
    <row r="138">
      <c r="A138" s="20">
        <v>136.0</v>
      </c>
      <c r="B138" s="29" t="s">
        <v>224</v>
      </c>
      <c r="C138" s="30"/>
      <c r="D138" s="20"/>
      <c r="E138" s="20"/>
      <c r="F138" s="20"/>
      <c r="G138" s="20"/>
      <c r="H138" s="33" t="s">
        <v>65</v>
      </c>
      <c r="I138" s="33" t="s">
        <v>87</v>
      </c>
      <c r="J138" s="21"/>
      <c r="K138" s="20" t="str">
        <f t="shared" si="1"/>
        <v>ROADS,TRANSPORT AND PUBLIC WORKS</v>
      </c>
      <c r="L138" s="20" t="s">
        <v>107</v>
      </c>
      <c r="M138" s="20" t="str">
        <f t="shared" si="2"/>
        <v>ROADS,TRANSPORT AND PUBLIC WORKS</v>
      </c>
      <c r="N138" s="22" t="s">
        <v>119</v>
      </c>
      <c r="O138" s="22" t="s">
        <v>120</v>
      </c>
      <c r="P138" s="20" t="s">
        <v>121</v>
      </c>
      <c r="Q138" s="20" t="s">
        <v>121</v>
      </c>
      <c r="R138" s="30">
        <v>2843160.0</v>
      </c>
      <c r="S138" s="30">
        <v>2843160.0</v>
      </c>
      <c r="T138" s="30">
        <v>2843160.0</v>
      </c>
      <c r="U138" s="20" t="s">
        <v>71</v>
      </c>
      <c r="V138" s="20"/>
      <c r="W138" s="30">
        <v>2843160.0</v>
      </c>
      <c r="X138" s="20"/>
      <c r="Y138" s="30">
        <v>2843160.0</v>
      </c>
      <c r="Z138" s="24">
        <f t="shared" si="3"/>
        <v>1</v>
      </c>
      <c r="AA138" s="23">
        <f t="shared" si="5"/>
        <v>2843160</v>
      </c>
      <c r="AB138" s="20"/>
      <c r="AC138" s="25">
        <f t="shared" si="4"/>
        <v>0</v>
      </c>
      <c r="AD138" s="20" t="s">
        <v>72</v>
      </c>
      <c r="AE138" s="20"/>
      <c r="AF138" s="20"/>
      <c r="AG138" s="20"/>
      <c r="AH138" s="20"/>
      <c r="AI138" s="20"/>
      <c r="AJ138" s="20"/>
      <c r="AK138" s="20"/>
      <c r="AL138" s="20"/>
      <c r="AM138" s="20"/>
      <c r="AN138" s="26"/>
      <c r="AO138" s="26"/>
      <c r="AP138" s="26"/>
      <c r="AQ138" s="26"/>
      <c r="AR138" s="26"/>
      <c r="AS138" s="26"/>
      <c r="AT138" s="26"/>
    </row>
    <row r="139">
      <c r="A139" s="20">
        <v>137.0</v>
      </c>
      <c r="B139" s="29" t="s">
        <v>225</v>
      </c>
      <c r="C139" s="30"/>
      <c r="D139" s="20"/>
      <c r="E139" s="20"/>
      <c r="F139" s="20"/>
      <c r="G139" s="20"/>
      <c r="H139" s="33" t="s">
        <v>65</v>
      </c>
      <c r="I139" s="33" t="s">
        <v>87</v>
      </c>
      <c r="J139" s="21"/>
      <c r="K139" s="20" t="str">
        <f t="shared" si="1"/>
        <v>ROADS,TRANSPORT AND PUBLIC WORKS</v>
      </c>
      <c r="L139" s="20" t="s">
        <v>107</v>
      </c>
      <c r="M139" s="20" t="str">
        <f t="shared" si="2"/>
        <v>ROADS,TRANSPORT AND PUBLIC WORKS</v>
      </c>
      <c r="N139" s="22" t="s">
        <v>119</v>
      </c>
      <c r="O139" s="22" t="s">
        <v>120</v>
      </c>
      <c r="P139" s="20" t="s">
        <v>121</v>
      </c>
      <c r="Q139" s="20" t="s">
        <v>121</v>
      </c>
      <c r="R139" s="30">
        <v>2843160.0</v>
      </c>
      <c r="S139" s="30">
        <v>2843160.0</v>
      </c>
      <c r="T139" s="30">
        <v>2843160.0</v>
      </c>
      <c r="U139" s="20" t="s">
        <v>71</v>
      </c>
      <c r="V139" s="20"/>
      <c r="W139" s="30">
        <v>2843160.0</v>
      </c>
      <c r="X139" s="20"/>
      <c r="Y139" s="30">
        <v>2843160.0</v>
      </c>
      <c r="Z139" s="24">
        <f t="shared" si="3"/>
        <v>1</v>
      </c>
      <c r="AA139" s="23">
        <f t="shared" si="5"/>
        <v>2843160</v>
      </c>
      <c r="AB139" s="20"/>
      <c r="AC139" s="25">
        <f t="shared" si="4"/>
        <v>0</v>
      </c>
      <c r="AD139" s="20" t="s">
        <v>72</v>
      </c>
      <c r="AE139" s="20"/>
      <c r="AF139" s="20"/>
      <c r="AG139" s="20"/>
      <c r="AH139" s="20"/>
      <c r="AI139" s="20"/>
      <c r="AJ139" s="20"/>
      <c r="AK139" s="20"/>
      <c r="AL139" s="20"/>
      <c r="AM139" s="20"/>
      <c r="AN139" s="26"/>
      <c r="AO139" s="26"/>
      <c r="AP139" s="26"/>
      <c r="AQ139" s="26"/>
      <c r="AR139" s="26"/>
      <c r="AS139" s="26"/>
      <c r="AT139" s="26"/>
    </row>
    <row r="140">
      <c r="A140" s="20">
        <v>138.0</v>
      </c>
      <c r="B140" s="29" t="s">
        <v>226</v>
      </c>
      <c r="C140" s="30"/>
      <c r="D140" s="20"/>
      <c r="E140" s="20"/>
      <c r="F140" s="20"/>
      <c r="G140" s="20"/>
      <c r="H140" s="33" t="s">
        <v>65</v>
      </c>
      <c r="I140" s="33" t="s">
        <v>90</v>
      </c>
      <c r="J140" s="21"/>
      <c r="K140" s="20" t="str">
        <f t="shared" si="1"/>
        <v>ROADS,TRANSPORT AND PUBLIC WORKS</v>
      </c>
      <c r="L140" s="20" t="s">
        <v>107</v>
      </c>
      <c r="M140" s="20" t="str">
        <f t="shared" si="2"/>
        <v>ROADS,TRANSPORT AND PUBLIC WORKS</v>
      </c>
      <c r="N140" s="22" t="s">
        <v>119</v>
      </c>
      <c r="O140" s="22" t="s">
        <v>120</v>
      </c>
      <c r="P140" s="20" t="s">
        <v>121</v>
      </c>
      <c r="Q140" s="20" t="s">
        <v>121</v>
      </c>
      <c r="R140" s="30">
        <v>2845584.4</v>
      </c>
      <c r="S140" s="30">
        <v>2845584.4</v>
      </c>
      <c r="T140" s="30">
        <v>2845584.4</v>
      </c>
      <c r="U140" s="20" t="s">
        <v>71</v>
      </c>
      <c r="V140" s="20"/>
      <c r="W140" s="30">
        <v>2845584.4</v>
      </c>
      <c r="X140" s="20"/>
      <c r="Y140" s="30">
        <v>2845584.4</v>
      </c>
      <c r="Z140" s="24">
        <f t="shared" si="3"/>
        <v>1</v>
      </c>
      <c r="AA140" s="23">
        <f t="shared" si="5"/>
        <v>2845584.4</v>
      </c>
      <c r="AB140" s="20"/>
      <c r="AC140" s="25">
        <f t="shared" si="4"/>
        <v>0</v>
      </c>
      <c r="AD140" s="20" t="s">
        <v>72</v>
      </c>
      <c r="AE140" s="20"/>
      <c r="AF140" s="20"/>
      <c r="AG140" s="20"/>
      <c r="AH140" s="20"/>
      <c r="AI140" s="20"/>
      <c r="AJ140" s="20"/>
      <c r="AK140" s="20"/>
      <c r="AL140" s="20"/>
      <c r="AM140" s="20"/>
      <c r="AN140" s="26"/>
      <c r="AO140" s="26"/>
      <c r="AP140" s="26"/>
      <c r="AQ140" s="26"/>
      <c r="AR140" s="26"/>
      <c r="AS140" s="26"/>
      <c r="AT140" s="26"/>
    </row>
    <row r="141">
      <c r="A141" s="20">
        <v>139.0</v>
      </c>
      <c r="B141" s="29" t="s">
        <v>227</v>
      </c>
      <c r="C141" s="30"/>
      <c r="D141" s="20"/>
      <c r="E141" s="20"/>
      <c r="F141" s="20"/>
      <c r="G141" s="20"/>
      <c r="H141" s="33" t="s">
        <v>65</v>
      </c>
      <c r="I141" s="33" t="s">
        <v>87</v>
      </c>
      <c r="J141" s="21"/>
      <c r="K141" s="20" t="str">
        <f t="shared" si="1"/>
        <v>ROADS,TRANSPORT AND PUBLIC WORKS</v>
      </c>
      <c r="L141" s="20" t="s">
        <v>107</v>
      </c>
      <c r="M141" s="20" t="str">
        <f t="shared" si="2"/>
        <v>ROADS,TRANSPORT AND PUBLIC WORKS</v>
      </c>
      <c r="N141" s="22" t="s">
        <v>119</v>
      </c>
      <c r="O141" s="22" t="s">
        <v>120</v>
      </c>
      <c r="P141" s="20" t="s">
        <v>121</v>
      </c>
      <c r="Q141" s="20" t="s">
        <v>121</v>
      </c>
      <c r="R141" s="30">
        <v>2846466.0</v>
      </c>
      <c r="S141" s="30">
        <v>2846466.0</v>
      </c>
      <c r="T141" s="30">
        <v>2846466.0</v>
      </c>
      <c r="U141" s="20" t="s">
        <v>71</v>
      </c>
      <c r="V141" s="20"/>
      <c r="W141" s="30">
        <v>2846466.0</v>
      </c>
      <c r="X141" s="20"/>
      <c r="Y141" s="30">
        <v>2846466.0</v>
      </c>
      <c r="Z141" s="24">
        <f t="shared" si="3"/>
        <v>1</v>
      </c>
      <c r="AA141" s="23">
        <f t="shared" si="5"/>
        <v>2846466</v>
      </c>
      <c r="AB141" s="20"/>
      <c r="AC141" s="25">
        <f t="shared" si="4"/>
        <v>0</v>
      </c>
      <c r="AD141" s="20" t="s">
        <v>72</v>
      </c>
      <c r="AE141" s="20"/>
      <c r="AF141" s="20"/>
      <c r="AG141" s="20"/>
      <c r="AH141" s="20"/>
      <c r="AI141" s="20"/>
      <c r="AJ141" s="20"/>
      <c r="AK141" s="20"/>
      <c r="AL141" s="20"/>
      <c r="AM141" s="20"/>
      <c r="AN141" s="26"/>
      <c r="AO141" s="26"/>
      <c r="AP141" s="26"/>
      <c r="AQ141" s="26"/>
      <c r="AR141" s="26"/>
      <c r="AS141" s="26"/>
      <c r="AT141" s="26"/>
    </row>
    <row r="142">
      <c r="A142" s="20">
        <v>140.0</v>
      </c>
      <c r="B142" s="29" t="s">
        <v>228</v>
      </c>
      <c r="C142" s="30"/>
      <c r="D142" s="20"/>
      <c r="E142" s="20"/>
      <c r="F142" s="20"/>
      <c r="G142" s="20"/>
      <c r="H142" s="33" t="s">
        <v>65</v>
      </c>
      <c r="I142" s="33" t="s">
        <v>74</v>
      </c>
      <c r="J142" s="21"/>
      <c r="K142" s="20" t="str">
        <f t="shared" si="1"/>
        <v>ROADS,TRANSPORT AND PUBLIC WORKS</v>
      </c>
      <c r="L142" s="20" t="s">
        <v>107</v>
      </c>
      <c r="M142" s="20" t="str">
        <f t="shared" si="2"/>
        <v>ROADS,TRANSPORT AND PUBLIC WORKS</v>
      </c>
      <c r="N142" s="22" t="s">
        <v>119</v>
      </c>
      <c r="O142" s="22" t="s">
        <v>120</v>
      </c>
      <c r="P142" s="20" t="s">
        <v>121</v>
      </c>
      <c r="Q142" s="20" t="s">
        <v>121</v>
      </c>
      <c r="R142" s="30">
        <v>2848449.6</v>
      </c>
      <c r="S142" s="30">
        <v>2848449.6</v>
      </c>
      <c r="T142" s="30">
        <v>2848449.6</v>
      </c>
      <c r="U142" s="20" t="s">
        <v>71</v>
      </c>
      <c r="V142" s="20"/>
      <c r="W142" s="30">
        <v>2848449.6</v>
      </c>
      <c r="X142" s="20"/>
      <c r="Y142" s="30">
        <v>2848449.6</v>
      </c>
      <c r="Z142" s="24">
        <f t="shared" si="3"/>
        <v>1</v>
      </c>
      <c r="AA142" s="23">
        <f t="shared" si="5"/>
        <v>2848449.6</v>
      </c>
      <c r="AB142" s="20"/>
      <c r="AC142" s="25">
        <f t="shared" si="4"/>
        <v>0</v>
      </c>
      <c r="AD142" s="20" t="s">
        <v>72</v>
      </c>
      <c r="AE142" s="20"/>
      <c r="AF142" s="20"/>
      <c r="AG142" s="20"/>
      <c r="AH142" s="20"/>
      <c r="AI142" s="20"/>
      <c r="AJ142" s="20"/>
      <c r="AK142" s="20"/>
      <c r="AL142" s="20"/>
      <c r="AM142" s="20"/>
      <c r="AN142" s="26"/>
      <c r="AO142" s="26"/>
      <c r="AP142" s="26"/>
      <c r="AQ142" s="26"/>
      <c r="AR142" s="26"/>
      <c r="AS142" s="26"/>
      <c r="AT142" s="26"/>
    </row>
    <row r="143">
      <c r="A143" s="20">
        <v>141.0</v>
      </c>
      <c r="B143" s="29" t="s">
        <v>229</v>
      </c>
      <c r="C143" s="30"/>
      <c r="D143" s="20"/>
      <c r="E143" s="20"/>
      <c r="F143" s="20"/>
      <c r="G143" s="20"/>
      <c r="H143" s="33" t="s">
        <v>65</v>
      </c>
      <c r="I143" s="33" t="s">
        <v>74</v>
      </c>
      <c r="J143" s="21"/>
      <c r="K143" s="20" t="str">
        <f t="shared" si="1"/>
        <v>ROADS,TRANSPORT AND PUBLIC WORKS</v>
      </c>
      <c r="L143" s="20" t="s">
        <v>107</v>
      </c>
      <c r="M143" s="20" t="str">
        <f t="shared" si="2"/>
        <v>ROADS,TRANSPORT AND PUBLIC WORKS</v>
      </c>
      <c r="N143" s="22" t="s">
        <v>119</v>
      </c>
      <c r="O143" s="22" t="s">
        <v>120</v>
      </c>
      <c r="P143" s="20" t="s">
        <v>121</v>
      </c>
      <c r="Q143" s="20" t="s">
        <v>121</v>
      </c>
      <c r="R143" s="30">
        <v>2850477.0</v>
      </c>
      <c r="S143" s="30">
        <v>2850477.0</v>
      </c>
      <c r="T143" s="30">
        <v>2850477.0</v>
      </c>
      <c r="U143" s="20" t="s">
        <v>71</v>
      </c>
      <c r="V143" s="20"/>
      <c r="W143" s="30">
        <v>2850477.0</v>
      </c>
      <c r="X143" s="20"/>
      <c r="Y143" s="30">
        <v>2850477.0</v>
      </c>
      <c r="Z143" s="24">
        <f t="shared" si="3"/>
        <v>1</v>
      </c>
      <c r="AA143" s="23">
        <f t="shared" si="5"/>
        <v>2850477</v>
      </c>
      <c r="AB143" s="20"/>
      <c r="AC143" s="25">
        <f t="shared" si="4"/>
        <v>0</v>
      </c>
      <c r="AD143" s="20" t="s">
        <v>72</v>
      </c>
      <c r="AE143" s="20"/>
      <c r="AF143" s="20"/>
      <c r="AG143" s="20"/>
      <c r="AH143" s="20"/>
      <c r="AI143" s="20"/>
      <c r="AJ143" s="20"/>
      <c r="AK143" s="20"/>
      <c r="AL143" s="20"/>
      <c r="AM143" s="20"/>
      <c r="AN143" s="26"/>
      <c r="AO143" s="26"/>
      <c r="AP143" s="26"/>
      <c r="AQ143" s="26"/>
      <c r="AR143" s="26"/>
      <c r="AS143" s="26"/>
      <c r="AT143" s="26"/>
    </row>
    <row r="144">
      <c r="A144" s="20">
        <v>142.0</v>
      </c>
      <c r="B144" s="29" t="s">
        <v>230</v>
      </c>
      <c r="C144" s="30"/>
      <c r="D144" s="20"/>
      <c r="E144" s="20"/>
      <c r="F144" s="20"/>
      <c r="G144" s="20"/>
      <c r="H144" s="33" t="s">
        <v>65</v>
      </c>
      <c r="I144" s="33" t="s">
        <v>74</v>
      </c>
      <c r="J144" s="21"/>
      <c r="K144" s="20" t="str">
        <f t="shared" si="1"/>
        <v>ROADS,TRANSPORT AND PUBLIC WORKS</v>
      </c>
      <c r="L144" s="20" t="s">
        <v>107</v>
      </c>
      <c r="M144" s="20" t="str">
        <f t="shared" si="2"/>
        <v>ROADS,TRANSPORT AND PUBLIC WORKS</v>
      </c>
      <c r="N144" s="22" t="s">
        <v>119</v>
      </c>
      <c r="O144" s="22" t="s">
        <v>120</v>
      </c>
      <c r="P144" s="20" t="s">
        <v>121</v>
      </c>
      <c r="Q144" s="20" t="s">
        <v>121</v>
      </c>
      <c r="R144" s="30">
        <v>3000000.0</v>
      </c>
      <c r="S144" s="30">
        <v>3000000.0</v>
      </c>
      <c r="T144" s="30">
        <v>3000000.0</v>
      </c>
      <c r="U144" s="20" t="s">
        <v>71</v>
      </c>
      <c r="V144" s="20"/>
      <c r="W144" s="30">
        <v>3000000.0</v>
      </c>
      <c r="X144" s="20"/>
      <c r="Y144" s="30">
        <v>3000000.0</v>
      </c>
      <c r="Z144" s="24">
        <f t="shared" si="3"/>
        <v>1</v>
      </c>
      <c r="AA144" s="23">
        <f t="shared" si="5"/>
        <v>3000000</v>
      </c>
      <c r="AB144" s="20"/>
      <c r="AC144" s="25">
        <f t="shared" si="4"/>
        <v>0</v>
      </c>
      <c r="AD144" s="20" t="s">
        <v>72</v>
      </c>
      <c r="AE144" s="20"/>
      <c r="AF144" s="20"/>
      <c r="AG144" s="20"/>
      <c r="AH144" s="20"/>
      <c r="AI144" s="20"/>
      <c r="AJ144" s="20"/>
      <c r="AK144" s="20"/>
      <c r="AL144" s="20"/>
      <c r="AM144" s="20"/>
      <c r="AN144" s="26"/>
      <c r="AO144" s="26"/>
      <c r="AP144" s="26"/>
      <c r="AQ144" s="26"/>
      <c r="AR144" s="26"/>
      <c r="AS144" s="26"/>
      <c r="AT144" s="26"/>
    </row>
    <row r="145">
      <c r="A145" s="20">
        <v>143.0</v>
      </c>
      <c r="B145" s="29" t="s">
        <v>231</v>
      </c>
      <c r="C145" s="30"/>
      <c r="D145" s="20"/>
      <c r="E145" s="20"/>
      <c r="F145" s="20"/>
      <c r="G145" s="20"/>
      <c r="H145" s="33" t="s">
        <v>65</v>
      </c>
      <c r="I145" s="33" t="s">
        <v>66</v>
      </c>
      <c r="J145" s="21"/>
      <c r="K145" s="20" t="str">
        <f t="shared" si="1"/>
        <v>ROADS,TRANSPORT AND PUBLIC WORKS</v>
      </c>
      <c r="L145" s="20" t="s">
        <v>107</v>
      </c>
      <c r="M145" s="20" t="str">
        <f t="shared" si="2"/>
        <v>ROADS,TRANSPORT AND PUBLIC WORKS</v>
      </c>
      <c r="N145" s="22" t="s">
        <v>119</v>
      </c>
      <c r="O145" s="22" t="s">
        <v>120</v>
      </c>
      <c r="P145" s="20" t="s">
        <v>121</v>
      </c>
      <c r="Q145" s="20" t="s">
        <v>121</v>
      </c>
      <c r="R145" s="30">
        <v>3037112.0</v>
      </c>
      <c r="S145" s="30">
        <v>3037112.0</v>
      </c>
      <c r="T145" s="30">
        <v>3037112.0</v>
      </c>
      <c r="U145" s="20" t="s">
        <v>71</v>
      </c>
      <c r="V145" s="20"/>
      <c r="W145" s="30">
        <v>3037112.0</v>
      </c>
      <c r="X145" s="20"/>
      <c r="Y145" s="30">
        <v>3037112.0</v>
      </c>
      <c r="Z145" s="24">
        <f t="shared" si="3"/>
        <v>1</v>
      </c>
      <c r="AA145" s="23">
        <f t="shared" si="5"/>
        <v>3037112</v>
      </c>
      <c r="AB145" s="20"/>
      <c r="AC145" s="25">
        <f t="shared" si="4"/>
        <v>0</v>
      </c>
      <c r="AD145" s="20" t="s">
        <v>72</v>
      </c>
      <c r="AE145" s="20"/>
      <c r="AF145" s="20"/>
      <c r="AG145" s="20"/>
      <c r="AH145" s="20"/>
      <c r="AI145" s="20"/>
      <c r="AJ145" s="20"/>
      <c r="AK145" s="20"/>
      <c r="AL145" s="20"/>
      <c r="AM145" s="20"/>
      <c r="AN145" s="26"/>
      <c r="AO145" s="26"/>
      <c r="AP145" s="26"/>
      <c r="AQ145" s="26"/>
      <c r="AR145" s="26"/>
      <c r="AS145" s="26"/>
      <c r="AT145" s="26"/>
    </row>
    <row r="146">
      <c r="A146" s="20">
        <v>144.0</v>
      </c>
      <c r="B146" s="29" t="s">
        <v>232</v>
      </c>
      <c r="C146" s="30"/>
      <c r="D146" s="20"/>
      <c r="E146" s="20"/>
      <c r="F146" s="20"/>
      <c r="G146" s="20"/>
      <c r="H146" s="33" t="s">
        <v>65</v>
      </c>
      <c r="I146" s="33" t="s">
        <v>66</v>
      </c>
      <c r="J146" s="21"/>
      <c r="K146" s="20" t="str">
        <f t="shared" si="1"/>
        <v>ROADS,TRANSPORT AND PUBLIC WORKS</v>
      </c>
      <c r="L146" s="20" t="s">
        <v>107</v>
      </c>
      <c r="M146" s="20" t="str">
        <f t="shared" si="2"/>
        <v>ROADS,TRANSPORT AND PUBLIC WORKS</v>
      </c>
      <c r="N146" s="22" t="s">
        <v>119</v>
      </c>
      <c r="O146" s="22" t="s">
        <v>120</v>
      </c>
      <c r="P146" s="20" t="s">
        <v>121</v>
      </c>
      <c r="Q146" s="20" t="s">
        <v>121</v>
      </c>
      <c r="R146" s="30">
        <v>3302200.0</v>
      </c>
      <c r="S146" s="30">
        <v>3302200.0</v>
      </c>
      <c r="T146" s="30">
        <v>3302200.0</v>
      </c>
      <c r="U146" s="20" t="s">
        <v>71</v>
      </c>
      <c r="V146" s="20"/>
      <c r="W146" s="30">
        <v>3302200.0</v>
      </c>
      <c r="X146" s="20"/>
      <c r="Y146" s="30">
        <v>3302200.0</v>
      </c>
      <c r="Z146" s="24">
        <f t="shared" si="3"/>
        <v>1</v>
      </c>
      <c r="AA146" s="23">
        <f t="shared" si="5"/>
        <v>3302200</v>
      </c>
      <c r="AB146" s="20"/>
      <c r="AC146" s="25">
        <f t="shared" si="4"/>
        <v>0</v>
      </c>
      <c r="AD146" s="20" t="s">
        <v>72</v>
      </c>
      <c r="AE146" s="20"/>
      <c r="AF146" s="20"/>
      <c r="AG146" s="20"/>
      <c r="AH146" s="20"/>
      <c r="AI146" s="20"/>
      <c r="AJ146" s="20"/>
      <c r="AK146" s="20"/>
      <c r="AL146" s="20"/>
      <c r="AM146" s="20"/>
      <c r="AN146" s="26"/>
      <c r="AO146" s="26"/>
      <c r="AP146" s="26"/>
      <c r="AQ146" s="26"/>
      <c r="AR146" s="26"/>
      <c r="AS146" s="26"/>
      <c r="AT146" s="26"/>
    </row>
    <row r="147">
      <c r="A147" s="20">
        <v>145.0</v>
      </c>
      <c r="B147" s="29" t="s">
        <v>233</v>
      </c>
      <c r="C147" s="30"/>
      <c r="D147" s="20"/>
      <c r="E147" s="20"/>
      <c r="F147" s="20"/>
      <c r="G147" s="20"/>
      <c r="H147" s="33" t="s">
        <v>65</v>
      </c>
      <c r="I147" s="33" t="s">
        <v>74</v>
      </c>
      <c r="J147" s="21"/>
      <c r="K147" s="20" t="str">
        <f t="shared" si="1"/>
        <v>ROADS,TRANSPORT AND PUBLIC WORKS</v>
      </c>
      <c r="L147" s="20" t="s">
        <v>107</v>
      </c>
      <c r="M147" s="20" t="str">
        <f t="shared" si="2"/>
        <v>ROADS,TRANSPORT AND PUBLIC WORKS</v>
      </c>
      <c r="N147" s="22" t="s">
        <v>119</v>
      </c>
      <c r="O147" s="22" t="s">
        <v>120</v>
      </c>
      <c r="P147" s="20" t="s">
        <v>121</v>
      </c>
      <c r="Q147" s="20" t="s">
        <v>121</v>
      </c>
      <c r="R147" s="30">
        <v>3306000.0</v>
      </c>
      <c r="S147" s="30">
        <v>3306000.0</v>
      </c>
      <c r="T147" s="30">
        <v>3306000.0</v>
      </c>
      <c r="U147" s="20" t="s">
        <v>71</v>
      </c>
      <c r="V147" s="20"/>
      <c r="W147" s="30">
        <v>3306000.0</v>
      </c>
      <c r="X147" s="20"/>
      <c r="Y147" s="30">
        <v>3306000.0</v>
      </c>
      <c r="Z147" s="24">
        <f t="shared" si="3"/>
        <v>1</v>
      </c>
      <c r="AA147" s="23">
        <f t="shared" si="5"/>
        <v>3306000</v>
      </c>
      <c r="AB147" s="20"/>
      <c r="AC147" s="25">
        <f t="shared" si="4"/>
        <v>0</v>
      </c>
      <c r="AD147" s="20" t="s">
        <v>72</v>
      </c>
      <c r="AE147" s="20"/>
      <c r="AF147" s="20"/>
      <c r="AG147" s="20"/>
      <c r="AH147" s="20"/>
      <c r="AI147" s="20"/>
      <c r="AJ147" s="20"/>
      <c r="AK147" s="20"/>
      <c r="AL147" s="20"/>
      <c r="AM147" s="20"/>
      <c r="AN147" s="26"/>
      <c r="AO147" s="26"/>
      <c r="AP147" s="26"/>
      <c r="AQ147" s="26"/>
      <c r="AR147" s="26"/>
      <c r="AS147" s="26"/>
      <c r="AT147" s="26"/>
    </row>
    <row r="148">
      <c r="A148" s="20">
        <v>146.0</v>
      </c>
      <c r="B148" s="29" t="s">
        <v>234</v>
      </c>
      <c r="C148" s="30"/>
      <c r="D148" s="20"/>
      <c r="E148" s="20"/>
      <c r="F148" s="20"/>
      <c r="G148" s="20"/>
      <c r="H148" s="33" t="s">
        <v>65</v>
      </c>
      <c r="I148" s="33" t="s">
        <v>66</v>
      </c>
      <c r="J148" s="21"/>
      <c r="K148" s="20" t="str">
        <f t="shared" si="1"/>
        <v>ROADS,TRANSPORT AND PUBLIC WORKS</v>
      </c>
      <c r="L148" s="20" t="s">
        <v>107</v>
      </c>
      <c r="M148" s="20" t="str">
        <f t="shared" si="2"/>
        <v>ROADS,TRANSPORT AND PUBLIC WORKS</v>
      </c>
      <c r="N148" s="22" t="s">
        <v>119</v>
      </c>
      <c r="O148" s="22" t="s">
        <v>120</v>
      </c>
      <c r="P148" s="20" t="s">
        <v>121</v>
      </c>
      <c r="Q148" s="20" t="s">
        <v>121</v>
      </c>
      <c r="R148" s="30">
        <v>3317901.6</v>
      </c>
      <c r="S148" s="30">
        <v>3317901.6</v>
      </c>
      <c r="T148" s="30">
        <v>3317901.6</v>
      </c>
      <c r="U148" s="20" t="s">
        <v>71</v>
      </c>
      <c r="V148" s="20"/>
      <c r="W148" s="30">
        <v>3317901.6</v>
      </c>
      <c r="X148" s="20"/>
      <c r="Y148" s="30">
        <v>3317901.6</v>
      </c>
      <c r="Z148" s="24">
        <f t="shared" si="3"/>
        <v>1</v>
      </c>
      <c r="AA148" s="23">
        <f t="shared" si="5"/>
        <v>3317901.6</v>
      </c>
      <c r="AB148" s="20"/>
      <c r="AC148" s="25">
        <f t="shared" si="4"/>
        <v>0</v>
      </c>
      <c r="AD148" s="20" t="s">
        <v>72</v>
      </c>
      <c r="AE148" s="20"/>
      <c r="AF148" s="20"/>
      <c r="AG148" s="20"/>
      <c r="AH148" s="20"/>
      <c r="AI148" s="20"/>
      <c r="AJ148" s="20"/>
      <c r="AK148" s="20"/>
      <c r="AL148" s="20"/>
      <c r="AM148" s="20"/>
      <c r="AN148" s="26"/>
      <c r="AO148" s="26"/>
      <c r="AP148" s="26"/>
      <c r="AQ148" s="26"/>
      <c r="AR148" s="26"/>
      <c r="AS148" s="26"/>
      <c r="AT148" s="26"/>
    </row>
    <row r="149">
      <c r="A149" s="20">
        <v>147.0</v>
      </c>
      <c r="B149" s="29" t="s">
        <v>235</v>
      </c>
      <c r="C149" s="30"/>
      <c r="D149" s="20"/>
      <c r="E149" s="20"/>
      <c r="F149" s="20"/>
      <c r="G149" s="20"/>
      <c r="H149" s="33" t="s">
        <v>65</v>
      </c>
      <c r="I149" s="33" t="s">
        <v>90</v>
      </c>
      <c r="J149" s="21"/>
      <c r="K149" s="20" t="str">
        <f t="shared" si="1"/>
        <v>ROADS,TRANSPORT AND PUBLIC WORKS</v>
      </c>
      <c r="L149" s="20" t="s">
        <v>107</v>
      </c>
      <c r="M149" s="20" t="str">
        <f t="shared" si="2"/>
        <v>ROADS,TRANSPORT AND PUBLIC WORKS</v>
      </c>
      <c r="N149" s="22" t="s">
        <v>119</v>
      </c>
      <c r="O149" s="22" t="s">
        <v>120</v>
      </c>
      <c r="P149" s="20" t="s">
        <v>121</v>
      </c>
      <c r="Q149" s="20" t="s">
        <v>121</v>
      </c>
      <c r="R149" s="30">
        <v>3783827.2</v>
      </c>
      <c r="S149" s="30">
        <v>3783827.2</v>
      </c>
      <c r="T149" s="30">
        <v>3783827.2</v>
      </c>
      <c r="U149" s="20" t="s">
        <v>71</v>
      </c>
      <c r="V149" s="20"/>
      <c r="W149" s="30">
        <v>3783827.2</v>
      </c>
      <c r="X149" s="20"/>
      <c r="Y149" s="30">
        <v>3783827.2</v>
      </c>
      <c r="Z149" s="24">
        <f t="shared" si="3"/>
        <v>1</v>
      </c>
      <c r="AA149" s="23">
        <f t="shared" si="5"/>
        <v>3783827.2</v>
      </c>
      <c r="AB149" s="20"/>
      <c r="AC149" s="25">
        <f t="shared" si="4"/>
        <v>0</v>
      </c>
      <c r="AD149" s="20" t="s">
        <v>72</v>
      </c>
      <c r="AE149" s="20"/>
      <c r="AF149" s="20"/>
      <c r="AG149" s="20"/>
      <c r="AH149" s="20"/>
      <c r="AI149" s="20"/>
      <c r="AJ149" s="20"/>
      <c r="AK149" s="20"/>
      <c r="AL149" s="20"/>
      <c r="AM149" s="20"/>
      <c r="AN149" s="26"/>
      <c r="AO149" s="26"/>
      <c r="AP149" s="26"/>
      <c r="AQ149" s="26"/>
      <c r="AR149" s="26"/>
      <c r="AS149" s="26"/>
      <c r="AT149" s="26"/>
    </row>
    <row r="150">
      <c r="A150" s="20">
        <v>148.0</v>
      </c>
      <c r="B150" s="29" t="s">
        <v>236</v>
      </c>
      <c r="C150" s="30"/>
      <c r="D150" s="20"/>
      <c r="E150" s="20"/>
      <c r="F150" s="20"/>
      <c r="G150" s="20"/>
      <c r="H150" s="33" t="s">
        <v>65</v>
      </c>
      <c r="I150" s="33" t="s">
        <v>90</v>
      </c>
      <c r="J150" s="21"/>
      <c r="K150" s="20" t="str">
        <f t="shared" si="1"/>
        <v>ROADS,TRANSPORT AND PUBLIC WORKS</v>
      </c>
      <c r="L150" s="20" t="s">
        <v>107</v>
      </c>
      <c r="M150" s="20" t="str">
        <f t="shared" si="2"/>
        <v>ROADS,TRANSPORT AND PUBLIC WORKS</v>
      </c>
      <c r="N150" s="22" t="s">
        <v>119</v>
      </c>
      <c r="O150" s="22" t="s">
        <v>120</v>
      </c>
      <c r="P150" s="20" t="s">
        <v>121</v>
      </c>
      <c r="Q150" s="20" t="s">
        <v>121</v>
      </c>
      <c r="R150" s="30">
        <v>3794814.3</v>
      </c>
      <c r="S150" s="30">
        <v>3794814.3</v>
      </c>
      <c r="T150" s="30">
        <v>3794814.3</v>
      </c>
      <c r="U150" s="20" t="s">
        <v>71</v>
      </c>
      <c r="V150" s="20"/>
      <c r="W150" s="30">
        <v>3794814.3</v>
      </c>
      <c r="X150" s="20"/>
      <c r="Y150" s="30">
        <v>3794814.3</v>
      </c>
      <c r="Z150" s="24">
        <f t="shared" si="3"/>
        <v>1</v>
      </c>
      <c r="AA150" s="23">
        <f t="shared" si="5"/>
        <v>3794814.3</v>
      </c>
      <c r="AB150" s="20"/>
      <c r="AC150" s="25">
        <f t="shared" si="4"/>
        <v>0</v>
      </c>
      <c r="AD150" s="20" t="s">
        <v>72</v>
      </c>
      <c r="AE150" s="20"/>
      <c r="AF150" s="20"/>
      <c r="AG150" s="20"/>
      <c r="AH150" s="20"/>
      <c r="AI150" s="20"/>
      <c r="AJ150" s="20"/>
      <c r="AK150" s="20"/>
      <c r="AL150" s="20"/>
      <c r="AM150" s="20"/>
      <c r="AN150" s="26"/>
      <c r="AO150" s="26"/>
      <c r="AP150" s="26"/>
      <c r="AQ150" s="26"/>
      <c r="AR150" s="26"/>
      <c r="AS150" s="26"/>
      <c r="AT150" s="26"/>
    </row>
    <row r="151">
      <c r="A151" s="20">
        <v>149.0</v>
      </c>
      <c r="B151" s="29" t="s">
        <v>237</v>
      </c>
      <c r="C151" s="30"/>
      <c r="D151" s="20"/>
      <c r="E151" s="20"/>
      <c r="F151" s="20"/>
      <c r="G151" s="20"/>
      <c r="H151" s="33" t="s">
        <v>65</v>
      </c>
      <c r="I151" s="33" t="s">
        <v>66</v>
      </c>
      <c r="J151" s="21"/>
      <c r="K151" s="20" t="str">
        <f t="shared" si="1"/>
        <v>ROADS,TRANSPORT AND PUBLIC WORKS</v>
      </c>
      <c r="L151" s="20" t="s">
        <v>107</v>
      </c>
      <c r="M151" s="20" t="str">
        <f t="shared" si="2"/>
        <v>ROADS,TRANSPORT AND PUBLIC WORKS</v>
      </c>
      <c r="N151" s="22" t="s">
        <v>119</v>
      </c>
      <c r="O151" s="22" t="s">
        <v>120</v>
      </c>
      <c r="P151" s="20" t="s">
        <v>121</v>
      </c>
      <c r="Q151" s="20" t="s">
        <v>121</v>
      </c>
      <c r="R151" s="30">
        <v>4659412.65</v>
      </c>
      <c r="S151" s="30">
        <v>4659412.65</v>
      </c>
      <c r="T151" s="30">
        <v>4659412.65</v>
      </c>
      <c r="U151" s="20" t="s">
        <v>71</v>
      </c>
      <c r="V151" s="20"/>
      <c r="W151" s="30">
        <v>4659412.65</v>
      </c>
      <c r="X151" s="20"/>
      <c r="Y151" s="30">
        <v>4659412.65</v>
      </c>
      <c r="Z151" s="24">
        <f t="shared" si="3"/>
        <v>1</v>
      </c>
      <c r="AA151" s="23">
        <f t="shared" si="5"/>
        <v>4659412.65</v>
      </c>
      <c r="AB151" s="20"/>
      <c r="AC151" s="25">
        <f t="shared" si="4"/>
        <v>0</v>
      </c>
      <c r="AD151" s="20" t="s">
        <v>72</v>
      </c>
      <c r="AE151" s="20"/>
      <c r="AF151" s="20"/>
      <c r="AG151" s="20"/>
      <c r="AH151" s="20"/>
      <c r="AI151" s="20"/>
      <c r="AJ151" s="20"/>
      <c r="AK151" s="20"/>
      <c r="AL151" s="20"/>
      <c r="AM151" s="20"/>
      <c r="AN151" s="26"/>
      <c r="AO151" s="26"/>
      <c r="AP151" s="26"/>
      <c r="AQ151" s="26"/>
      <c r="AR151" s="26"/>
      <c r="AS151" s="26"/>
      <c r="AT151" s="26"/>
    </row>
    <row r="152">
      <c r="A152" s="20">
        <v>150.0</v>
      </c>
      <c r="B152" s="29" t="s">
        <v>238</v>
      </c>
      <c r="C152" s="30"/>
      <c r="D152" s="20"/>
      <c r="E152" s="20"/>
      <c r="F152" s="20"/>
      <c r="G152" s="20"/>
      <c r="H152" s="33" t="s">
        <v>65</v>
      </c>
      <c r="I152" s="33" t="s">
        <v>90</v>
      </c>
      <c r="J152" s="21"/>
      <c r="K152" s="20" t="str">
        <f t="shared" si="1"/>
        <v>ROADS,TRANSPORT AND PUBLIC WORKS</v>
      </c>
      <c r="L152" s="20" t="s">
        <v>107</v>
      </c>
      <c r="M152" s="20" t="str">
        <f t="shared" si="2"/>
        <v>ROADS,TRANSPORT AND PUBLIC WORKS</v>
      </c>
      <c r="N152" s="22" t="s">
        <v>119</v>
      </c>
      <c r="O152" s="22" t="s">
        <v>120</v>
      </c>
      <c r="P152" s="20" t="s">
        <v>121</v>
      </c>
      <c r="Q152" s="20" t="s">
        <v>121</v>
      </c>
      <c r="R152" s="30">
        <v>4674684.0</v>
      </c>
      <c r="S152" s="30">
        <v>4674684.0</v>
      </c>
      <c r="T152" s="30">
        <v>4674684.0</v>
      </c>
      <c r="U152" s="20" t="s">
        <v>71</v>
      </c>
      <c r="V152" s="20"/>
      <c r="W152" s="30">
        <v>4674684.0</v>
      </c>
      <c r="X152" s="20"/>
      <c r="Y152" s="30">
        <v>4674684.0</v>
      </c>
      <c r="Z152" s="24">
        <f t="shared" si="3"/>
        <v>1</v>
      </c>
      <c r="AA152" s="23">
        <f t="shared" si="5"/>
        <v>4674684</v>
      </c>
      <c r="AB152" s="20"/>
      <c r="AC152" s="25">
        <f t="shared" si="4"/>
        <v>0</v>
      </c>
      <c r="AD152" s="20" t="s">
        <v>72</v>
      </c>
      <c r="AE152" s="20"/>
      <c r="AF152" s="20"/>
      <c r="AG152" s="20"/>
      <c r="AH152" s="20"/>
      <c r="AI152" s="20"/>
      <c r="AJ152" s="20"/>
      <c r="AK152" s="20"/>
      <c r="AL152" s="20"/>
      <c r="AM152" s="20"/>
      <c r="AN152" s="26"/>
      <c r="AO152" s="26"/>
      <c r="AP152" s="26"/>
      <c r="AQ152" s="26"/>
      <c r="AR152" s="26"/>
      <c r="AS152" s="26"/>
      <c r="AT152" s="26"/>
    </row>
    <row r="153">
      <c r="A153" s="20">
        <v>151.0</v>
      </c>
      <c r="B153" s="29" t="s">
        <v>239</v>
      </c>
      <c r="C153" s="30"/>
      <c r="D153" s="20"/>
      <c r="E153" s="20"/>
      <c r="F153" s="20"/>
      <c r="G153" s="20"/>
      <c r="H153" s="33" t="s">
        <v>113</v>
      </c>
      <c r="I153" s="33" t="s">
        <v>66</v>
      </c>
      <c r="J153" s="21"/>
      <c r="K153" s="20" t="str">
        <f t="shared" si="1"/>
        <v>ROADS,TRANSPORT AND PUBLIC WORKS</v>
      </c>
      <c r="L153" s="20" t="s">
        <v>107</v>
      </c>
      <c r="M153" s="20" t="str">
        <f t="shared" si="2"/>
        <v>ROADS,TRANSPORT AND PUBLIC WORKS</v>
      </c>
      <c r="N153" s="22" t="s">
        <v>119</v>
      </c>
      <c r="O153" s="22" t="s">
        <v>120</v>
      </c>
      <c r="P153" s="20" t="s">
        <v>121</v>
      </c>
      <c r="Q153" s="20" t="s">
        <v>121</v>
      </c>
      <c r="R153" s="30">
        <v>4701132.0</v>
      </c>
      <c r="S153" s="30">
        <v>4701132.0</v>
      </c>
      <c r="T153" s="30">
        <v>4701132.0</v>
      </c>
      <c r="U153" s="20" t="s">
        <v>71</v>
      </c>
      <c r="V153" s="20"/>
      <c r="W153" s="30">
        <v>4701132.0</v>
      </c>
      <c r="X153" s="20"/>
      <c r="Y153" s="30">
        <v>4701132.0</v>
      </c>
      <c r="Z153" s="24">
        <f t="shared" si="3"/>
        <v>1</v>
      </c>
      <c r="AA153" s="23">
        <f t="shared" si="5"/>
        <v>4701132</v>
      </c>
      <c r="AB153" s="20"/>
      <c r="AC153" s="25">
        <f t="shared" si="4"/>
        <v>0</v>
      </c>
      <c r="AD153" s="20" t="s">
        <v>72</v>
      </c>
      <c r="AE153" s="20"/>
      <c r="AF153" s="20"/>
      <c r="AG153" s="20"/>
      <c r="AH153" s="20"/>
      <c r="AI153" s="20"/>
      <c r="AJ153" s="20"/>
      <c r="AK153" s="20"/>
      <c r="AL153" s="20"/>
      <c r="AM153" s="20"/>
      <c r="AN153" s="26"/>
      <c r="AO153" s="26"/>
      <c r="AP153" s="26"/>
      <c r="AQ153" s="26"/>
      <c r="AR153" s="26"/>
      <c r="AS153" s="26"/>
      <c r="AT153" s="26"/>
    </row>
    <row r="154">
      <c r="A154" s="20">
        <v>152.0</v>
      </c>
      <c r="B154" s="29" t="s">
        <v>240</v>
      </c>
      <c r="C154" s="30"/>
      <c r="D154" s="20"/>
      <c r="E154" s="20"/>
      <c r="F154" s="20"/>
      <c r="G154" s="20"/>
      <c r="H154" s="33" t="s">
        <v>65</v>
      </c>
      <c r="I154" s="33" t="s">
        <v>66</v>
      </c>
      <c r="J154" s="21"/>
      <c r="K154" s="20" t="str">
        <f t="shared" si="1"/>
        <v>ROADS,TRANSPORT AND PUBLIC WORKS</v>
      </c>
      <c r="L154" s="20" t="s">
        <v>107</v>
      </c>
      <c r="M154" s="20" t="str">
        <f t="shared" si="2"/>
        <v>ROADS,TRANSPORT AND PUBLIC WORKS</v>
      </c>
      <c r="N154" s="22" t="s">
        <v>119</v>
      </c>
      <c r="O154" s="22" t="s">
        <v>120</v>
      </c>
      <c r="P154" s="20" t="s">
        <v>121</v>
      </c>
      <c r="Q154" s="20" t="s">
        <v>121</v>
      </c>
      <c r="R154" s="30">
        <v>3263250.0</v>
      </c>
      <c r="S154" s="30">
        <v>3263250.0</v>
      </c>
      <c r="T154" s="30">
        <v>3263250.0</v>
      </c>
      <c r="U154" s="20" t="s">
        <v>71</v>
      </c>
      <c r="V154" s="20"/>
      <c r="W154" s="30">
        <v>3263250.0</v>
      </c>
      <c r="X154" s="20"/>
      <c r="Y154" s="30">
        <v>3263250.0</v>
      </c>
      <c r="Z154" s="24">
        <f t="shared" si="3"/>
        <v>1</v>
      </c>
      <c r="AA154" s="23">
        <f t="shared" si="5"/>
        <v>3263250</v>
      </c>
      <c r="AB154" s="20"/>
      <c r="AC154" s="25">
        <f t="shared" si="4"/>
        <v>0</v>
      </c>
      <c r="AD154" s="20" t="s">
        <v>72</v>
      </c>
      <c r="AE154" s="20"/>
      <c r="AF154" s="20"/>
      <c r="AG154" s="20"/>
      <c r="AH154" s="20"/>
      <c r="AI154" s="20"/>
      <c r="AJ154" s="20"/>
      <c r="AK154" s="20"/>
      <c r="AL154" s="20"/>
      <c r="AM154" s="20"/>
      <c r="AN154" s="26"/>
      <c r="AO154" s="26"/>
      <c r="AP154" s="26"/>
      <c r="AQ154" s="26"/>
      <c r="AR154" s="26"/>
      <c r="AS154" s="26"/>
      <c r="AT154" s="26"/>
    </row>
    <row r="155">
      <c r="A155" s="20">
        <v>153.0</v>
      </c>
      <c r="B155" s="29" t="s">
        <v>241</v>
      </c>
      <c r="C155" s="30"/>
      <c r="D155" s="20"/>
      <c r="E155" s="20"/>
      <c r="F155" s="20"/>
      <c r="G155" s="20"/>
      <c r="H155" s="33" t="s">
        <v>65</v>
      </c>
      <c r="I155" s="33" t="s">
        <v>90</v>
      </c>
      <c r="J155" s="21"/>
      <c r="K155" s="20" t="str">
        <f t="shared" si="1"/>
        <v>ROADS,TRANSPORT AND PUBLIC WORKS</v>
      </c>
      <c r="L155" s="20" t="s">
        <v>107</v>
      </c>
      <c r="M155" s="20" t="str">
        <f t="shared" si="2"/>
        <v>ROADS,TRANSPORT AND PUBLIC WORKS</v>
      </c>
      <c r="N155" s="22" t="s">
        <v>119</v>
      </c>
      <c r="O155" s="22" t="s">
        <v>120</v>
      </c>
      <c r="P155" s="20" t="s">
        <v>121</v>
      </c>
      <c r="Q155" s="20" t="s">
        <v>121</v>
      </c>
      <c r="R155" s="30">
        <v>4277124.0</v>
      </c>
      <c r="S155" s="30">
        <v>4277124.0</v>
      </c>
      <c r="T155" s="30">
        <v>4277124.0</v>
      </c>
      <c r="U155" s="20" t="s">
        <v>71</v>
      </c>
      <c r="V155" s="20"/>
      <c r="W155" s="30">
        <v>4277124.0</v>
      </c>
      <c r="X155" s="20"/>
      <c r="Y155" s="30">
        <v>4277124.0</v>
      </c>
      <c r="Z155" s="24">
        <f t="shared" si="3"/>
        <v>1</v>
      </c>
      <c r="AA155" s="23">
        <f t="shared" si="5"/>
        <v>4277124</v>
      </c>
      <c r="AB155" s="20"/>
      <c r="AC155" s="25">
        <f t="shared" si="4"/>
        <v>0</v>
      </c>
      <c r="AD155" s="20" t="s">
        <v>72</v>
      </c>
      <c r="AE155" s="20"/>
      <c r="AF155" s="20"/>
      <c r="AG155" s="20"/>
      <c r="AH155" s="20"/>
      <c r="AI155" s="20"/>
      <c r="AJ155" s="20"/>
      <c r="AK155" s="20"/>
      <c r="AL155" s="20"/>
      <c r="AM155" s="20"/>
      <c r="AN155" s="26"/>
      <c r="AO155" s="26"/>
      <c r="AP155" s="26"/>
      <c r="AQ155" s="26"/>
      <c r="AR155" s="26"/>
      <c r="AS155" s="26"/>
      <c r="AT155" s="26"/>
    </row>
    <row r="156">
      <c r="A156" s="20">
        <v>154.0</v>
      </c>
      <c r="B156" s="29" t="s">
        <v>242</v>
      </c>
      <c r="C156" s="30"/>
      <c r="D156" s="20"/>
      <c r="E156" s="20"/>
      <c r="F156" s="20"/>
      <c r="G156" s="20"/>
      <c r="H156" s="33" t="s">
        <v>65</v>
      </c>
      <c r="I156" s="33" t="s">
        <v>66</v>
      </c>
      <c r="J156" s="21"/>
      <c r="K156" s="20" t="str">
        <f t="shared" si="1"/>
        <v>ROADS,TRANSPORT AND PUBLIC WORKS</v>
      </c>
      <c r="L156" s="20" t="s">
        <v>107</v>
      </c>
      <c r="M156" s="20" t="str">
        <f t="shared" si="2"/>
        <v>ROADS,TRANSPORT AND PUBLIC WORKS</v>
      </c>
      <c r="N156" s="22" t="s">
        <v>119</v>
      </c>
      <c r="O156" s="22" t="s">
        <v>120</v>
      </c>
      <c r="P156" s="20" t="s">
        <v>121</v>
      </c>
      <c r="Q156" s="20" t="s">
        <v>121</v>
      </c>
      <c r="R156" s="30">
        <v>2849209.6</v>
      </c>
      <c r="S156" s="30">
        <v>2849209.6</v>
      </c>
      <c r="T156" s="30">
        <v>2849209.6</v>
      </c>
      <c r="U156" s="20" t="s">
        <v>71</v>
      </c>
      <c r="V156" s="20"/>
      <c r="W156" s="30">
        <v>2849209.6</v>
      </c>
      <c r="X156" s="20"/>
      <c r="Y156" s="30">
        <v>2849209.6</v>
      </c>
      <c r="Z156" s="24">
        <f t="shared" si="3"/>
        <v>1</v>
      </c>
      <c r="AA156" s="23">
        <f t="shared" si="5"/>
        <v>2849209.6</v>
      </c>
      <c r="AB156" s="20"/>
      <c r="AC156" s="25">
        <f t="shared" si="4"/>
        <v>0</v>
      </c>
      <c r="AD156" s="20" t="s">
        <v>72</v>
      </c>
      <c r="AE156" s="20"/>
      <c r="AF156" s="20"/>
      <c r="AG156" s="20"/>
      <c r="AH156" s="20"/>
      <c r="AI156" s="20"/>
      <c r="AJ156" s="20"/>
      <c r="AK156" s="20"/>
      <c r="AL156" s="20"/>
      <c r="AM156" s="20"/>
      <c r="AN156" s="26"/>
      <c r="AO156" s="26"/>
      <c r="AP156" s="26"/>
      <c r="AQ156" s="26"/>
      <c r="AR156" s="26"/>
      <c r="AS156" s="26"/>
      <c r="AT156" s="26"/>
    </row>
    <row r="157">
      <c r="A157" s="20">
        <v>155.0</v>
      </c>
      <c r="B157" s="29" t="s">
        <v>243</v>
      </c>
      <c r="C157" s="30"/>
      <c r="D157" s="20"/>
      <c r="E157" s="20"/>
      <c r="F157" s="20"/>
      <c r="G157" s="20"/>
      <c r="H157" s="33" t="s">
        <v>65</v>
      </c>
      <c r="I157" s="33" t="s">
        <v>87</v>
      </c>
      <c r="J157" s="21"/>
      <c r="K157" s="20" t="str">
        <f t="shared" si="1"/>
        <v>ROADS,TRANSPORT AND PUBLIC WORKS</v>
      </c>
      <c r="L157" s="20" t="s">
        <v>107</v>
      </c>
      <c r="M157" s="20" t="str">
        <f t="shared" si="2"/>
        <v>ROADS,TRANSPORT AND PUBLIC WORKS</v>
      </c>
      <c r="N157" s="22" t="s">
        <v>119</v>
      </c>
      <c r="O157" s="22" t="s">
        <v>120</v>
      </c>
      <c r="P157" s="20" t="s">
        <v>121</v>
      </c>
      <c r="Q157" s="20" t="s">
        <v>121</v>
      </c>
      <c r="R157" s="30">
        <v>2100000.0</v>
      </c>
      <c r="S157" s="30">
        <v>2100000.0</v>
      </c>
      <c r="T157" s="30">
        <v>2100000.0</v>
      </c>
      <c r="U157" s="20" t="s">
        <v>71</v>
      </c>
      <c r="V157" s="20"/>
      <c r="W157" s="30">
        <v>2100000.0</v>
      </c>
      <c r="X157" s="20"/>
      <c r="Y157" s="30">
        <v>2100000.0</v>
      </c>
      <c r="Z157" s="24">
        <f t="shared" si="3"/>
        <v>1</v>
      </c>
      <c r="AA157" s="23">
        <f t="shared" si="5"/>
        <v>2100000</v>
      </c>
      <c r="AB157" s="20"/>
      <c r="AC157" s="25">
        <f t="shared" si="4"/>
        <v>0</v>
      </c>
      <c r="AD157" s="20" t="s">
        <v>72</v>
      </c>
      <c r="AE157" s="20"/>
      <c r="AF157" s="20"/>
      <c r="AG157" s="20"/>
      <c r="AH157" s="20"/>
      <c r="AI157" s="20"/>
      <c r="AJ157" s="20"/>
      <c r="AK157" s="20"/>
      <c r="AL157" s="20"/>
      <c r="AM157" s="20"/>
      <c r="AN157" s="26"/>
      <c r="AO157" s="26"/>
      <c r="AP157" s="26"/>
      <c r="AQ157" s="26"/>
      <c r="AR157" s="26"/>
      <c r="AS157" s="26"/>
      <c r="AT157" s="26"/>
    </row>
    <row r="158">
      <c r="A158" s="20">
        <v>156.0</v>
      </c>
      <c r="B158" s="29" t="s">
        <v>244</v>
      </c>
      <c r="C158" s="30"/>
      <c r="D158" s="20"/>
      <c r="E158" s="20"/>
      <c r="F158" s="20"/>
      <c r="G158" s="20"/>
      <c r="H158" s="33" t="s">
        <v>65</v>
      </c>
      <c r="I158" s="33" t="s">
        <v>66</v>
      </c>
      <c r="J158" s="21"/>
      <c r="K158" s="20" t="str">
        <f t="shared" si="1"/>
        <v>ROADS,TRANSPORT AND PUBLIC WORKS</v>
      </c>
      <c r="L158" s="20" t="s">
        <v>107</v>
      </c>
      <c r="M158" s="20" t="str">
        <f t="shared" si="2"/>
        <v>ROADS,TRANSPORT AND PUBLIC WORKS</v>
      </c>
      <c r="N158" s="22" t="s">
        <v>119</v>
      </c>
      <c r="O158" s="22" t="s">
        <v>120</v>
      </c>
      <c r="P158" s="20" t="s">
        <v>121</v>
      </c>
      <c r="Q158" s="20" t="s">
        <v>121</v>
      </c>
      <c r="R158" s="30">
        <v>3705000.0</v>
      </c>
      <c r="S158" s="30">
        <v>3705000.0</v>
      </c>
      <c r="T158" s="30">
        <v>3705000.0</v>
      </c>
      <c r="U158" s="20" t="s">
        <v>71</v>
      </c>
      <c r="V158" s="20"/>
      <c r="W158" s="30">
        <v>3705000.0</v>
      </c>
      <c r="X158" s="20"/>
      <c r="Y158" s="30">
        <v>3705000.0</v>
      </c>
      <c r="Z158" s="24">
        <f t="shared" si="3"/>
        <v>1</v>
      </c>
      <c r="AA158" s="23">
        <f t="shared" si="5"/>
        <v>3705000</v>
      </c>
      <c r="AB158" s="20"/>
      <c r="AC158" s="25">
        <f t="shared" si="4"/>
        <v>0</v>
      </c>
      <c r="AD158" s="20" t="s">
        <v>72</v>
      </c>
      <c r="AE158" s="20"/>
      <c r="AF158" s="20"/>
      <c r="AG158" s="20"/>
      <c r="AH158" s="20"/>
      <c r="AI158" s="20"/>
      <c r="AJ158" s="20"/>
      <c r="AK158" s="20"/>
      <c r="AL158" s="20"/>
      <c r="AM158" s="20"/>
      <c r="AN158" s="26"/>
      <c r="AO158" s="26"/>
      <c r="AP158" s="26"/>
      <c r="AQ158" s="26"/>
      <c r="AR158" s="26"/>
      <c r="AS158" s="26"/>
      <c r="AT158" s="26"/>
    </row>
    <row r="159">
      <c r="A159" s="20">
        <v>157.0</v>
      </c>
      <c r="B159" s="29" t="s">
        <v>245</v>
      </c>
      <c r="C159" s="30"/>
      <c r="D159" s="20"/>
      <c r="E159" s="20"/>
      <c r="F159" s="20"/>
      <c r="G159" s="20"/>
      <c r="H159" s="33" t="s">
        <v>65</v>
      </c>
      <c r="I159" s="33" t="s">
        <v>66</v>
      </c>
      <c r="J159" s="21"/>
      <c r="K159" s="20" t="str">
        <f t="shared" si="1"/>
        <v>ROADS,TRANSPORT AND PUBLIC WORKS</v>
      </c>
      <c r="L159" s="20" t="s">
        <v>107</v>
      </c>
      <c r="M159" s="20" t="str">
        <f t="shared" si="2"/>
        <v>ROADS,TRANSPORT AND PUBLIC WORKS</v>
      </c>
      <c r="N159" s="22" t="s">
        <v>119</v>
      </c>
      <c r="O159" s="22" t="s">
        <v>120</v>
      </c>
      <c r="P159" s="20" t="s">
        <v>121</v>
      </c>
      <c r="Q159" s="20" t="s">
        <v>121</v>
      </c>
      <c r="R159" s="30">
        <v>4702785.0</v>
      </c>
      <c r="S159" s="30">
        <v>4702785.0</v>
      </c>
      <c r="T159" s="30">
        <v>4702785.0</v>
      </c>
      <c r="U159" s="20" t="s">
        <v>71</v>
      </c>
      <c r="V159" s="20"/>
      <c r="W159" s="30">
        <v>4702785.0</v>
      </c>
      <c r="X159" s="20"/>
      <c r="Y159" s="30">
        <v>4702785.0</v>
      </c>
      <c r="Z159" s="24">
        <f t="shared" si="3"/>
        <v>1</v>
      </c>
      <c r="AA159" s="23">
        <f t="shared" si="5"/>
        <v>4702785</v>
      </c>
      <c r="AB159" s="20"/>
      <c r="AC159" s="25">
        <f t="shared" si="4"/>
        <v>0</v>
      </c>
      <c r="AD159" s="20" t="s">
        <v>72</v>
      </c>
      <c r="AE159" s="20"/>
      <c r="AF159" s="20"/>
      <c r="AG159" s="20"/>
      <c r="AH159" s="20"/>
      <c r="AI159" s="20"/>
      <c r="AJ159" s="20"/>
      <c r="AK159" s="20"/>
      <c r="AL159" s="20"/>
      <c r="AM159" s="20"/>
      <c r="AN159" s="26"/>
      <c r="AO159" s="26"/>
      <c r="AP159" s="26"/>
      <c r="AQ159" s="26"/>
      <c r="AR159" s="26"/>
      <c r="AS159" s="26"/>
      <c r="AT159" s="26"/>
    </row>
    <row r="160">
      <c r="A160" s="20">
        <v>158.0</v>
      </c>
      <c r="B160" s="29" t="s">
        <v>246</v>
      </c>
      <c r="C160" s="30"/>
      <c r="D160" s="20"/>
      <c r="E160" s="20"/>
      <c r="F160" s="20"/>
      <c r="G160" s="20"/>
      <c r="H160" s="33" t="s">
        <v>65</v>
      </c>
      <c r="I160" s="33" t="s">
        <v>66</v>
      </c>
      <c r="J160" s="21"/>
      <c r="K160" s="20" t="str">
        <f t="shared" si="1"/>
        <v>ROADS,TRANSPORT AND PUBLIC WORKS</v>
      </c>
      <c r="L160" s="20" t="s">
        <v>107</v>
      </c>
      <c r="M160" s="20" t="str">
        <f t="shared" si="2"/>
        <v>ROADS,TRANSPORT AND PUBLIC WORKS</v>
      </c>
      <c r="N160" s="22" t="s">
        <v>119</v>
      </c>
      <c r="O160" s="22" t="s">
        <v>120</v>
      </c>
      <c r="P160" s="20" t="s">
        <v>121</v>
      </c>
      <c r="Q160" s="20" t="s">
        <v>121</v>
      </c>
      <c r="R160" s="30">
        <v>4325790.0</v>
      </c>
      <c r="S160" s="30">
        <v>4325790.0</v>
      </c>
      <c r="T160" s="30">
        <v>4325790.0</v>
      </c>
      <c r="U160" s="20" t="s">
        <v>71</v>
      </c>
      <c r="V160" s="20"/>
      <c r="W160" s="30">
        <v>4325790.0</v>
      </c>
      <c r="X160" s="20"/>
      <c r="Y160" s="30">
        <v>4325790.0</v>
      </c>
      <c r="Z160" s="24">
        <f t="shared" si="3"/>
        <v>1</v>
      </c>
      <c r="AA160" s="23">
        <f t="shared" si="5"/>
        <v>4325790</v>
      </c>
      <c r="AB160" s="20"/>
      <c r="AC160" s="25">
        <f t="shared" si="4"/>
        <v>0</v>
      </c>
      <c r="AD160" s="20" t="s">
        <v>72</v>
      </c>
      <c r="AE160" s="20"/>
      <c r="AF160" s="20"/>
      <c r="AG160" s="20"/>
      <c r="AH160" s="20"/>
      <c r="AI160" s="20"/>
      <c r="AJ160" s="20"/>
      <c r="AK160" s="20"/>
      <c r="AL160" s="20"/>
      <c r="AM160" s="20"/>
      <c r="AN160" s="26"/>
      <c r="AO160" s="26"/>
      <c r="AP160" s="26"/>
      <c r="AQ160" s="26"/>
      <c r="AR160" s="26"/>
      <c r="AS160" s="26"/>
      <c r="AT160" s="26"/>
    </row>
    <row r="161">
      <c r="A161" s="20">
        <v>159.0</v>
      </c>
      <c r="B161" s="29" t="s">
        <v>247</v>
      </c>
      <c r="C161" s="30"/>
      <c r="D161" s="20"/>
      <c r="E161" s="20"/>
      <c r="F161" s="20"/>
      <c r="G161" s="20"/>
      <c r="H161" s="33" t="s">
        <v>65</v>
      </c>
      <c r="I161" s="33" t="s">
        <v>66</v>
      </c>
      <c r="J161" s="21"/>
      <c r="K161" s="20" t="str">
        <f t="shared" si="1"/>
        <v>ROADS,TRANSPORT AND PUBLIC WORKS</v>
      </c>
      <c r="L161" s="20" t="s">
        <v>107</v>
      </c>
      <c r="M161" s="20" t="str">
        <f t="shared" si="2"/>
        <v>ROADS,TRANSPORT AND PUBLIC WORKS</v>
      </c>
      <c r="N161" s="22" t="s">
        <v>119</v>
      </c>
      <c r="O161" s="22" t="s">
        <v>120</v>
      </c>
      <c r="P161" s="20" t="s">
        <v>121</v>
      </c>
      <c r="Q161" s="20" t="s">
        <v>121</v>
      </c>
      <c r="R161" s="30">
        <v>2023500.0</v>
      </c>
      <c r="S161" s="30">
        <v>2023500.0</v>
      </c>
      <c r="T161" s="30">
        <v>2023500.0</v>
      </c>
      <c r="U161" s="20" t="s">
        <v>71</v>
      </c>
      <c r="V161" s="20"/>
      <c r="W161" s="30">
        <v>2023500.0</v>
      </c>
      <c r="X161" s="20"/>
      <c r="Y161" s="30">
        <v>2023500.0</v>
      </c>
      <c r="Z161" s="24">
        <f t="shared" si="3"/>
        <v>1</v>
      </c>
      <c r="AA161" s="23">
        <f t="shared" si="5"/>
        <v>2023500</v>
      </c>
      <c r="AB161" s="20"/>
      <c r="AC161" s="25">
        <f t="shared" si="4"/>
        <v>0</v>
      </c>
      <c r="AD161" s="20" t="s">
        <v>72</v>
      </c>
      <c r="AE161" s="20"/>
      <c r="AF161" s="20"/>
      <c r="AG161" s="20"/>
      <c r="AH161" s="20"/>
      <c r="AI161" s="20"/>
      <c r="AJ161" s="20"/>
      <c r="AK161" s="20"/>
      <c r="AL161" s="20"/>
      <c r="AM161" s="20"/>
      <c r="AN161" s="26"/>
      <c r="AO161" s="26"/>
      <c r="AP161" s="26"/>
      <c r="AQ161" s="26"/>
      <c r="AR161" s="26"/>
      <c r="AS161" s="26"/>
      <c r="AT161" s="26"/>
    </row>
    <row r="162">
      <c r="A162" s="20">
        <v>160.0</v>
      </c>
      <c r="B162" s="29" t="s">
        <v>248</v>
      </c>
      <c r="C162" s="30"/>
      <c r="D162" s="20"/>
      <c r="E162" s="20"/>
      <c r="F162" s="20"/>
      <c r="G162" s="20"/>
      <c r="H162" s="33" t="s">
        <v>65</v>
      </c>
      <c r="I162" s="33" t="s">
        <v>90</v>
      </c>
      <c r="J162" s="21"/>
      <c r="K162" s="20" t="str">
        <f t="shared" si="1"/>
        <v>ROADS,TRANSPORT AND PUBLIC WORKS</v>
      </c>
      <c r="L162" s="20" t="s">
        <v>107</v>
      </c>
      <c r="M162" s="20" t="str">
        <f t="shared" si="2"/>
        <v>ROADS,TRANSPORT AND PUBLIC WORKS</v>
      </c>
      <c r="N162" s="22" t="s">
        <v>119</v>
      </c>
      <c r="O162" s="22" t="s">
        <v>120</v>
      </c>
      <c r="P162" s="20" t="s">
        <v>121</v>
      </c>
      <c r="Q162" s="20" t="s">
        <v>121</v>
      </c>
      <c r="R162" s="30">
        <v>4730335.0</v>
      </c>
      <c r="S162" s="30">
        <v>4730335.0</v>
      </c>
      <c r="T162" s="30">
        <v>4730335.0</v>
      </c>
      <c r="U162" s="20" t="s">
        <v>71</v>
      </c>
      <c r="V162" s="20"/>
      <c r="W162" s="30">
        <v>4730335.0</v>
      </c>
      <c r="X162" s="20"/>
      <c r="Y162" s="30">
        <v>4730335.0</v>
      </c>
      <c r="Z162" s="24">
        <f t="shared" si="3"/>
        <v>1</v>
      </c>
      <c r="AA162" s="23">
        <f t="shared" si="5"/>
        <v>4730335</v>
      </c>
      <c r="AB162" s="20"/>
      <c r="AC162" s="25">
        <f t="shared" si="4"/>
        <v>0</v>
      </c>
      <c r="AD162" s="20" t="s">
        <v>72</v>
      </c>
      <c r="AE162" s="20"/>
      <c r="AF162" s="20"/>
      <c r="AG162" s="20"/>
      <c r="AH162" s="20"/>
      <c r="AI162" s="20"/>
      <c r="AJ162" s="20"/>
      <c r="AK162" s="20"/>
      <c r="AL162" s="20"/>
      <c r="AM162" s="20"/>
      <c r="AN162" s="26"/>
      <c r="AO162" s="26"/>
      <c r="AP162" s="26"/>
      <c r="AQ162" s="26"/>
      <c r="AR162" s="26"/>
      <c r="AS162" s="26"/>
      <c r="AT162" s="26"/>
    </row>
    <row r="163">
      <c r="A163" s="20">
        <v>161.0</v>
      </c>
      <c r="B163" s="29" t="s">
        <v>249</v>
      </c>
      <c r="C163" s="30"/>
      <c r="D163" s="20"/>
      <c r="E163" s="20"/>
      <c r="F163" s="20"/>
      <c r="G163" s="20"/>
      <c r="H163" s="33" t="s">
        <v>65</v>
      </c>
      <c r="I163" s="33" t="s">
        <v>90</v>
      </c>
      <c r="J163" s="21"/>
      <c r="K163" s="20" t="str">
        <f t="shared" si="1"/>
        <v>ROADS,TRANSPORT AND PUBLIC WORKS</v>
      </c>
      <c r="L163" s="20" t="s">
        <v>107</v>
      </c>
      <c r="M163" s="20" t="str">
        <f t="shared" si="2"/>
        <v>ROADS,TRANSPORT AND PUBLIC WORKS</v>
      </c>
      <c r="N163" s="22" t="s">
        <v>119</v>
      </c>
      <c r="O163" s="22" t="s">
        <v>120</v>
      </c>
      <c r="P163" s="20" t="s">
        <v>121</v>
      </c>
      <c r="Q163" s="20" t="s">
        <v>121</v>
      </c>
      <c r="R163" s="30">
        <v>1615000.0</v>
      </c>
      <c r="S163" s="30">
        <v>1615000.0</v>
      </c>
      <c r="T163" s="30">
        <v>1615000.0</v>
      </c>
      <c r="U163" s="20" t="s">
        <v>71</v>
      </c>
      <c r="V163" s="20"/>
      <c r="W163" s="30">
        <v>1615000.0</v>
      </c>
      <c r="X163" s="20"/>
      <c r="Y163" s="30">
        <v>1615000.0</v>
      </c>
      <c r="Z163" s="24">
        <f t="shared" si="3"/>
        <v>1</v>
      </c>
      <c r="AA163" s="23">
        <f t="shared" si="5"/>
        <v>1615000</v>
      </c>
      <c r="AB163" s="20"/>
      <c r="AC163" s="25">
        <f t="shared" si="4"/>
        <v>0</v>
      </c>
      <c r="AD163" s="20" t="s">
        <v>72</v>
      </c>
      <c r="AE163" s="20"/>
      <c r="AF163" s="20"/>
      <c r="AG163" s="20"/>
      <c r="AH163" s="20"/>
      <c r="AI163" s="20"/>
      <c r="AJ163" s="20"/>
      <c r="AK163" s="20"/>
      <c r="AL163" s="20"/>
      <c r="AM163" s="20"/>
      <c r="AN163" s="26"/>
      <c r="AO163" s="26"/>
      <c r="AP163" s="26"/>
      <c r="AQ163" s="26"/>
      <c r="AR163" s="26"/>
      <c r="AS163" s="26"/>
      <c r="AT163" s="26"/>
    </row>
    <row r="164">
      <c r="A164" s="20">
        <v>162.0</v>
      </c>
      <c r="B164" s="29" t="s">
        <v>250</v>
      </c>
      <c r="C164" s="30"/>
      <c r="D164" s="20"/>
      <c r="E164" s="20"/>
      <c r="F164" s="20"/>
      <c r="G164" s="20"/>
      <c r="H164" s="33" t="s">
        <v>81</v>
      </c>
      <c r="I164" s="33" t="s">
        <v>83</v>
      </c>
      <c r="J164" s="21"/>
      <c r="K164" s="20" t="str">
        <f t="shared" si="1"/>
        <v>ROADS,TRANSPORT AND PUBLIC WORKS</v>
      </c>
      <c r="L164" s="20" t="s">
        <v>107</v>
      </c>
      <c r="M164" s="20" t="str">
        <f t="shared" si="2"/>
        <v>ROADS,TRANSPORT AND PUBLIC WORKS</v>
      </c>
      <c r="N164" s="22" t="s">
        <v>119</v>
      </c>
      <c r="O164" s="22" t="s">
        <v>120</v>
      </c>
      <c r="P164" s="20" t="s">
        <v>121</v>
      </c>
      <c r="Q164" s="20" t="s">
        <v>121</v>
      </c>
      <c r="R164" s="30">
        <v>2153308.0</v>
      </c>
      <c r="S164" s="30">
        <v>2153308.0</v>
      </c>
      <c r="T164" s="30">
        <v>2153308.0</v>
      </c>
      <c r="U164" s="20" t="s">
        <v>71</v>
      </c>
      <c r="V164" s="20"/>
      <c r="W164" s="30">
        <v>2153308.0</v>
      </c>
      <c r="X164" s="20"/>
      <c r="Y164" s="30">
        <v>2153308.0</v>
      </c>
      <c r="Z164" s="24">
        <f t="shared" si="3"/>
        <v>1</v>
      </c>
      <c r="AA164" s="23">
        <f t="shared" si="5"/>
        <v>2153308</v>
      </c>
      <c r="AB164" s="20"/>
      <c r="AC164" s="25">
        <f t="shared" si="4"/>
        <v>0</v>
      </c>
      <c r="AD164" s="20" t="s">
        <v>72</v>
      </c>
      <c r="AE164" s="20"/>
      <c r="AF164" s="20"/>
      <c r="AG164" s="20"/>
      <c r="AH164" s="20"/>
      <c r="AI164" s="20"/>
      <c r="AJ164" s="20"/>
      <c r="AK164" s="20"/>
      <c r="AL164" s="20"/>
      <c r="AM164" s="20"/>
      <c r="AN164" s="26"/>
      <c r="AO164" s="26"/>
      <c r="AP164" s="26"/>
      <c r="AQ164" s="26"/>
      <c r="AR164" s="26"/>
      <c r="AS164" s="26"/>
      <c r="AT164" s="26"/>
    </row>
    <row r="165">
      <c r="A165" s="20">
        <v>163.0</v>
      </c>
      <c r="B165" s="29" t="s">
        <v>251</v>
      </c>
      <c r="C165" s="30"/>
      <c r="D165" s="20"/>
      <c r="E165" s="20"/>
      <c r="F165" s="20"/>
      <c r="G165" s="20"/>
      <c r="H165" s="33" t="s">
        <v>81</v>
      </c>
      <c r="I165" s="33" t="s">
        <v>83</v>
      </c>
      <c r="J165" s="21"/>
      <c r="K165" s="20" t="str">
        <f t="shared" si="1"/>
        <v>ROADS,TRANSPORT AND PUBLIC WORKS</v>
      </c>
      <c r="L165" s="20" t="s">
        <v>107</v>
      </c>
      <c r="M165" s="20" t="str">
        <f t="shared" si="2"/>
        <v>ROADS,TRANSPORT AND PUBLIC WORKS</v>
      </c>
      <c r="N165" s="22" t="s">
        <v>119</v>
      </c>
      <c r="O165" s="22" t="s">
        <v>120</v>
      </c>
      <c r="P165" s="20" t="s">
        <v>121</v>
      </c>
      <c r="Q165" s="20" t="s">
        <v>121</v>
      </c>
      <c r="R165" s="30">
        <v>2153308.0</v>
      </c>
      <c r="S165" s="30">
        <v>2153308.0</v>
      </c>
      <c r="T165" s="30">
        <v>2153308.0</v>
      </c>
      <c r="U165" s="20" t="s">
        <v>71</v>
      </c>
      <c r="V165" s="20"/>
      <c r="W165" s="30">
        <v>2153308.0</v>
      </c>
      <c r="X165" s="20"/>
      <c r="Y165" s="30">
        <v>2153308.0</v>
      </c>
      <c r="Z165" s="24">
        <f t="shared" si="3"/>
        <v>1</v>
      </c>
      <c r="AA165" s="23">
        <f t="shared" si="5"/>
        <v>2153308</v>
      </c>
      <c r="AB165" s="20"/>
      <c r="AC165" s="25">
        <f t="shared" si="4"/>
        <v>0</v>
      </c>
      <c r="AD165" s="20" t="s">
        <v>72</v>
      </c>
      <c r="AE165" s="20"/>
      <c r="AF165" s="20"/>
      <c r="AG165" s="20"/>
      <c r="AH165" s="20"/>
      <c r="AI165" s="20"/>
      <c r="AJ165" s="20"/>
      <c r="AK165" s="20"/>
      <c r="AL165" s="20"/>
      <c r="AM165" s="20"/>
      <c r="AN165" s="26"/>
      <c r="AO165" s="26"/>
      <c r="AP165" s="26"/>
      <c r="AQ165" s="26"/>
      <c r="AR165" s="26"/>
      <c r="AS165" s="26"/>
      <c r="AT165" s="26"/>
    </row>
    <row r="166">
      <c r="A166" s="20">
        <v>164.0</v>
      </c>
      <c r="B166" s="29" t="s">
        <v>252</v>
      </c>
      <c r="C166" s="30"/>
      <c r="D166" s="20"/>
      <c r="E166" s="20"/>
      <c r="F166" s="20"/>
      <c r="G166" s="20"/>
      <c r="H166" s="33" t="s">
        <v>65</v>
      </c>
      <c r="I166" s="33" t="s">
        <v>74</v>
      </c>
      <c r="J166" s="21"/>
      <c r="K166" s="20" t="str">
        <f t="shared" si="1"/>
        <v>ROADS,TRANSPORT AND PUBLIC WORKS</v>
      </c>
      <c r="L166" s="20" t="s">
        <v>107</v>
      </c>
      <c r="M166" s="20" t="str">
        <f t="shared" si="2"/>
        <v>ROADS,TRANSPORT AND PUBLIC WORKS</v>
      </c>
      <c r="N166" s="22" t="s">
        <v>119</v>
      </c>
      <c r="O166" s="22" t="s">
        <v>120</v>
      </c>
      <c r="P166" s="20" t="s">
        <v>121</v>
      </c>
      <c r="Q166" s="20" t="s">
        <v>121</v>
      </c>
      <c r="R166" s="30">
        <v>2906635.0</v>
      </c>
      <c r="S166" s="30">
        <v>2906635.0</v>
      </c>
      <c r="T166" s="30">
        <v>2906635.0</v>
      </c>
      <c r="U166" s="20" t="s">
        <v>71</v>
      </c>
      <c r="V166" s="20"/>
      <c r="W166" s="30">
        <v>2906635.0</v>
      </c>
      <c r="X166" s="20"/>
      <c r="Y166" s="30">
        <v>2906635.0</v>
      </c>
      <c r="Z166" s="24">
        <f t="shared" si="3"/>
        <v>1</v>
      </c>
      <c r="AA166" s="23">
        <f t="shared" si="5"/>
        <v>2906635</v>
      </c>
      <c r="AB166" s="20"/>
      <c r="AC166" s="25">
        <f t="shared" si="4"/>
        <v>0</v>
      </c>
      <c r="AD166" s="20" t="s">
        <v>72</v>
      </c>
      <c r="AE166" s="20"/>
      <c r="AF166" s="20"/>
      <c r="AG166" s="20"/>
      <c r="AH166" s="20"/>
      <c r="AI166" s="20"/>
      <c r="AJ166" s="20"/>
      <c r="AK166" s="20"/>
      <c r="AL166" s="20"/>
      <c r="AM166" s="20"/>
      <c r="AN166" s="26"/>
      <c r="AO166" s="26"/>
      <c r="AP166" s="26"/>
      <c r="AQ166" s="26"/>
      <c r="AR166" s="26"/>
      <c r="AS166" s="26"/>
      <c r="AT166" s="26"/>
    </row>
    <row r="167">
      <c r="A167" s="20">
        <v>165.0</v>
      </c>
      <c r="B167" s="29" t="s">
        <v>253</v>
      </c>
      <c r="C167" s="30"/>
      <c r="D167" s="20"/>
      <c r="E167" s="20"/>
      <c r="F167" s="20"/>
      <c r="G167" s="20"/>
      <c r="H167" s="33" t="s">
        <v>65</v>
      </c>
      <c r="I167" s="33" t="s">
        <v>87</v>
      </c>
      <c r="J167" s="21"/>
      <c r="K167" s="20" t="str">
        <f t="shared" si="1"/>
        <v>ROADS,TRANSPORT AND PUBLIC WORKS</v>
      </c>
      <c r="L167" s="20" t="s">
        <v>107</v>
      </c>
      <c r="M167" s="20" t="str">
        <f t="shared" si="2"/>
        <v>ROADS,TRANSPORT AND PUBLIC WORKS</v>
      </c>
      <c r="N167" s="22" t="s">
        <v>119</v>
      </c>
      <c r="O167" s="22" t="s">
        <v>120</v>
      </c>
      <c r="P167" s="20" t="s">
        <v>121</v>
      </c>
      <c r="Q167" s="20" t="s">
        <v>121</v>
      </c>
      <c r="R167" s="30">
        <v>3320877.0</v>
      </c>
      <c r="S167" s="30">
        <v>3320877.0</v>
      </c>
      <c r="T167" s="30">
        <v>3320877.0</v>
      </c>
      <c r="U167" s="20" t="s">
        <v>71</v>
      </c>
      <c r="V167" s="20"/>
      <c r="W167" s="30">
        <v>3320877.0</v>
      </c>
      <c r="X167" s="20"/>
      <c r="Y167" s="30">
        <v>3320877.0</v>
      </c>
      <c r="Z167" s="24">
        <f t="shared" si="3"/>
        <v>1</v>
      </c>
      <c r="AA167" s="23">
        <f t="shared" si="5"/>
        <v>3320877</v>
      </c>
      <c r="AB167" s="20"/>
      <c r="AC167" s="25">
        <f t="shared" si="4"/>
        <v>0</v>
      </c>
      <c r="AD167" s="20" t="s">
        <v>72</v>
      </c>
      <c r="AE167" s="20"/>
      <c r="AF167" s="20"/>
      <c r="AG167" s="20"/>
      <c r="AH167" s="20"/>
      <c r="AI167" s="20"/>
      <c r="AJ167" s="20"/>
      <c r="AK167" s="20"/>
      <c r="AL167" s="20"/>
      <c r="AM167" s="20"/>
      <c r="AN167" s="26"/>
      <c r="AO167" s="26"/>
      <c r="AP167" s="26"/>
      <c r="AQ167" s="26"/>
      <c r="AR167" s="26"/>
      <c r="AS167" s="26"/>
      <c r="AT167" s="26"/>
    </row>
    <row r="168">
      <c r="A168" s="20">
        <v>166.0</v>
      </c>
      <c r="B168" s="29" t="s">
        <v>254</v>
      </c>
      <c r="C168" s="30"/>
      <c r="D168" s="20"/>
      <c r="E168" s="20"/>
      <c r="F168" s="20"/>
      <c r="G168" s="20"/>
      <c r="H168" s="33" t="s">
        <v>77</v>
      </c>
      <c r="I168" s="33" t="s">
        <v>157</v>
      </c>
      <c r="J168" s="21"/>
      <c r="K168" s="20" t="str">
        <f t="shared" si="1"/>
        <v>ROADS,TRANSPORT AND PUBLIC WORKS</v>
      </c>
      <c r="L168" s="20" t="s">
        <v>107</v>
      </c>
      <c r="M168" s="20" t="str">
        <f t="shared" si="2"/>
        <v>ROADS,TRANSPORT AND PUBLIC WORKS</v>
      </c>
      <c r="N168" s="22" t="s">
        <v>119</v>
      </c>
      <c r="O168" s="22" t="s">
        <v>120</v>
      </c>
      <c r="P168" s="20" t="s">
        <v>121</v>
      </c>
      <c r="Q168" s="20" t="s">
        <v>121</v>
      </c>
      <c r="R168" s="30">
        <v>4650440.0</v>
      </c>
      <c r="S168" s="30">
        <v>4650440.0</v>
      </c>
      <c r="T168" s="30">
        <v>4650440.0</v>
      </c>
      <c r="U168" s="20" t="s">
        <v>71</v>
      </c>
      <c r="V168" s="20"/>
      <c r="W168" s="30">
        <v>4650440.0</v>
      </c>
      <c r="X168" s="20"/>
      <c r="Y168" s="30">
        <v>4650440.0</v>
      </c>
      <c r="Z168" s="24">
        <f t="shared" si="3"/>
        <v>1</v>
      </c>
      <c r="AA168" s="23">
        <f t="shared" si="5"/>
        <v>4650440</v>
      </c>
      <c r="AB168" s="20"/>
      <c r="AC168" s="25">
        <f t="shared" si="4"/>
        <v>0</v>
      </c>
      <c r="AD168" s="20" t="s">
        <v>72</v>
      </c>
      <c r="AE168" s="20"/>
      <c r="AF168" s="20"/>
      <c r="AG168" s="20"/>
      <c r="AH168" s="20"/>
      <c r="AI168" s="20"/>
      <c r="AJ168" s="20"/>
      <c r="AK168" s="20"/>
      <c r="AL168" s="20"/>
      <c r="AM168" s="20"/>
      <c r="AN168" s="26"/>
      <c r="AO168" s="26"/>
      <c r="AP168" s="26"/>
      <c r="AQ168" s="26"/>
      <c r="AR168" s="26"/>
      <c r="AS168" s="26"/>
      <c r="AT168" s="26"/>
    </row>
    <row r="169">
      <c r="A169" s="20">
        <v>167.0</v>
      </c>
      <c r="B169" s="29" t="s">
        <v>255</v>
      </c>
      <c r="C169" s="30"/>
      <c r="D169" s="20"/>
      <c r="E169" s="20"/>
      <c r="F169" s="20"/>
      <c r="G169" s="20"/>
      <c r="H169" s="33" t="s">
        <v>113</v>
      </c>
      <c r="I169" s="33" t="s">
        <v>114</v>
      </c>
      <c r="J169" s="21"/>
      <c r="K169" s="20" t="str">
        <f t="shared" si="1"/>
        <v>ROADS,TRANSPORT AND PUBLIC WORKS</v>
      </c>
      <c r="L169" s="20" t="s">
        <v>107</v>
      </c>
      <c r="M169" s="20" t="str">
        <f t="shared" si="2"/>
        <v>ROADS,TRANSPORT AND PUBLIC WORKS</v>
      </c>
      <c r="N169" s="22" t="s">
        <v>119</v>
      </c>
      <c r="O169" s="22" t="s">
        <v>120</v>
      </c>
      <c r="P169" s="20" t="s">
        <v>121</v>
      </c>
      <c r="Q169" s="20" t="s">
        <v>121</v>
      </c>
      <c r="R169" s="30">
        <v>4703792.0</v>
      </c>
      <c r="S169" s="30">
        <v>4703792.0</v>
      </c>
      <c r="T169" s="30">
        <v>4703792.0</v>
      </c>
      <c r="U169" s="20" t="s">
        <v>71</v>
      </c>
      <c r="V169" s="20"/>
      <c r="W169" s="30">
        <v>4703792.0</v>
      </c>
      <c r="X169" s="20"/>
      <c r="Y169" s="30">
        <v>4703792.0</v>
      </c>
      <c r="Z169" s="24">
        <f t="shared" si="3"/>
        <v>1</v>
      </c>
      <c r="AA169" s="23">
        <f t="shared" si="5"/>
        <v>4703792</v>
      </c>
      <c r="AB169" s="20"/>
      <c r="AC169" s="25">
        <f t="shared" si="4"/>
        <v>0</v>
      </c>
      <c r="AD169" s="20" t="s">
        <v>72</v>
      </c>
      <c r="AE169" s="20"/>
      <c r="AF169" s="20"/>
      <c r="AG169" s="20"/>
      <c r="AH169" s="20"/>
      <c r="AI169" s="20"/>
      <c r="AJ169" s="20"/>
      <c r="AK169" s="20"/>
      <c r="AL169" s="20"/>
      <c r="AM169" s="20"/>
      <c r="AN169" s="26"/>
      <c r="AO169" s="26"/>
      <c r="AP169" s="26"/>
      <c r="AQ169" s="26"/>
      <c r="AR169" s="26"/>
      <c r="AS169" s="26"/>
      <c r="AT169" s="26"/>
    </row>
    <row r="170">
      <c r="A170" s="20">
        <v>168.0</v>
      </c>
      <c r="B170" s="29" t="s">
        <v>256</v>
      </c>
      <c r="C170" s="30"/>
      <c r="D170" s="20"/>
      <c r="E170" s="20"/>
      <c r="F170" s="20"/>
      <c r="G170" s="20"/>
      <c r="H170" s="33" t="s">
        <v>65</v>
      </c>
      <c r="I170" s="33" t="s">
        <v>74</v>
      </c>
      <c r="J170" s="21"/>
      <c r="K170" s="20" t="str">
        <f t="shared" si="1"/>
        <v>ROADS,TRANSPORT AND PUBLIC WORKS</v>
      </c>
      <c r="L170" s="20" t="s">
        <v>107</v>
      </c>
      <c r="M170" s="20" t="str">
        <f t="shared" si="2"/>
        <v>ROADS,TRANSPORT AND PUBLIC WORKS</v>
      </c>
      <c r="N170" s="22" t="s">
        <v>119</v>
      </c>
      <c r="O170" s="22" t="s">
        <v>120</v>
      </c>
      <c r="P170" s="20" t="s">
        <v>121</v>
      </c>
      <c r="Q170" s="20" t="s">
        <v>121</v>
      </c>
      <c r="R170" s="30">
        <v>1.34863975E7</v>
      </c>
      <c r="S170" s="30">
        <v>1.34863975E7</v>
      </c>
      <c r="T170" s="30">
        <v>1.34863975E7</v>
      </c>
      <c r="U170" s="20" t="s">
        <v>71</v>
      </c>
      <c r="V170" s="20"/>
      <c r="W170" s="30">
        <v>1.34863975E7</v>
      </c>
      <c r="X170" s="20"/>
      <c r="Y170" s="30">
        <v>1.34863975E7</v>
      </c>
      <c r="Z170" s="24">
        <f t="shared" si="3"/>
        <v>1</v>
      </c>
      <c r="AA170" s="23">
        <f t="shared" si="5"/>
        <v>13486397.5</v>
      </c>
      <c r="AB170" s="20"/>
      <c r="AC170" s="25">
        <f t="shared" si="4"/>
        <v>0</v>
      </c>
      <c r="AD170" s="20" t="s">
        <v>72</v>
      </c>
      <c r="AE170" s="20"/>
      <c r="AF170" s="20"/>
      <c r="AG170" s="20"/>
      <c r="AH170" s="20"/>
      <c r="AI170" s="20"/>
      <c r="AJ170" s="20"/>
      <c r="AK170" s="20"/>
      <c r="AL170" s="20"/>
      <c r="AM170" s="20"/>
      <c r="AN170" s="26"/>
      <c r="AO170" s="26"/>
      <c r="AP170" s="26"/>
      <c r="AQ170" s="26"/>
      <c r="AR170" s="26"/>
      <c r="AS170" s="26"/>
      <c r="AT170" s="26"/>
    </row>
    <row r="171">
      <c r="A171" s="20">
        <v>169.0</v>
      </c>
      <c r="B171" s="29" t="s">
        <v>257</v>
      </c>
      <c r="C171" s="30"/>
      <c r="D171" s="20"/>
      <c r="E171" s="20"/>
      <c r="F171" s="20"/>
      <c r="G171" s="20"/>
      <c r="H171" s="33" t="s">
        <v>65</v>
      </c>
      <c r="I171" s="33" t="s">
        <v>90</v>
      </c>
      <c r="J171" s="21"/>
      <c r="K171" s="20" t="str">
        <f t="shared" si="1"/>
        <v>ROADS,TRANSPORT AND PUBLIC WORKS</v>
      </c>
      <c r="L171" s="20" t="s">
        <v>107</v>
      </c>
      <c r="M171" s="20" t="str">
        <f t="shared" si="2"/>
        <v>ROADS,TRANSPORT AND PUBLIC WORKS</v>
      </c>
      <c r="N171" s="22" t="s">
        <v>119</v>
      </c>
      <c r="O171" s="22" t="s">
        <v>120</v>
      </c>
      <c r="P171" s="20" t="s">
        <v>121</v>
      </c>
      <c r="Q171" s="20" t="s">
        <v>121</v>
      </c>
      <c r="R171" s="30">
        <v>1.14E7</v>
      </c>
      <c r="S171" s="30">
        <v>1.14E7</v>
      </c>
      <c r="T171" s="30">
        <v>1.14E7</v>
      </c>
      <c r="U171" s="20" t="s">
        <v>71</v>
      </c>
      <c r="V171" s="20"/>
      <c r="W171" s="30">
        <v>1.14E7</v>
      </c>
      <c r="X171" s="20"/>
      <c r="Y171" s="30">
        <v>1.14E7</v>
      </c>
      <c r="Z171" s="24">
        <f t="shared" si="3"/>
        <v>1</v>
      </c>
      <c r="AA171" s="23">
        <f t="shared" si="5"/>
        <v>11400000</v>
      </c>
      <c r="AB171" s="20"/>
      <c r="AC171" s="25">
        <f t="shared" si="4"/>
        <v>0</v>
      </c>
      <c r="AD171" s="20" t="s">
        <v>72</v>
      </c>
      <c r="AE171" s="20"/>
      <c r="AF171" s="20"/>
      <c r="AG171" s="20"/>
      <c r="AH171" s="20"/>
      <c r="AI171" s="20"/>
      <c r="AJ171" s="20"/>
      <c r="AK171" s="20"/>
      <c r="AL171" s="20"/>
      <c r="AM171" s="20"/>
      <c r="AN171" s="26"/>
      <c r="AO171" s="26"/>
      <c r="AP171" s="26"/>
      <c r="AQ171" s="26"/>
      <c r="AR171" s="26"/>
      <c r="AS171" s="26"/>
      <c r="AT171" s="26"/>
    </row>
    <row r="172">
      <c r="A172" s="20">
        <v>170.0</v>
      </c>
      <c r="B172" s="29" t="s">
        <v>258</v>
      </c>
      <c r="C172" s="30"/>
      <c r="D172" s="20"/>
      <c r="E172" s="20"/>
      <c r="F172" s="20"/>
      <c r="G172" s="20"/>
      <c r="H172" s="33" t="s">
        <v>77</v>
      </c>
      <c r="I172" s="33" t="s">
        <v>78</v>
      </c>
      <c r="J172" s="21"/>
      <c r="K172" s="20" t="str">
        <f t="shared" si="1"/>
        <v>ROADS,TRANSPORT AND PUBLIC WORKS</v>
      </c>
      <c r="L172" s="20" t="s">
        <v>107</v>
      </c>
      <c r="M172" s="20" t="str">
        <f t="shared" si="2"/>
        <v>ROADS,TRANSPORT AND PUBLIC WORKS</v>
      </c>
      <c r="N172" s="22" t="s">
        <v>119</v>
      </c>
      <c r="O172" s="22" t="s">
        <v>120</v>
      </c>
      <c r="P172" s="20" t="s">
        <v>121</v>
      </c>
      <c r="Q172" s="20" t="s">
        <v>121</v>
      </c>
      <c r="R172" s="30">
        <v>4650440.0</v>
      </c>
      <c r="S172" s="30">
        <v>4650440.0</v>
      </c>
      <c r="T172" s="30">
        <v>4650440.0</v>
      </c>
      <c r="U172" s="20" t="s">
        <v>71</v>
      </c>
      <c r="V172" s="20"/>
      <c r="W172" s="30">
        <v>4650440.0</v>
      </c>
      <c r="X172" s="20"/>
      <c r="Y172" s="30">
        <v>4650440.0</v>
      </c>
      <c r="Z172" s="24">
        <f t="shared" si="3"/>
        <v>1</v>
      </c>
      <c r="AA172" s="23">
        <f t="shared" si="5"/>
        <v>4650440</v>
      </c>
      <c r="AB172" s="20"/>
      <c r="AC172" s="25">
        <f t="shared" si="4"/>
        <v>0</v>
      </c>
      <c r="AD172" s="20" t="s">
        <v>72</v>
      </c>
      <c r="AE172" s="20"/>
      <c r="AF172" s="20"/>
      <c r="AG172" s="20"/>
      <c r="AH172" s="20"/>
      <c r="AI172" s="20"/>
      <c r="AJ172" s="20"/>
      <c r="AK172" s="20"/>
      <c r="AL172" s="20"/>
      <c r="AM172" s="20"/>
      <c r="AN172" s="26"/>
      <c r="AO172" s="26"/>
      <c r="AP172" s="26"/>
      <c r="AQ172" s="26"/>
      <c r="AR172" s="26"/>
      <c r="AS172" s="26"/>
      <c r="AT172" s="26"/>
    </row>
    <row r="173">
      <c r="A173" s="20">
        <v>171.0</v>
      </c>
      <c r="B173" s="29" t="s">
        <v>257</v>
      </c>
      <c r="C173" s="30"/>
      <c r="D173" s="20"/>
      <c r="E173" s="20"/>
      <c r="F173" s="20"/>
      <c r="G173" s="20"/>
      <c r="H173" s="33" t="s">
        <v>65</v>
      </c>
      <c r="I173" s="33" t="s">
        <v>87</v>
      </c>
      <c r="J173" s="21"/>
      <c r="K173" s="20" t="str">
        <f t="shared" si="1"/>
        <v>ROADS,TRANSPORT AND PUBLIC WORKS</v>
      </c>
      <c r="L173" s="20" t="s">
        <v>107</v>
      </c>
      <c r="M173" s="20" t="str">
        <f t="shared" si="2"/>
        <v>ROADS,TRANSPORT AND PUBLIC WORKS</v>
      </c>
      <c r="N173" s="22" t="s">
        <v>119</v>
      </c>
      <c r="O173" s="22" t="s">
        <v>120</v>
      </c>
      <c r="P173" s="20" t="s">
        <v>121</v>
      </c>
      <c r="Q173" s="20" t="s">
        <v>121</v>
      </c>
      <c r="R173" s="30">
        <v>4122296.0</v>
      </c>
      <c r="S173" s="30">
        <v>4122296.0</v>
      </c>
      <c r="T173" s="30">
        <v>4122296.0</v>
      </c>
      <c r="U173" s="20" t="s">
        <v>71</v>
      </c>
      <c r="V173" s="20"/>
      <c r="W173" s="30">
        <v>4122296.0</v>
      </c>
      <c r="X173" s="20"/>
      <c r="Y173" s="30">
        <v>4122296.0</v>
      </c>
      <c r="Z173" s="24">
        <f t="shared" si="3"/>
        <v>1</v>
      </c>
      <c r="AA173" s="23">
        <f t="shared" si="5"/>
        <v>4122296</v>
      </c>
      <c r="AB173" s="20"/>
      <c r="AC173" s="25">
        <f t="shared" si="4"/>
        <v>0</v>
      </c>
      <c r="AD173" s="20" t="s">
        <v>72</v>
      </c>
      <c r="AE173" s="20"/>
      <c r="AF173" s="20"/>
      <c r="AG173" s="20"/>
      <c r="AH173" s="20"/>
      <c r="AI173" s="20"/>
      <c r="AJ173" s="20"/>
      <c r="AK173" s="20"/>
      <c r="AL173" s="20"/>
      <c r="AM173" s="20"/>
      <c r="AN173" s="26"/>
      <c r="AO173" s="26"/>
      <c r="AP173" s="26"/>
      <c r="AQ173" s="26"/>
      <c r="AR173" s="26"/>
      <c r="AS173" s="26"/>
      <c r="AT173" s="26"/>
    </row>
    <row r="174">
      <c r="A174" s="20">
        <v>172.0</v>
      </c>
      <c r="B174" s="29" t="s">
        <v>259</v>
      </c>
      <c r="C174" s="30"/>
      <c r="D174" s="20"/>
      <c r="E174" s="20"/>
      <c r="F174" s="20"/>
      <c r="G174" s="20"/>
      <c r="H174" s="33" t="s">
        <v>65</v>
      </c>
      <c r="I174" s="33" t="s">
        <v>90</v>
      </c>
      <c r="J174" s="21"/>
      <c r="K174" s="20" t="str">
        <f t="shared" si="1"/>
        <v>ROADS,TRANSPORT AND PUBLIC WORKS</v>
      </c>
      <c r="L174" s="20" t="s">
        <v>107</v>
      </c>
      <c r="M174" s="20" t="str">
        <f t="shared" si="2"/>
        <v>ROADS,TRANSPORT AND PUBLIC WORKS</v>
      </c>
      <c r="N174" s="22" t="s">
        <v>119</v>
      </c>
      <c r="O174" s="22" t="s">
        <v>120</v>
      </c>
      <c r="P174" s="20" t="s">
        <v>121</v>
      </c>
      <c r="Q174" s="20" t="s">
        <v>121</v>
      </c>
      <c r="R174" s="30">
        <v>4268597.0</v>
      </c>
      <c r="S174" s="30">
        <v>4268597.0</v>
      </c>
      <c r="T174" s="30">
        <v>4268597.0</v>
      </c>
      <c r="U174" s="20" t="s">
        <v>71</v>
      </c>
      <c r="V174" s="20"/>
      <c r="W174" s="30">
        <v>4268597.0</v>
      </c>
      <c r="X174" s="20"/>
      <c r="Y174" s="30">
        <v>4268597.0</v>
      </c>
      <c r="Z174" s="24">
        <f t="shared" si="3"/>
        <v>1</v>
      </c>
      <c r="AA174" s="23">
        <f t="shared" si="5"/>
        <v>4268597</v>
      </c>
      <c r="AB174" s="20"/>
      <c r="AC174" s="25">
        <f t="shared" si="4"/>
        <v>0</v>
      </c>
      <c r="AD174" s="20" t="s">
        <v>72</v>
      </c>
      <c r="AE174" s="20"/>
      <c r="AF174" s="20"/>
      <c r="AG174" s="20"/>
      <c r="AH174" s="20"/>
      <c r="AI174" s="20"/>
      <c r="AJ174" s="20"/>
      <c r="AK174" s="20"/>
      <c r="AL174" s="20"/>
      <c r="AM174" s="20"/>
      <c r="AN174" s="26"/>
      <c r="AO174" s="26"/>
      <c r="AP174" s="26"/>
      <c r="AQ174" s="26"/>
      <c r="AR174" s="26"/>
      <c r="AS174" s="26"/>
      <c r="AT174" s="26"/>
    </row>
    <row r="175">
      <c r="A175" s="20">
        <v>173.0</v>
      </c>
      <c r="B175" s="29" t="s">
        <v>260</v>
      </c>
      <c r="C175" s="30"/>
      <c r="D175" s="20"/>
      <c r="E175" s="20"/>
      <c r="F175" s="20"/>
      <c r="G175" s="20"/>
      <c r="H175" s="33" t="s">
        <v>65</v>
      </c>
      <c r="I175" s="33" t="s">
        <v>90</v>
      </c>
      <c r="J175" s="21"/>
      <c r="K175" s="20" t="str">
        <f t="shared" si="1"/>
        <v>EDUCATION,INFORMATION AND ICT</v>
      </c>
      <c r="L175" s="20" t="s">
        <v>84</v>
      </c>
      <c r="M175" s="20" t="str">
        <f t="shared" si="2"/>
        <v>EDUCATION,INFORMATION AND ICT</v>
      </c>
      <c r="N175" s="22" t="s">
        <v>119</v>
      </c>
      <c r="O175" s="22" t="s">
        <v>120</v>
      </c>
      <c r="P175" s="20" t="s">
        <v>121</v>
      </c>
      <c r="Q175" s="20" t="s">
        <v>121</v>
      </c>
      <c r="R175" s="30">
        <v>1425000.0</v>
      </c>
      <c r="S175" s="30">
        <v>1425000.0</v>
      </c>
      <c r="T175" s="30">
        <v>1425000.0</v>
      </c>
      <c r="U175" s="20" t="s">
        <v>71</v>
      </c>
      <c r="V175" s="20"/>
      <c r="W175" s="30">
        <v>1425000.0</v>
      </c>
      <c r="X175" s="20"/>
      <c r="Y175" s="30">
        <v>1425000.0</v>
      </c>
      <c r="Z175" s="24">
        <f t="shared" si="3"/>
        <v>1</v>
      </c>
      <c r="AA175" s="23">
        <f t="shared" si="5"/>
        <v>1425000</v>
      </c>
      <c r="AB175" s="20"/>
      <c r="AC175" s="25">
        <f t="shared" si="4"/>
        <v>0</v>
      </c>
      <c r="AD175" s="20" t="s">
        <v>72</v>
      </c>
      <c r="AE175" s="20"/>
      <c r="AF175" s="20"/>
      <c r="AG175" s="20"/>
      <c r="AH175" s="20"/>
      <c r="AI175" s="20"/>
      <c r="AJ175" s="20"/>
      <c r="AK175" s="20"/>
      <c r="AL175" s="20"/>
      <c r="AM175" s="20"/>
      <c r="AN175" s="26"/>
      <c r="AO175" s="26"/>
      <c r="AP175" s="26"/>
      <c r="AQ175" s="26"/>
      <c r="AR175" s="26"/>
      <c r="AS175" s="26"/>
      <c r="AT175" s="26"/>
    </row>
    <row r="176">
      <c r="A176" s="20">
        <v>174.0</v>
      </c>
      <c r="B176" s="29" t="s">
        <v>261</v>
      </c>
      <c r="C176" s="30"/>
      <c r="D176" s="20"/>
      <c r="E176" s="20"/>
      <c r="F176" s="20"/>
      <c r="G176" s="20"/>
      <c r="H176" s="33" t="s">
        <v>65</v>
      </c>
      <c r="I176" s="33" t="s">
        <v>66</v>
      </c>
      <c r="J176" s="21"/>
      <c r="K176" s="20" t="str">
        <f t="shared" si="1"/>
        <v>ROADS,TRANSPORT AND PUBLIC WORKS</v>
      </c>
      <c r="L176" s="20" t="s">
        <v>107</v>
      </c>
      <c r="M176" s="20" t="str">
        <f t="shared" si="2"/>
        <v>ROADS,TRANSPORT AND PUBLIC WORKS</v>
      </c>
      <c r="N176" s="22" t="s">
        <v>119</v>
      </c>
      <c r="O176" s="22" t="s">
        <v>120</v>
      </c>
      <c r="P176" s="20" t="s">
        <v>121</v>
      </c>
      <c r="Q176" s="20" t="s">
        <v>121</v>
      </c>
      <c r="R176" s="30">
        <v>4370000.0</v>
      </c>
      <c r="S176" s="30">
        <v>4370000.0</v>
      </c>
      <c r="T176" s="30">
        <v>4370000.0</v>
      </c>
      <c r="U176" s="20" t="s">
        <v>71</v>
      </c>
      <c r="V176" s="20"/>
      <c r="W176" s="30">
        <v>4370000.0</v>
      </c>
      <c r="X176" s="20"/>
      <c r="Y176" s="30">
        <v>4370000.0</v>
      </c>
      <c r="Z176" s="24">
        <f t="shared" si="3"/>
        <v>1</v>
      </c>
      <c r="AA176" s="23">
        <f t="shared" si="5"/>
        <v>4370000</v>
      </c>
      <c r="AB176" s="20"/>
      <c r="AC176" s="25">
        <f t="shared" si="4"/>
        <v>0</v>
      </c>
      <c r="AD176" s="20" t="s">
        <v>72</v>
      </c>
      <c r="AE176" s="20"/>
      <c r="AF176" s="20"/>
      <c r="AG176" s="20"/>
      <c r="AH176" s="20"/>
      <c r="AI176" s="20"/>
      <c r="AJ176" s="20"/>
      <c r="AK176" s="20"/>
      <c r="AL176" s="20"/>
      <c r="AM176" s="20"/>
      <c r="AN176" s="26"/>
      <c r="AO176" s="26"/>
      <c r="AP176" s="26"/>
      <c r="AQ176" s="26"/>
      <c r="AR176" s="26"/>
      <c r="AS176" s="26"/>
      <c r="AT176" s="26"/>
    </row>
    <row r="177">
      <c r="A177" s="20">
        <v>175.0</v>
      </c>
      <c r="B177" s="29" t="s">
        <v>262</v>
      </c>
      <c r="C177" s="30"/>
      <c r="D177" s="20"/>
      <c r="E177" s="20"/>
      <c r="F177" s="20"/>
      <c r="G177" s="20"/>
      <c r="H177" s="33" t="s">
        <v>160</v>
      </c>
      <c r="I177" s="33" t="s">
        <v>83</v>
      </c>
      <c r="J177" s="21"/>
      <c r="K177" s="20" t="str">
        <f t="shared" si="1"/>
        <v>ROADS,TRANSPORT AND PUBLIC WORKS</v>
      </c>
      <c r="L177" s="20" t="s">
        <v>107</v>
      </c>
      <c r="M177" s="20" t="str">
        <f t="shared" si="2"/>
        <v>ROADS,TRANSPORT AND PUBLIC WORKS</v>
      </c>
      <c r="N177" s="22" t="s">
        <v>119</v>
      </c>
      <c r="O177" s="22" t="s">
        <v>120</v>
      </c>
      <c r="P177" s="20" t="s">
        <v>121</v>
      </c>
      <c r="Q177" s="20" t="s">
        <v>121</v>
      </c>
      <c r="R177" s="30">
        <v>4930000.0</v>
      </c>
      <c r="S177" s="30">
        <v>4930000.0</v>
      </c>
      <c r="T177" s="30">
        <v>4930000.0</v>
      </c>
      <c r="U177" s="20" t="s">
        <v>71</v>
      </c>
      <c r="V177" s="20"/>
      <c r="W177" s="30">
        <v>4930000.0</v>
      </c>
      <c r="X177" s="20"/>
      <c r="Y177" s="30">
        <v>4930000.0</v>
      </c>
      <c r="Z177" s="24">
        <f t="shared" si="3"/>
        <v>1</v>
      </c>
      <c r="AA177" s="23">
        <f t="shared" si="5"/>
        <v>4930000</v>
      </c>
      <c r="AB177" s="20"/>
      <c r="AC177" s="25">
        <f t="shared" si="4"/>
        <v>0</v>
      </c>
      <c r="AD177" s="20" t="s">
        <v>72</v>
      </c>
      <c r="AE177" s="20"/>
      <c r="AF177" s="20"/>
      <c r="AG177" s="20"/>
      <c r="AH177" s="20"/>
      <c r="AI177" s="20"/>
      <c r="AJ177" s="20"/>
      <c r="AK177" s="20"/>
      <c r="AL177" s="20"/>
      <c r="AM177" s="20"/>
      <c r="AN177" s="26"/>
      <c r="AO177" s="26"/>
      <c r="AP177" s="26"/>
      <c r="AQ177" s="26"/>
      <c r="AR177" s="26"/>
      <c r="AS177" s="26"/>
      <c r="AT177" s="26"/>
    </row>
    <row r="178">
      <c r="A178" s="20">
        <v>176.0</v>
      </c>
      <c r="B178" s="29" t="s">
        <v>263</v>
      </c>
      <c r="C178" s="30"/>
      <c r="D178" s="20"/>
      <c r="E178" s="20"/>
      <c r="F178" s="20"/>
      <c r="G178" s="20"/>
      <c r="H178" s="33" t="s">
        <v>160</v>
      </c>
      <c r="I178" s="33" t="s">
        <v>207</v>
      </c>
      <c r="J178" s="21"/>
      <c r="K178" s="20" t="str">
        <f t="shared" si="1"/>
        <v>ROADS,TRANSPORT AND PUBLIC WORKS</v>
      </c>
      <c r="L178" s="20" t="s">
        <v>107</v>
      </c>
      <c r="M178" s="20" t="str">
        <f t="shared" si="2"/>
        <v>ROADS,TRANSPORT AND PUBLIC WORKS</v>
      </c>
      <c r="N178" s="22" t="s">
        <v>119</v>
      </c>
      <c r="O178" s="22" t="s">
        <v>120</v>
      </c>
      <c r="P178" s="20" t="s">
        <v>121</v>
      </c>
      <c r="Q178" s="20" t="s">
        <v>121</v>
      </c>
      <c r="R178" s="30">
        <v>4930000.0</v>
      </c>
      <c r="S178" s="30">
        <v>4930000.0</v>
      </c>
      <c r="T178" s="30">
        <v>4930000.0</v>
      </c>
      <c r="U178" s="20" t="s">
        <v>71</v>
      </c>
      <c r="V178" s="20"/>
      <c r="W178" s="30">
        <v>4930000.0</v>
      </c>
      <c r="X178" s="20"/>
      <c r="Y178" s="30">
        <v>4930000.0</v>
      </c>
      <c r="Z178" s="24">
        <f t="shared" si="3"/>
        <v>1</v>
      </c>
      <c r="AA178" s="23">
        <f t="shared" si="5"/>
        <v>4930000</v>
      </c>
      <c r="AB178" s="20"/>
      <c r="AC178" s="25">
        <f t="shared" si="4"/>
        <v>0</v>
      </c>
      <c r="AD178" s="20" t="s">
        <v>72</v>
      </c>
      <c r="AE178" s="20"/>
      <c r="AF178" s="20"/>
      <c r="AG178" s="20"/>
      <c r="AH178" s="20"/>
      <c r="AI178" s="20"/>
      <c r="AJ178" s="20"/>
      <c r="AK178" s="20"/>
      <c r="AL178" s="20"/>
      <c r="AM178" s="20"/>
      <c r="AN178" s="26"/>
      <c r="AO178" s="26"/>
      <c r="AP178" s="26"/>
      <c r="AQ178" s="26"/>
      <c r="AR178" s="26"/>
      <c r="AS178" s="26"/>
      <c r="AT178" s="26"/>
    </row>
    <row r="179">
      <c r="A179" s="20">
        <v>177.0</v>
      </c>
      <c r="B179" s="29" t="s">
        <v>264</v>
      </c>
      <c r="C179" s="30"/>
      <c r="D179" s="20"/>
      <c r="E179" s="20"/>
      <c r="F179" s="20"/>
      <c r="G179" s="20"/>
      <c r="H179" s="33" t="s">
        <v>81</v>
      </c>
      <c r="I179" s="33" t="s">
        <v>83</v>
      </c>
      <c r="J179" s="21"/>
      <c r="K179" s="20" t="str">
        <f t="shared" si="1"/>
        <v>ROADS,TRANSPORT AND PUBLIC WORKS</v>
      </c>
      <c r="L179" s="20" t="s">
        <v>107</v>
      </c>
      <c r="M179" s="20" t="str">
        <f t="shared" si="2"/>
        <v>ROADS,TRANSPORT AND PUBLIC WORKS</v>
      </c>
      <c r="N179" s="22" t="s">
        <v>119</v>
      </c>
      <c r="O179" s="22" t="s">
        <v>120</v>
      </c>
      <c r="P179" s="20" t="s">
        <v>121</v>
      </c>
      <c r="Q179" s="20" t="s">
        <v>121</v>
      </c>
      <c r="R179" s="30">
        <v>4930000.0</v>
      </c>
      <c r="S179" s="30">
        <v>4930000.0</v>
      </c>
      <c r="T179" s="30">
        <v>4930000.0</v>
      </c>
      <c r="U179" s="20" t="s">
        <v>71</v>
      </c>
      <c r="V179" s="20"/>
      <c r="W179" s="30">
        <v>4930000.0</v>
      </c>
      <c r="X179" s="20"/>
      <c r="Y179" s="30">
        <v>4930000.0</v>
      </c>
      <c r="Z179" s="24">
        <f t="shared" si="3"/>
        <v>1</v>
      </c>
      <c r="AA179" s="23">
        <f t="shared" si="5"/>
        <v>4930000</v>
      </c>
      <c r="AB179" s="20"/>
      <c r="AC179" s="25">
        <f t="shared" si="4"/>
        <v>0</v>
      </c>
      <c r="AD179" s="20" t="s">
        <v>72</v>
      </c>
      <c r="AE179" s="20"/>
      <c r="AF179" s="20"/>
      <c r="AG179" s="20"/>
      <c r="AH179" s="20"/>
      <c r="AI179" s="20"/>
      <c r="AJ179" s="20"/>
      <c r="AK179" s="20"/>
      <c r="AL179" s="20"/>
      <c r="AM179" s="20"/>
      <c r="AN179" s="26"/>
      <c r="AO179" s="26"/>
      <c r="AP179" s="26"/>
      <c r="AQ179" s="26"/>
      <c r="AR179" s="26"/>
      <c r="AS179" s="26"/>
      <c r="AT179" s="26"/>
    </row>
    <row r="180">
      <c r="A180" s="20">
        <v>178.0</v>
      </c>
      <c r="B180" s="29" t="s">
        <v>265</v>
      </c>
      <c r="C180" s="30"/>
      <c r="D180" s="20"/>
      <c r="E180" s="20"/>
      <c r="F180" s="20"/>
      <c r="G180" s="20"/>
      <c r="H180" s="33" t="s">
        <v>65</v>
      </c>
      <c r="I180" s="33" t="s">
        <v>66</v>
      </c>
      <c r="J180" s="21"/>
      <c r="K180" s="20" t="str">
        <f t="shared" si="1"/>
        <v>ROADS,TRANSPORT AND PUBLIC WORKS</v>
      </c>
      <c r="L180" s="20" t="s">
        <v>107</v>
      </c>
      <c r="M180" s="20" t="str">
        <f t="shared" si="2"/>
        <v>ROADS,TRANSPORT AND PUBLIC WORKS</v>
      </c>
      <c r="N180" s="22" t="s">
        <v>119</v>
      </c>
      <c r="O180" s="22" t="s">
        <v>120</v>
      </c>
      <c r="P180" s="20" t="s">
        <v>121</v>
      </c>
      <c r="Q180" s="20" t="s">
        <v>121</v>
      </c>
      <c r="R180" s="30">
        <v>5142500.0</v>
      </c>
      <c r="S180" s="30">
        <v>5142500.0</v>
      </c>
      <c r="T180" s="30">
        <v>5142500.0</v>
      </c>
      <c r="U180" s="20" t="s">
        <v>71</v>
      </c>
      <c r="V180" s="20"/>
      <c r="W180" s="30">
        <v>5142500.0</v>
      </c>
      <c r="X180" s="20"/>
      <c r="Y180" s="30">
        <v>5142500.0</v>
      </c>
      <c r="Z180" s="24">
        <f t="shared" si="3"/>
        <v>1</v>
      </c>
      <c r="AA180" s="23">
        <f t="shared" si="5"/>
        <v>5142500</v>
      </c>
      <c r="AB180" s="20"/>
      <c r="AC180" s="25">
        <f t="shared" si="4"/>
        <v>0</v>
      </c>
      <c r="AD180" s="20" t="s">
        <v>72</v>
      </c>
      <c r="AE180" s="20"/>
      <c r="AF180" s="20"/>
      <c r="AG180" s="20"/>
      <c r="AH180" s="20"/>
      <c r="AI180" s="20"/>
      <c r="AJ180" s="20"/>
      <c r="AK180" s="20"/>
      <c r="AL180" s="20"/>
      <c r="AM180" s="20"/>
      <c r="AN180" s="26"/>
      <c r="AO180" s="26"/>
      <c r="AP180" s="26"/>
      <c r="AQ180" s="26"/>
      <c r="AR180" s="26"/>
      <c r="AS180" s="26"/>
      <c r="AT180" s="26"/>
    </row>
    <row r="181">
      <c r="A181" s="20">
        <v>179.0</v>
      </c>
      <c r="B181" s="29" t="s">
        <v>266</v>
      </c>
      <c r="C181" s="30"/>
      <c r="D181" s="20"/>
      <c r="E181" s="20"/>
      <c r="F181" s="20"/>
      <c r="G181" s="20"/>
      <c r="H181" s="33" t="s">
        <v>77</v>
      </c>
      <c r="I181" s="33" t="s">
        <v>77</v>
      </c>
      <c r="J181" s="21"/>
      <c r="K181" s="20" t="str">
        <f t="shared" si="1"/>
        <v>ROADS,TRANSPORT AND PUBLIC WORKS</v>
      </c>
      <c r="L181" s="20" t="s">
        <v>107</v>
      </c>
      <c r="M181" s="20" t="str">
        <f t="shared" si="2"/>
        <v>ROADS,TRANSPORT AND PUBLIC WORKS</v>
      </c>
      <c r="N181" s="22" t="s">
        <v>119</v>
      </c>
      <c r="O181" s="22" t="s">
        <v>120</v>
      </c>
      <c r="P181" s="20" t="s">
        <v>121</v>
      </c>
      <c r="Q181" s="20" t="s">
        <v>121</v>
      </c>
      <c r="R181" s="30">
        <v>9785000.0</v>
      </c>
      <c r="S181" s="30">
        <v>9785000.0</v>
      </c>
      <c r="T181" s="30">
        <v>9785000.0</v>
      </c>
      <c r="U181" s="20" t="s">
        <v>71</v>
      </c>
      <c r="V181" s="20"/>
      <c r="W181" s="30">
        <v>9785000.0</v>
      </c>
      <c r="X181" s="20"/>
      <c r="Y181" s="30">
        <v>9785000.0</v>
      </c>
      <c r="Z181" s="24">
        <f t="shared" si="3"/>
        <v>1</v>
      </c>
      <c r="AA181" s="23">
        <f t="shared" si="5"/>
        <v>9785000</v>
      </c>
      <c r="AB181" s="20"/>
      <c r="AC181" s="25">
        <f t="shared" si="4"/>
        <v>0</v>
      </c>
      <c r="AD181" s="20" t="s">
        <v>72</v>
      </c>
      <c r="AE181" s="20"/>
      <c r="AF181" s="20"/>
      <c r="AG181" s="20"/>
      <c r="AH181" s="20"/>
      <c r="AI181" s="20"/>
      <c r="AJ181" s="20"/>
      <c r="AK181" s="20"/>
      <c r="AL181" s="20"/>
      <c r="AM181" s="20"/>
      <c r="AN181" s="26"/>
      <c r="AO181" s="26"/>
      <c r="AP181" s="26"/>
      <c r="AQ181" s="26"/>
      <c r="AR181" s="26"/>
      <c r="AS181" s="26"/>
      <c r="AT181" s="26"/>
    </row>
    <row r="182">
      <c r="A182" s="20">
        <v>180.0</v>
      </c>
      <c r="B182" s="29" t="s">
        <v>267</v>
      </c>
      <c r="C182" s="30"/>
      <c r="D182" s="20"/>
      <c r="E182" s="20"/>
      <c r="F182" s="20"/>
      <c r="G182" s="20"/>
      <c r="H182" s="33" t="s">
        <v>113</v>
      </c>
      <c r="I182" s="33" t="s">
        <v>114</v>
      </c>
      <c r="J182" s="21"/>
      <c r="K182" s="20" t="str">
        <f t="shared" si="1"/>
        <v>WATER,ENVIRONMENT,CLIMATE CHANGE AND NATURAL RESOURCES</v>
      </c>
      <c r="L182" s="20" t="s">
        <v>75</v>
      </c>
      <c r="M182" s="20" t="str">
        <f t="shared" si="2"/>
        <v>WATER,ENVIRONMENT,CLIMATE CHANGE AND NATURAL RESOURCES</v>
      </c>
      <c r="N182" s="22" t="s">
        <v>119</v>
      </c>
      <c r="O182" s="22" t="s">
        <v>120</v>
      </c>
      <c r="P182" s="20" t="s">
        <v>121</v>
      </c>
      <c r="Q182" s="20" t="s">
        <v>121</v>
      </c>
      <c r="R182" s="30">
        <v>2.125E7</v>
      </c>
      <c r="S182" s="30">
        <v>2.125E7</v>
      </c>
      <c r="T182" s="30">
        <v>2.125E7</v>
      </c>
      <c r="U182" s="20" t="s">
        <v>71</v>
      </c>
      <c r="V182" s="20"/>
      <c r="W182" s="30">
        <v>2.125E7</v>
      </c>
      <c r="X182" s="20"/>
      <c r="Y182" s="30">
        <v>2.125E7</v>
      </c>
      <c r="Z182" s="24">
        <f t="shared" si="3"/>
        <v>1</v>
      </c>
      <c r="AA182" s="23">
        <f t="shared" si="5"/>
        <v>21250000</v>
      </c>
      <c r="AB182" s="20"/>
      <c r="AC182" s="25">
        <f t="shared" si="4"/>
        <v>0</v>
      </c>
      <c r="AD182" s="20" t="s">
        <v>72</v>
      </c>
      <c r="AE182" s="20"/>
      <c r="AF182" s="20"/>
      <c r="AG182" s="20"/>
      <c r="AH182" s="20"/>
      <c r="AI182" s="20"/>
      <c r="AJ182" s="20"/>
      <c r="AK182" s="20"/>
      <c r="AL182" s="20"/>
      <c r="AM182" s="20"/>
      <c r="AN182" s="26"/>
      <c r="AO182" s="26"/>
      <c r="AP182" s="26"/>
      <c r="AQ182" s="26"/>
      <c r="AR182" s="26"/>
      <c r="AS182" s="26"/>
      <c r="AT182" s="26"/>
    </row>
    <row r="183">
      <c r="A183" s="20">
        <v>181.0</v>
      </c>
      <c r="B183" s="29" t="s">
        <v>268</v>
      </c>
      <c r="C183" s="30"/>
      <c r="D183" s="20"/>
      <c r="E183" s="20"/>
      <c r="F183" s="20"/>
      <c r="G183" s="20"/>
      <c r="H183" s="33" t="s">
        <v>77</v>
      </c>
      <c r="I183" s="33" t="s">
        <v>77</v>
      </c>
      <c r="J183" s="21"/>
      <c r="K183" s="20" t="str">
        <f t="shared" si="1"/>
        <v>WATER,ENVIRONMENT,CLIMATE CHANGE AND NATURAL RESOURCES</v>
      </c>
      <c r="L183" s="20" t="s">
        <v>75</v>
      </c>
      <c r="M183" s="20" t="str">
        <f t="shared" si="2"/>
        <v>WATER,ENVIRONMENT,CLIMATE CHANGE AND NATURAL RESOURCES</v>
      </c>
      <c r="N183" s="22" t="s">
        <v>119</v>
      </c>
      <c r="O183" s="22" t="s">
        <v>120</v>
      </c>
      <c r="P183" s="20" t="s">
        <v>121</v>
      </c>
      <c r="Q183" s="20" t="s">
        <v>121</v>
      </c>
      <c r="R183" s="30">
        <v>1045000.0</v>
      </c>
      <c r="S183" s="30">
        <v>1045000.0</v>
      </c>
      <c r="T183" s="30">
        <v>1045000.0</v>
      </c>
      <c r="U183" s="20" t="s">
        <v>71</v>
      </c>
      <c r="V183" s="20"/>
      <c r="W183" s="30">
        <v>1045000.0</v>
      </c>
      <c r="X183" s="20"/>
      <c r="Y183" s="30">
        <v>1045000.0</v>
      </c>
      <c r="Z183" s="24">
        <f t="shared" si="3"/>
        <v>1</v>
      </c>
      <c r="AA183" s="23">
        <f t="shared" si="5"/>
        <v>1045000</v>
      </c>
      <c r="AB183" s="20"/>
      <c r="AC183" s="25">
        <f t="shared" si="4"/>
        <v>0</v>
      </c>
      <c r="AD183" s="20" t="s">
        <v>72</v>
      </c>
      <c r="AE183" s="20"/>
      <c r="AF183" s="20"/>
      <c r="AG183" s="20"/>
      <c r="AH183" s="20"/>
      <c r="AI183" s="20"/>
      <c r="AJ183" s="20"/>
      <c r="AK183" s="20"/>
      <c r="AL183" s="20"/>
      <c r="AM183" s="20"/>
      <c r="AN183" s="26"/>
      <c r="AO183" s="26"/>
      <c r="AP183" s="26"/>
      <c r="AQ183" s="26"/>
      <c r="AR183" s="26"/>
      <c r="AS183" s="26"/>
      <c r="AT183" s="26"/>
    </row>
    <row r="184">
      <c r="A184" s="20">
        <v>182.0</v>
      </c>
      <c r="B184" s="29" t="s">
        <v>269</v>
      </c>
      <c r="C184" s="30"/>
      <c r="D184" s="20"/>
      <c r="E184" s="20"/>
      <c r="F184" s="20"/>
      <c r="G184" s="20"/>
      <c r="H184" s="33" t="s">
        <v>65</v>
      </c>
      <c r="I184" s="33" t="s">
        <v>66</v>
      </c>
      <c r="J184" s="21"/>
      <c r="K184" s="20" t="str">
        <f t="shared" si="1"/>
        <v>ROADS,TRANSPORT AND PUBLIC WORKS</v>
      </c>
      <c r="L184" s="20" t="s">
        <v>107</v>
      </c>
      <c r="M184" s="20" t="str">
        <f t="shared" si="2"/>
        <v>ROADS,TRANSPORT AND PUBLIC WORKS</v>
      </c>
      <c r="N184" s="22" t="s">
        <v>119</v>
      </c>
      <c r="O184" s="22" t="s">
        <v>120</v>
      </c>
      <c r="P184" s="20" t="s">
        <v>121</v>
      </c>
      <c r="Q184" s="20" t="s">
        <v>121</v>
      </c>
      <c r="R184" s="30">
        <v>1425000.0</v>
      </c>
      <c r="S184" s="30">
        <v>1425000.0</v>
      </c>
      <c r="T184" s="30">
        <v>1425000.0</v>
      </c>
      <c r="U184" s="20" t="s">
        <v>71</v>
      </c>
      <c r="V184" s="20"/>
      <c r="W184" s="30">
        <v>1425000.0</v>
      </c>
      <c r="X184" s="20"/>
      <c r="Y184" s="30">
        <v>1425000.0</v>
      </c>
      <c r="Z184" s="24">
        <f t="shared" si="3"/>
        <v>1</v>
      </c>
      <c r="AA184" s="23">
        <f t="shared" si="5"/>
        <v>1425000</v>
      </c>
      <c r="AB184" s="20"/>
      <c r="AC184" s="25">
        <f t="shared" si="4"/>
        <v>0</v>
      </c>
      <c r="AD184" s="20" t="s">
        <v>72</v>
      </c>
      <c r="AE184" s="20"/>
      <c r="AF184" s="20"/>
      <c r="AG184" s="20"/>
      <c r="AH184" s="20"/>
      <c r="AI184" s="20"/>
      <c r="AJ184" s="20"/>
      <c r="AK184" s="20"/>
      <c r="AL184" s="20"/>
      <c r="AM184" s="20"/>
      <c r="AN184" s="26"/>
      <c r="AO184" s="26"/>
      <c r="AP184" s="26"/>
      <c r="AQ184" s="26"/>
      <c r="AR184" s="26"/>
      <c r="AS184" s="26"/>
      <c r="AT184" s="26"/>
    </row>
    <row r="185">
      <c r="A185" s="20">
        <v>183.0</v>
      </c>
      <c r="B185" s="29" t="s">
        <v>270</v>
      </c>
      <c r="C185" s="30"/>
      <c r="D185" s="20"/>
      <c r="E185" s="20"/>
      <c r="F185" s="20"/>
      <c r="G185" s="20"/>
      <c r="H185" s="33" t="s">
        <v>65</v>
      </c>
      <c r="I185" s="33" t="s">
        <v>66</v>
      </c>
      <c r="J185" s="21"/>
      <c r="K185" s="20" t="str">
        <f t="shared" si="1"/>
        <v>ROADS,TRANSPORT AND PUBLIC WORKS</v>
      </c>
      <c r="L185" s="20" t="s">
        <v>107</v>
      </c>
      <c r="M185" s="20" t="str">
        <f t="shared" si="2"/>
        <v>ROADS,TRANSPORT AND PUBLIC WORKS</v>
      </c>
      <c r="N185" s="22" t="s">
        <v>119</v>
      </c>
      <c r="O185" s="22" t="s">
        <v>120</v>
      </c>
      <c r="P185" s="20" t="s">
        <v>121</v>
      </c>
      <c r="Q185" s="20" t="s">
        <v>121</v>
      </c>
      <c r="R185" s="30">
        <v>2850000.0</v>
      </c>
      <c r="S185" s="30">
        <v>2850000.0</v>
      </c>
      <c r="T185" s="30">
        <v>2850000.0</v>
      </c>
      <c r="U185" s="20" t="s">
        <v>71</v>
      </c>
      <c r="V185" s="20"/>
      <c r="W185" s="30">
        <v>2850000.0</v>
      </c>
      <c r="X185" s="20"/>
      <c r="Y185" s="30">
        <v>2850000.0</v>
      </c>
      <c r="Z185" s="24">
        <f t="shared" si="3"/>
        <v>1</v>
      </c>
      <c r="AA185" s="23">
        <f t="shared" si="5"/>
        <v>2850000</v>
      </c>
      <c r="AB185" s="20"/>
      <c r="AC185" s="25">
        <f t="shared" si="4"/>
        <v>0</v>
      </c>
      <c r="AD185" s="20" t="s">
        <v>72</v>
      </c>
      <c r="AE185" s="20"/>
      <c r="AF185" s="20"/>
      <c r="AG185" s="20"/>
      <c r="AH185" s="20"/>
      <c r="AI185" s="20"/>
      <c r="AJ185" s="20"/>
      <c r="AK185" s="20"/>
      <c r="AL185" s="20"/>
      <c r="AM185" s="20"/>
      <c r="AN185" s="26"/>
      <c r="AO185" s="26"/>
      <c r="AP185" s="26"/>
      <c r="AQ185" s="26"/>
      <c r="AR185" s="26"/>
      <c r="AS185" s="26"/>
      <c r="AT185" s="26"/>
    </row>
    <row r="186">
      <c r="A186" s="20">
        <v>184.0</v>
      </c>
      <c r="B186" s="29" t="s">
        <v>271</v>
      </c>
      <c r="C186" s="30"/>
      <c r="D186" s="20"/>
      <c r="E186" s="20"/>
      <c r="F186" s="20"/>
      <c r="G186" s="20"/>
      <c r="H186" s="33" t="s">
        <v>77</v>
      </c>
      <c r="I186" s="33" t="s">
        <v>77</v>
      </c>
      <c r="J186" s="21"/>
      <c r="K186" s="20" t="str">
        <f t="shared" si="1"/>
        <v>Health services</v>
      </c>
      <c r="L186" s="20" t="s">
        <v>67</v>
      </c>
      <c r="M186" s="20" t="str">
        <f t="shared" si="2"/>
        <v>Health services</v>
      </c>
      <c r="N186" s="22" t="s">
        <v>119</v>
      </c>
      <c r="O186" s="22" t="s">
        <v>120</v>
      </c>
      <c r="P186" s="20" t="s">
        <v>121</v>
      </c>
      <c r="Q186" s="20" t="s">
        <v>121</v>
      </c>
      <c r="R186" s="30">
        <v>5225000.0</v>
      </c>
      <c r="S186" s="30">
        <v>5225000.0</v>
      </c>
      <c r="T186" s="30">
        <v>5225000.0</v>
      </c>
      <c r="U186" s="20" t="s">
        <v>71</v>
      </c>
      <c r="V186" s="20"/>
      <c r="W186" s="30">
        <v>5225000.0</v>
      </c>
      <c r="X186" s="20"/>
      <c r="Y186" s="30">
        <v>5225000.0</v>
      </c>
      <c r="Z186" s="24">
        <f t="shared" si="3"/>
        <v>1</v>
      </c>
      <c r="AA186" s="23">
        <f t="shared" si="5"/>
        <v>5225000</v>
      </c>
      <c r="AB186" s="20"/>
      <c r="AC186" s="25">
        <f t="shared" si="4"/>
        <v>0</v>
      </c>
      <c r="AD186" s="20" t="s">
        <v>72</v>
      </c>
      <c r="AE186" s="20"/>
      <c r="AF186" s="20"/>
      <c r="AG186" s="20"/>
      <c r="AH186" s="20"/>
      <c r="AI186" s="20"/>
      <c r="AJ186" s="20"/>
      <c r="AK186" s="20"/>
      <c r="AL186" s="20"/>
      <c r="AM186" s="20"/>
      <c r="AN186" s="26"/>
      <c r="AO186" s="26"/>
      <c r="AP186" s="26"/>
      <c r="AQ186" s="26"/>
      <c r="AR186" s="26"/>
      <c r="AS186" s="26"/>
      <c r="AT186" s="26"/>
    </row>
    <row r="187">
      <c r="A187" s="20">
        <v>185.0</v>
      </c>
      <c r="B187" s="29" t="s">
        <v>272</v>
      </c>
      <c r="C187" s="30"/>
      <c r="D187" s="20"/>
      <c r="E187" s="20"/>
      <c r="F187" s="20"/>
      <c r="G187" s="20"/>
      <c r="H187" s="33" t="s">
        <v>113</v>
      </c>
      <c r="I187" s="33" t="s">
        <v>114</v>
      </c>
      <c r="J187" s="21"/>
      <c r="K187" s="20" t="str">
        <f t="shared" si="1"/>
        <v>ROADS,TRANSPORT AND PUBLIC WORKS</v>
      </c>
      <c r="L187" s="20" t="s">
        <v>107</v>
      </c>
      <c r="M187" s="20" t="str">
        <f t="shared" si="2"/>
        <v>ROADS,TRANSPORT AND PUBLIC WORKS</v>
      </c>
      <c r="N187" s="22" t="s">
        <v>119</v>
      </c>
      <c r="O187" s="22" t="s">
        <v>120</v>
      </c>
      <c r="P187" s="20" t="s">
        <v>121</v>
      </c>
      <c r="Q187" s="20" t="s">
        <v>121</v>
      </c>
      <c r="R187" s="30">
        <v>8550000.0</v>
      </c>
      <c r="S187" s="30">
        <v>8550000.0</v>
      </c>
      <c r="T187" s="30">
        <v>8550000.0</v>
      </c>
      <c r="U187" s="20" t="s">
        <v>71</v>
      </c>
      <c r="V187" s="20"/>
      <c r="W187" s="30">
        <v>8550000.0</v>
      </c>
      <c r="X187" s="20"/>
      <c r="Y187" s="30">
        <v>8550000.0</v>
      </c>
      <c r="Z187" s="24">
        <f t="shared" si="3"/>
        <v>1</v>
      </c>
      <c r="AA187" s="23">
        <f t="shared" si="5"/>
        <v>8550000</v>
      </c>
      <c r="AB187" s="20"/>
      <c r="AC187" s="25">
        <f t="shared" si="4"/>
        <v>0</v>
      </c>
      <c r="AD187" s="20" t="s">
        <v>72</v>
      </c>
      <c r="AE187" s="20"/>
      <c r="AF187" s="20"/>
      <c r="AG187" s="20"/>
      <c r="AH187" s="20"/>
      <c r="AI187" s="20"/>
      <c r="AJ187" s="20"/>
      <c r="AK187" s="20"/>
      <c r="AL187" s="20"/>
      <c r="AM187" s="20"/>
      <c r="AN187" s="26"/>
      <c r="AO187" s="26"/>
      <c r="AP187" s="26"/>
      <c r="AQ187" s="26"/>
      <c r="AR187" s="26"/>
      <c r="AS187" s="26"/>
      <c r="AT187" s="26"/>
    </row>
    <row r="188">
      <c r="A188" s="20">
        <v>186.0</v>
      </c>
      <c r="B188" s="29" t="s">
        <v>273</v>
      </c>
      <c r="C188" s="30"/>
      <c r="D188" s="20"/>
      <c r="E188" s="20"/>
      <c r="F188" s="20"/>
      <c r="G188" s="20"/>
      <c r="H188" s="33" t="s">
        <v>77</v>
      </c>
      <c r="I188" s="33" t="s">
        <v>77</v>
      </c>
      <c r="J188" s="21"/>
      <c r="K188" s="20" t="str">
        <f t="shared" si="1"/>
        <v>WATER,ENVIRONMENT,CLIMATE CHANGE AND NATURAL RESOURCES</v>
      </c>
      <c r="L188" s="20" t="s">
        <v>75</v>
      </c>
      <c r="M188" s="20" t="str">
        <f t="shared" si="2"/>
        <v>WATER,ENVIRONMENT,CLIMATE CHANGE AND NATURAL RESOURCES</v>
      </c>
      <c r="N188" s="22" t="s">
        <v>119</v>
      </c>
      <c r="O188" s="22" t="s">
        <v>120</v>
      </c>
      <c r="P188" s="20" t="s">
        <v>121</v>
      </c>
      <c r="Q188" s="20" t="s">
        <v>121</v>
      </c>
      <c r="R188" s="30">
        <v>1425000.0</v>
      </c>
      <c r="S188" s="30">
        <v>1425000.0</v>
      </c>
      <c r="T188" s="30">
        <v>1425000.0</v>
      </c>
      <c r="U188" s="20" t="s">
        <v>71</v>
      </c>
      <c r="V188" s="20"/>
      <c r="W188" s="30">
        <v>1425000.0</v>
      </c>
      <c r="X188" s="20"/>
      <c r="Y188" s="30">
        <v>1425000.0</v>
      </c>
      <c r="Z188" s="24">
        <f t="shared" si="3"/>
        <v>1</v>
      </c>
      <c r="AA188" s="23">
        <f t="shared" si="5"/>
        <v>1425000</v>
      </c>
      <c r="AB188" s="20"/>
      <c r="AC188" s="25">
        <f t="shared" si="4"/>
        <v>0</v>
      </c>
      <c r="AD188" s="20" t="s">
        <v>72</v>
      </c>
      <c r="AE188" s="20"/>
      <c r="AF188" s="20"/>
      <c r="AG188" s="20"/>
      <c r="AH188" s="20"/>
      <c r="AI188" s="20"/>
      <c r="AJ188" s="20"/>
      <c r="AK188" s="20"/>
      <c r="AL188" s="20"/>
      <c r="AM188" s="20"/>
      <c r="AN188" s="26"/>
      <c r="AO188" s="26"/>
      <c r="AP188" s="26"/>
      <c r="AQ188" s="26"/>
      <c r="AR188" s="26"/>
      <c r="AS188" s="26"/>
      <c r="AT188" s="26"/>
    </row>
    <row r="189">
      <c r="A189" s="20">
        <v>187.0</v>
      </c>
      <c r="B189" s="29" t="s">
        <v>274</v>
      </c>
      <c r="C189" s="30"/>
      <c r="D189" s="20"/>
      <c r="E189" s="20"/>
      <c r="F189" s="20"/>
      <c r="G189" s="20"/>
      <c r="H189" s="33" t="s">
        <v>77</v>
      </c>
      <c r="I189" s="33" t="s">
        <v>77</v>
      </c>
      <c r="J189" s="21"/>
      <c r="K189" s="20" t="str">
        <f t="shared" si="1"/>
        <v>WATER,ENVIRONMENT,CLIMATE CHANGE AND NATURAL RESOURCES</v>
      </c>
      <c r="L189" s="20" t="s">
        <v>75</v>
      </c>
      <c r="M189" s="20" t="str">
        <f t="shared" si="2"/>
        <v>WATER,ENVIRONMENT,CLIMATE CHANGE AND NATURAL RESOURCES</v>
      </c>
      <c r="N189" s="22" t="s">
        <v>119</v>
      </c>
      <c r="O189" s="22" t="s">
        <v>120</v>
      </c>
      <c r="P189" s="20" t="s">
        <v>121</v>
      </c>
      <c r="Q189" s="20" t="s">
        <v>121</v>
      </c>
      <c r="R189" s="30">
        <v>3325000.0</v>
      </c>
      <c r="S189" s="30">
        <v>3325000.0</v>
      </c>
      <c r="T189" s="30">
        <v>3325000.0</v>
      </c>
      <c r="U189" s="20" t="s">
        <v>71</v>
      </c>
      <c r="V189" s="20"/>
      <c r="W189" s="30">
        <v>3325000.0</v>
      </c>
      <c r="X189" s="20"/>
      <c r="Y189" s="30">
        <v>3325000.0</v>
      </c>
      <c r="Z189" s="24">
        <f t="shared" si="3"/>
        <v>1</v>
      </c>
      <c r="AA189" s="23">
        <f t="shared" si="5"/>
        <v>3325000</v>
      </c>
      <c r="AB189" s="20"/>
      <c r="AC189" s="25">
        <f t="shared" si="4"/>
        <v>0</v>
      </c>
      <c r="AD189" s="20" t="s">
        <v>72</v>
      </c>
      <c r="AE189" s="20"/>
      <c r="AF189" s="20"/>
      <c r="AG189" s="20"/>
      <c r="AH189" s="20"/>
      <c r="AI189" s="20"/>
      <c r="AJ189" s="20"/>
      <c r="AK189" s="20"/>
      <c r="AL189" s="20"/>
      <c r="AM189" s="20"/>
      <c r="AN189" s="26"/>
      <c r="AO189" s="26"/>
      <c r="AP189" s="26"/>
      <c r="AQ189" s="26"/>
      <c r="AR189" s="26"/>
      <c r="AS189" s="26"/>
      <c r="AT189" s="26"/>
    </row>
    <row r="190">
      <c r="A190" s="20">
        <v>188.0</v>
      </c>
      <c r="B190" s="29" t="s">
        <v>275</v>
      </c>
      <c r="C190" s="30"/>
      <c r="D190" s="20"/>
      <c r="E190" s="20"/>
      <c r="F190" s="20"/>
      <c r="G190" s="20"/>
      <c r="H190" s="33" t="s">
        <v>65</v>
      </c>
      <c r="I190" s="33" t="s">
        <v>87</v>
      </c>
      <c r="J190" s="21"/>
      <c r="K190" s="20" t="str">
        <f t="shared" si="1"/>
        <v>WATER,ENVIRONMENT,CLIMATE CHANGE AND NATURAL RESOURCES</v>
      </c>
      <c r="L190" s="20" t="s">
        <v>75</v>
      </c>
      <c r="M190" s="20" t="str">
        <f t="shared" si="2"/>
        <v>WATER,ENVIRONMENT,CLIMATE CHANGE AND NATURAL RESOURCES</v>
      </c>
      <c r="N190" s="22" t="s">
        <v>119</v>
      </c>
      <c r="O190" s="22" t="s">
        <v>120</v>
      </c>
      <c r="P190" s="20" t="s">
        <v>121</v>
      </c>
      <c r="Q190" s="20" t="s">
        <v>121</v>
      </c>
      <c r="R190" s="30">
        <v>3501200.0</v>
      </c>
      <c r="S190" s="30">
        <v>3501200.0</v>
      </c>
      <c r="T190" s="30">
        <v>3501200.0</v>
      </c>
      <c r="U190" s="20" t="s">
        <v>71</v>
      </c>
      <c r="V190" s="20"/>
      <c r="W190" s="30">
        <v>3501200.0</v>
      </c>
      <c r="X190" s="20"/>
      <c r="Y190" s="30">
        <v>3501200.0</v>
      </c>
      <c r="Z190" s="24">
        <f t="shared" si="3"/>
        <v>1</v>
      </c>
      <c r="AA190" s="23">
        <f t="shared" si="5"/>
        <v>3501200</v>
      </c>
      <c r="AB190" s="20"/>
      <c r="AC190" s="25">
        <f t="shared" si="4"/>
        <v>0</v>
      </c>
      <c r="AD190" s="20" t="s">
        <v>72</v>
      </c>
      <c r="AE190" s="20"/>
      <c r="AF190" s="20"/>
      <c r="AG190" s="20"/>
      <c r="AH190" s="20"/>
      <c r="AI190" s="20"/>
      <c r="AJ190" s="20"/>
      <c r="AK190" s="20"/>
      <c r="AL190" s="20"/>
      <c r="AM190" s="20"/>
      <c r="AN190" s="26"/>
      <c r="AO190" s="26"/>
      <c r="AP190" s="26"/>
      <c r="AQ190" s="26"/>
      <c r="AR190" s="26"/>
      <c r="AS190" s="26"/>
      <c r="AT190" s="26"/>
    </row>
    <row r="191">
      <c r="A191" s="20">
        <v>189.0</v>
      </c>
      <c r="B191" s="29" t="s">
        <v>276</v>
      </c>
      <c r="C191" s="30"/>
      <c r="D191" s="20"/>
      <c r="E191" s="20"/>
      <c r="F191" s="20"/>
      <c r="G191" s="20"/>
      <c r="H191" s="33" t="s">
        <v>77</v>
      </c>
      <c r="I191" s="33" t="s">
        <v>128</v>
      </c>
      <c r="J191" s="21"/>
      <c r="K191" s="20" t="str">
        <f t="shared" si="1"/>
        <v>WATER,ENVIRONMENT,CLIMATE CHANGE AND NATURAL RESOURCES</v>
      </c>
      <c r="L191" s="20" t="s">
        <v>75</v>
      </c>
      <c r="M191" s="20" t="str">
        <f t="shared" si="2"/>
        <v>WATER,ENVIRONMENT,CLIMATE CHANGE AND NATURAL RESOURCES</v>
      </c>
      <c r="N191" s="22" t="s">
        <v>119</v>
      </c>
      <c r="O191" s="22" t="s">
        <v>120</v>
      </c>
      <c r="P191" s="20" t="s">
        <v>121</v>
      </c>
      <c r="Q191" s="20" t="s">
        <v>121</v>
      </c>
      <c r="R191" s="30">
        <v>4000000.0</v>
      </c>
      <c r="S191" s="30">
        <v>4000000.0</v>
      </c>
      <c r="T191" s="30">
        <v>4000000.0</v>
      </c>
      <c r="U191" s="20" t="s">
        <v>71</v>
      </c>
      <c r="V191" s="20"/>
      <c r="W191" s="30">
        <v>4000000.0</v>
      </c>
      <c r="X191" s="20"/>
      <c r="Y191" s="30">
        <v>4000000.0</v>
      </c>
      <c r="Z191" s="24">
        <f t="shared" si="3"/>
        <v>1</v>
      </c>
      <c r="AA191" s="23">
        <f t="shared" si="5"/>
        <v>4000000</v>
      </c>
      <c r="AB191" s="20"/>
      <c r="AC191" s="25">
        <f t="shared" si="4"/>
        <v>0</v>
      </c>
      <c r="AD191" s="20" t="s">
        <v>72</v>
      </c>
      <c r="AE191" s="20"/>
      <c r="AF191" s="20"/>
      <c r="AG191" s="20"/>
      <c r="AH191" s="20"/>
      <c r="AI191" s="20"/>
      <c r="AJ191" s="20"/>
      <c r="AK191" s="20"/>
      <c r="AL191" s="20"/>
      <c r="AM191" s="20"/>
      <c r="AN191" s="26"/>
      <c r="AO191" s="26"/>
      <c r="AP191" s="26"/>
      <c r="AQ191" s="26"/>
      <c r="AR191" s="26"/>
      <c r="AS191" s="26"/>
      <c r="AT191" s="26"/>
    </row>
    <row r="192">
      <c r="A192" s="20">
        <v>190.0</v>
      </c>
      <c r="B192" s="29" t="s">
        <v>267</v>
      </c>
      <c r="C192" s="30"/>
      <c r="D192" s="20"/>
      <c r="E192" s="20"/>
      <c r="F192" s="20"/>
      <c r="G192" s="20"/>
      <c r="H192" s="33" t="s">
        <v>113</v>
      </c>
      <c r="I192" s="33" t="s">
        <v>114</v>
      </c>
      <c r="J192" s="21"/>
      <c r="K192" s="20" t="str">
        <f t="shared" si="1"/>
        <v>WATER,ENVIRONMENT,CLIMATE CHANGE AND NATURAL RESOURCES</v>
      </c>
      <c r="L192" s="20" t="s">
        <v>75</v>
      </c>
      <c r="M192" s="20" t="str">
        <f t="shared" si="2"/>
        <v>WATER,ENVIRONMENT,CLIMATE CHANGE AND NATURAL RESOURCES</v>
      </c>
      <c r="N192" s="22" t="s">
        <v>119</v>
      </c>
      <c r="O192" s="22" t="s">
        <v>120</v>
      </c>
      <c r="P192" s="20" t="s">
        <v>121</v>
      </c>
      <c r="Q192" s="20" t="s">
        <v>121</v>
      </c>
      <c r="R192" s="30">
        <v>1.955E7</v>
      </c>
      <c r="S192" s="30">
        <v>1.955E7</v>
      </c>
      <c r="T192" s="30">
        <v>1.955E7</v>
      </c>
      <c r="U192" s="20" t="s">
        <v>71</v>
      </c>
      <c r="V192" s="20"/>
      <c r="W192" s="30">
        <v>1.955E7</v>
      </c>
      <c r="X192" s="20"/>
      <c r="Y192" s="30">
        <v>1.955E7</v>
      </c>
      <c r="Z192" s="24">
        <f t="shared" si="3"/>
        <v>1</v>
      </c>
      <c r="AA192" s="23">
        <f t="shared" si="5"/>
        <v>19550000</v>
      </c>
      <c r="AB192" s="20"/>
      <c r="AC192" s="25">
        <f t="shared" si="4"/>
        <v>0</v>
      </c>
      <c r="AD192" s="20" t="s">
        <v>72</v>
      </c>
      <c r="AE192" s="20"/>
      <c r="AF192" s="20"/>
      <c r="AG192" s="20"/>
      <c r="AH192" s="20"/>
      <c r="AI192" s="20"/>
      <c r="AJ192" s="20"/>
      <c r="AK192" s="20"/>
      <c r="AL192" s="20"/>
      <c r="AM192" s="20"/>
      <c r="AN192" s="26"/>
      <c r="AO192" s="26"/>
      <c r="AP192" s="26"/>
      <c r="AQ192" s="26"/>
      <c r="AR192" s="26"/>
      <c r="AS192" s="26"/>
      <c r="AT192" s="26"/>
    </row>
    <row r="193">
      <c r="A193" s="20">
        <v>191.0</v>
      </c>
      <c r="B193" s="29" t="s">
        <v>277</v>
      </c>
      <c r="C193" s="30"/>
      <c r="D193" s="20"/>
      <c r="E193" s="20"/>
      <c r="F193" s="20"/>
      <c r="G193" s="20"/>
      <c r="H193" s="33" t="s">
        <v>65</v>
      </c>
      <c r="I193" s="33" t="s">
        <v>87</v>
      </c>
      <c r="J193" s="21"/>
      <c r="K193" s="20" t="str">
        <f t="shared" si="1"/>
        <v>WATER,ENVIRONMENT,CLIMATE CHANGE AND NATURAL RESOURCES</v>
      </c>
      <c r="L193" s="20" t="s">
        <v>75</v>
      </c>
      <c r="M193" s="20" t="str">
        <f t="shared" si="2"/>
        <v>WATER,ENVIRONMENT,CLIMATE CHANGE AND NATURAL RESOURCES</v>
      </c>
      <c r="N193" s="22" t="s">
        <v>119</v>
      </c>
      <c r="O193" s="22" t="s">
        <v>120</v>
      </c>
      <c r="P193" s="20" t="s">
        <v>121</v>
      </c>
      <c r="Q193" s="20" t="s">
        <v>121</v>
      </c>
      <c r="R193" s="30">
        <v>1425000.0</v>
      </c>
      <c r="S193" s="30">
        <v>1425000.0</v>
      </c>
      <c r="T193" s="30">
        <v>1425000.0</v>
      </c>
      <c r="U193" s="20" t="s">
        <v>71</v>
      </c>
      <c r="V193" s="20"/>
      <c r="W193" s="30">
        <v>1425000.0</v>
      </c>
      <c r="X193" s="20"/>
      <c r="Y193" s="30">
        <v>1425000.0</v>
      </c>
      <c r="Z193" s="24">
        <f t="shared" si="3"/>
        <v>1</v>
      </c>
      <c r="AA193" s="23">
        <f t="shared" si="5"/>
        <v>1425000</v>
      </c>
      <c r="AB193" s="20"/>
      <c r="AC193" s="25">
        <f t="shared" si="4"/>
        <v>0</v>
      </c>
      <c r="AD193" s="20" t="s">
        <v>72</v>
      </c>
      <c r="AE193" s="20"/>
      <c r="AF193" s="20"/>
      <c r="AG193" s="20"/>
      <c r="AH193" s="20"/>
      <c r="AI193" s="20"/>
      <c r="AJ193" s="20"/>
      <c r="AK193" s="20"/>
      <c r="AL193" s="20"/>
      <c r="AM193" s="20"/>
      <c r="AN193" s="26"/>
      <c r="AO193" s="26"/>
      <c r="AP193" s="26"/>
      <c r="AQ193" s="26"/>
      <c r="AR193" s="26"/>
      <c r="AS193" s="26"/>
      <c r="AT193" s="26"/>
    </row>
    <row r="194">
      <c r="A194" s="20">
        <v>192.0</v>
      </c>
      <c r="B194" s="29" t="s">
        <v>278</v>
      </c>
      <c r="C194" s="30"/>
      <c r="D194" s="20"/>
      <c r="E194" s="20"/>
      <c r="F194" s="20"/>
      <c r="G194" s="20"/>
      <c r="H194" s="33" t="s">
        <v>65</v>
      </c>
      <c r="I194" s="33" t="s">
        <v>66</v>
      </c>
      <c r="J194" s="21"/>
      <c r="K194" s="20" t="str">
        <f t="shared" si="1"/>
        <v>LANDS,PHYSICAL PLANNING AND URBAN DEVELOPMENT</v>
      </c>
      <c r="L194" s="20" t="s">
        <v>98</v>
      </c>
      <c r="M194" s="20" t="str">
        <f t="shared" si="2"/>
        <v>LANDS,PHYSICAL PLANNING AND URBAN DEVELOPMENT</v>
      </c>
      <c r="N194" s="22" t="s">
        <v>119</v>
      </c>
      <c r="O194" s="22" t="s">
        <v>120</v>
      </c>
      <c r="P194" s="20" t="s">
        <v>121</v>
      </c>
      <c r="Q194" s="20" t="s">
        <v>121</v>
      </c>
      <c r="R194" s="30">
        <v>9500000.0</v>
      </c>
      <c r="S194" s="30">
        <v>9500000.0</v>
      </c>
      <c r="T194" s="30">
        <v>9500000.0</v>
      </c>
      <c r="U194" s="20" t="s">
        <v>71</v>
      </c>
      <c r="V194" s="20"/>
      <c r="W194" s="30">
        <v>9500000.0</v>
      </c>
      <c r="X194" s="20"/>
      <c r="Y194" s="30">
        <v>9500000.0</v>
      </c>
      <c r="Z194" s="24">
        <f t="shared" si="3"/>
        <v>1</v>
      </c>
      <c r="AA194" s="23">
        <f t="shared" si="5"/>
        <v>9500000</v>
      </c>
      <c r="AB194" s="20"/>
      <c r="AC194" s="25">
        <f t="shared" si="4"/>
        <v>0</v>
      </c>
      <c r="AD194" s="20" t="s">
        <v>72</v>
      </c>
      <c r="AE194" s="20"/>
      <c r="AF194" s="20"/>
      <c r="AG194" s="20"/>
      <c r="AH194" s="20"/>
      <c r="AI194" s="20"/>
      <c r="AJ194" s="20"/>
      <c r="AK194" s="20"/>
      <c r="AL194" s="20"/>
      <c r="AM194" s="20"/>
      <c r="AN194" s="26"/>
      <c r="AO194" s="26"/>
      <c r="AP194" s="26"/>
      <c r="AQ194" s="26"/>
      <c r="AR194" s="26"/>
      <c r="AS194" s="26"/>
      <c r="AT194" s="26"/>
    </row>
    <row r="195">
      <c r="A195" s="20">
        <v>193.0</v>
      </c>
      <c r="B195" s="29" t="s">
        <v>279</v>
      </c>
      <c r="C195" s="30"/>
      <c r="D195" s="20"/>
      <c r="E195" s="20"/>
      <c r="F195" s="20"/>
      <c r="G195" s="20"/>
      <c r="H195" s="33" t="s">
        <v>65</v>
      </c>
      <c r="I195" s="33" t="s">
        <v>66</v>
      </c>
      <c r="J195" s="21"/>
      <c r="K195" s="20" t="str">
        <f t="shared" si="1"/>
        <v>LANDS,PHYSICAL PLANNING AND URBAN DEVELOPMENT</v>
      </c>
      <c r="L195" s="20" t="s">
        <v>98</v>
      </c>
      <c r="M195" s="20" t="str">
        <f t="shared" si="2"/>
        <v>LANDS,PHYSICAL PLANNING AND URBAN DEVELOPMENT</v>
      </c>
      <c r="N195" s="22" t="s">
        <v>119</v>
      </c>
      <c r="O195" s="22" t="s">
        <v>120</v>
      </c>
      <c r="P195" s="20" t="s">
        <v>121</v>
      </c>
      <c r="Q195" s="20" t="s">
        <v>121</v>
      </c>
      <c r="R195" s="30">
        <v>3.8E7</v>
      </c>
      <c r="S195" s="30">
        <v>3.8E7</v>
      </c>
      <c r="T195" s="30">
        <v>3.8E7</v>
      </c>
      <c r="U195" s="20" t="s">
        <v>71</v>
      </c>
      <c r="V195" s="20"/>
      <c r="W195" s="30">
        <v>3.8E7</v>
      </c>
      <c r="X195" s="20"/>
      <c r="Y195" s="30">
        <v>3.8E7</v>
      </c>
      <c r="Z195" s="24">
        <f t="shared" si="3"/>
        <v>1</v>
      </c>
      <c r="AA195" s="23">
        <f t="shared" si="5"/>
        <v>38000000</v>
      </c>
      <c r="AB195" s="20"/>
      <c r="AC195" s="25">
        <f t="shared" si="4"/>
        <v>0</v>
      </c>
      <c r="AD195" s="20" t="s">
        <v>72</v>
      </c>
      <c r="AE195" s="20"/>
      <c r="AF195" s="20"/>
      <c r="AG195" s="20"/>
      <c r="AH195" s="20"/>
      <c r="AI195" s="20"/>
      <c r="AJ195" s="20"/>
      <c r="AK195" s="20"/>
      <c r="AL195" s="20"/>
      <c r="AM195" s="20"/>
      <c r="AN195" s="26"/>
      <c r="AO195" s="26"/>
      <c r="AP195" s="26"/>
      <c r="AQ195" s="26"/>
      <c r="AR195" s="26"/>
      <c r="AS195" s="26"/>
      <c r="AT195" s="26"/>
    </row>
    <row r="196">
      <c r="A196" s="20">
        <v>194.0</v>
      </c>
      <c r="B196" s="29" t="s">
        <v>280</v>
      </c>
      <c r="C196" s="30"/>
      <c r="D196" s="20"/>
      <c r="E196" s="20"/>
      <c r="F196" s="20"/>
      <c r="G196" s="20"/>
      <c r="H196" s="33" t="s">
        <v>160</v>
      </c>
      <c r="I196" s="33" t="s">
        <v>160</v>
      </c>
      <c r="J196" s="21"/>
      <c r="K196" s="20" t="str">
        <f t="shared" si="1"/>
        <v>EDUCATION,INFORMATION AND ICT</v>
      </c>
      <c r="L196" s="20" t="s">
        <v>84</v>
      </c>
      <c r="M196" s="20" t="str">
        <f t="shared" si="2"/>
        <v>EDUCATION,INFORMATION AND ICT</v>
      </c>
      <c r="N196" s="22" t="s">
        <v>119</v>
      </c>
      <c r="O196" s="22" t="s">
        <v>120</v>
      </c>
      <c r="P196" s="20" t="s">
        <v>121</v>
      </c>
      <c r="Q196" s="20" t="s">
        <v>121</v>
      </c>
      <c r="R196" s="30">
        <v>1702542.5</v>
      </c>
      <c r="S196" s="30">
        <v>1702542.5</v>
      </c>
      <c r="T196" s="30">
        <v>1702542.5</v>
      </c>
      <c r="U196" s="20" t="s">
        <v>71</v>
      </c>
      <c r="V196" s="20"/>
      <c r="W196" s="30">
        <v>1702542.5</v>
      </c>
      <c r="X196" s="20"/>
      <c r="Y196" s="30">
        <v>1702542.5</v>
      </c>
      <c r="Z196" s="24">
        <f t="shared" si="3"/>
        <v>1</v>
      </c>
      <c r="AA196" s="23">
        <f t="shared" si="5"/>
        <v>1702542.5</v>
      </c>
      <c r="AB196" s="20"/>
      <c r="AC196" s="25">
        <f t="shared" si="4"/>
        <v>0</v>
      </c>
      <c r="AD196" s="20" t="s">
        <v>72</v>
      </c>
      <c r="AE196" s="20"/>
      <c r="AF196" s="20"/>
      <c r="AG196" s="20"/>
      <c r="AH196" s="20"/>
      <c r="AI196" s="20"/>
      <c r="AJ196" s="20"/>
      <c r="AK196" s="20"/>
      <c r="AL196" s="20"/>
      <c r="AM196" s="20"/>
      <c r="AN196" s="26"/>
      <c r="AO196" s="26"/>
      <c r="AP196" s="26"/>
      <c r="AQ196" s="26"/>
      <c r="AR196" s="26"/>
      <c r="AS196" s="26"/>
      <c r="AT196" s="26"/>
    </row>
    <row r="197">
      <c r="A197" s="20">
        <v>195.0</v>
      </c>
      <c r="B197" s="29" t="s">
        <v>281</v>
      </c>
      <c r="C197" s="30"/>
      <c r="D197" s="20"/>
      <c r="E197" s="20"/>
      <c r="F197" s="20"/>
      <c r="G197" s="20"/>
      <c r="H197" s="33" t="s">
        <v>113</v>
      </c>
      <c r="I197" s="33" t="s">
        <v>114</v>
      </c>
      <c r="J197" s="21"/>
      <c r="K197" s="20" t="str">
        <f t="shared" si="1"/>
        <v>ROADS,TRANSPORT AND PUBLIC WORKS</v>
      </c>
      <c r="L197" s="20" t="s">
        <v>107</v>
      </c>
      <c r="M197" s="20" t="str">
        <f t="shared" si="2"/>
        <v>ROADS,TRANSPORT AND PUBLIC WORKS</v>
      </c>
      <c r="N197" s="22" t="s">
        <v>119</v>
      </c>
      <c r="O197" s="22" t="s">
        <v>120</v>
      </c>
      <c r="P197" s="20" t="s">
        <v>121</v>
      </c>
      <c r="Q197" s="20" t="s">
        <v>121</v>
      </c>
      <c r="R197" s="30">
        <v>2375000.0</v>
      </c>
      <c r="S197" s="30">
        <v>2375000.0</v>
      </c>
      <c r="T197" s="30">
        <v>2375000.0</v>
      </c>
      <c r="U197" s="20" t="s">
        <v>71</v>
      </c>
      <c r="V197" s="20"/>
      <c r="W197" s="30">
        <v>2375000.0</v>
      </c>
      <c r="X197" s="20"/>
      <c r="Y197" s="30">
        <v>2375000.0</v>
      </c>
      <c r="Z197" s="24">
        <f t="shared" si="3"/>
        <v>1</v>
      </c>
      <c r="AA197" s="23">
        <f t="shared" si="5"/>
        <v>2375000</v>
      </c>
      <c r="AB197" s="20"/>
      <c r="AC197" s="25">
        <f t="shared" si="4"/>
        <v>0</v>
      </c>
      <c r="AD197" s="20" t="s">
        <v>72</v>
      </c>
      <c r="AE197" s="20"/>
      <c r="AF197" s="20"/>
      <c r="AG197" s="20"/>
      <c r="AH197" s="20"/>
      <c r="AI197" s="20"/>
      <c r="AJ197" s="20"/>
      <c r="AK197" s="20"/>
      <c r="AL197" s="20"/>
      <c r="AM197" s="20"/>
      <c r="AN197" s="26"/>
      <c r="AO197" s="26"/>
      <c r="AP197" s="26"/>
      <c r="AQ197" s="26"/>
      <c r="AR197" s="26"/>
      <c r="AS197" s="26"/>
      <c r="AT197" s="26"/>
    </row>
    <row r="198">
      <c r="A198" s="20">
        <v>196.0</v>
      </c>
      <c r="B198" s="29" t="s">
        <v>282</v>
      </c>
      <c r="C198" s="30"/>
      <c r="D198" s="20"/>
      <c r="E198" s="20"/>
      <c r="F198" s="20"/>
      <c r="G198" s="20"/>
      <c r="H198" s="33" t="s">
        <v>65</v>
      </c>
      <c r="I198" s="33" t="s">
        <v>90</v>
      </c>
      <c r="J198" s="21"/>
      <c r="K198" s="20" t="str">
        <f t="shared" si="1"/>
        <v>ROADS,TRANSPORT AND PUBLIC WORKS</v>
      </c>
      <c r="L198" s="20" t="s">
        <v>107</v>
      </c>
      <c r="M198" s="20" t="str">
        <f t="shared" si="2"/>
        <v>ROADS,TRANSPORT AND PUBLIC WORKS</v>
      </c>
      <c r="N198" s="22" t="s">
        <v>119</v>
      </c>
      <c r="O198" s="22" t="s">
        <v>120</v>
      </c>
      <c r="P198" s="20" t="s">
        <v>121</v>
      </c>
      <c r="Q198" s="20" t="s">
        <v>121</v>
      </c>
      <c r="R198" s="30">
        <v>4638538.4</v>
      </c>
      <c r="S198" s="30">
        <v>4638538.4</v>
      </c>
      <c r="T198" s="30">
        <v>4638538.4</v>
      </c>
      <c r="U198" s="20" t="s">
        <v>71</v>
      </c>
      <c r="V198" s="20"/>
      <c r="W198" s="30">
        <v>4638538.4</v>
      </c>
      <c r="X198" s="20"/>
      <c r="Y198" s="30">
        <v>4638538.4</v>
      </c>
      <c r="Z198" s="24">
        <f t="shared" si="3"/>
        <v>1</v>
      </c>
      <c r="AA198" s="23">
        <f t="shared" si="5"/>
        <v>4638538.4</v>
      </c>
      <c r="AB198" s="20"/>
      <c r="AC198" s="25">
        <f t="shared" si="4"/>
        <v>0</v>
      </c>
      <c r="AD198" s="20" t="s">
        <v>72</v>
      </c>
      <c r="AE198" s="20"/>
      <c r="AF198" s="20"/>
      <c r="AG198" s="20"/>
      <c r="AH198" s="20"/>
      <c r="AI198" s="20"/>
      <c r="AJ198" s="20"/>
      <c r="AK198" s="20"/>
      <c r="AL198" s="20"/>
      <c r="AM198" s="20"/>
      <c r="AN198" s="26"/>
      <c r="AO198" s="26"/>
      <c r="AP198" s="26"/>
      <c r="AQ198" s="26"/>
      <c r="AR198" s="26"/>
      <c r="AS198" s="26"/>
      <c r="AT198" s="26"/>
    </row>
    <row r="199">
      <c r="A199" s="20">
        <v>197.0</v>
      </c>
      <c r="B199" s="29" t="s">
        <v>283</v>
      </c>
      <c r="C199" s="30"/>
      <c r="D199" s="20"/>
      <c r="E199" s="20"/>
      <c r="F199" s="20"/>
      <c r="G199" s="20"/>
      <c r="H199" s="33" t="s">
        <v>65</v>
      </c>
      <c r="I199" s="33" t="s">
        <v>66</v>
      </c>
      <c r="J199" s="21"/>
      <c r="K199" s="20" t="str">
        <f t="shared" si="1"/>
        <v>ROADS,TRANSPORT AND PUBLIC WORKS</v>
      </c>
      <c r="L199" s="20" t="s">
        <v>107</v>
      </c>
      <c r="M199" s="20" t="str">
        <f t="shared" si="2"/>
        <v>ROADS,TRANSPORT AND PUBLIC WORKS</v>
      </c>
      <c r="N199" s="22" t="s">
        <v>119</v>
      </c>
      <c r="O199" s="22" t="s">
        <v>120</v>
      </c>
      <c r="P199" s="20" t="s">
        <v>121</v>
      </c>
      <c r="Q199" s="20" t="s">
        <v>121</v>
      </c>
      <c r="R199" s="30">
        <v>1065000.0</v>
      </c>
      <c r="S199" s="30">
        <v>1065000.0</v>
      </c>
      <c r="T199" s="30">
        <v>1065000.0</v>
      </c>
      <c r="U199" s="20" t="s">
        <v>71</v>
      </c>
      <c r="V199" s="20"/>
      <c r="W199" s="30">
        <v>1065000.0</v>
      </c>
      <c r="X199" s="20"/>
      <c r="Y199" s="30">
        <v>1065000.0</v>
      </c>
      <c r="Z199" s="24">
        <f t="shared" si="3"/>
        <v>1</v>
      </c>
      <c r="AA199" s="23">
        <f t="shared" si="5"/>
        <v>1065000</v>
      </c>
      <c r="AB199" s="20"/>
      <c r="AC199" s="25">
        <f t="shared" si="4"/>
        <v>0</v>
      </c>
      <c r="AD199" s="20" t="s">
        <v>72</v>
      </c>
      <c r="AE199" s="20"/>
      <c r="AF199" s="20"/>
      <c r="AG199" s="20"/>
      <c r="AH199" s="20"/>
      <c r="AI199" s="20"/>
      <c r="AJ199" s="20"/>
      <c r="AK199" s="20"/>
      <c r="AL199" s="20"/>
      <c r="AM199" s="20"/>
      <c r="AN199" s="26"/>
      <c r="AO199" s="26"/>
      <c r="AP199" s="26"/>
      <c r="AQ199" s="26"/>
      <c r="AR199" s="26"/>
      <c r="AS199" s="26"/>
      <c r="AT199" s="26"/>
    </row>
    <row r="200">
      <c r="A200" s="20">
        <v>198.0</v>
      </c>
      <c r="B200" s="29" t="s">
        <v>284</v>
      </c>
      <c r="C200" s="30"/>
      <c r="D200" s="20"/>
      <c r="E200" s="20"/>
      <c r="F200" s="20"/>
      <c r="G200" s="20"/>
      <c r="H200" s="33" t="s">
        <v>81</v>
      </c>
      <c r="I200" s="33" t="s">
        <v>151</v>
      </c>
      <c r="J200" s="21"/>
      <c r="K200" s="20" t="str">
        <f t="shared" si="1"/>
        <v>WATER,ENVIRONMENT,CLIMATE CHANGE AND NATURAL RESOURCES</v>
      </c>
      <c r="L200" s="20" t="s">
        <v>75</v>
      </c>
      <c r="M200" s="20" t="str">
        <f t="shared" si="2"/>
        <v>WATER,ENVIRONMENT,CLIMATE CHANGE AND NATURAL RESOURCES</v>
      </c>
      <c r="N200" s="22" t="s">
        <v>119</v>
      </c>
      <c r="O200" s="22" t="s">
        <v>120</v>
      </c>
      <c r="P200" s="20" t="s">
        <v>121</v>
      </c>
      <c r="Q200" s="20" t="s">
        <v>121</v>
      </c>
      <c r="R200" s="30">
        <v>1500000.0</v>
      </c>
      <c r="S200" s="30">
        <v>1500000.0</v>
      </c>
      <c r="T200" s="30">
        <v>1500000.0</v>
      </c>
      <c r="U200" s="20" t="s">
        <v>71</v>
      </c>
      <c r="V200" s="20"/>
      <c r="W200" s="30">
        <v>1500000.0</v>
      </c>
      <c r="X200" s="20"/>
      <c r="Y200" s="30">
        <v>1500000.0</v>
      </c>
      <c r="Z200" s="24">
        <f t="shared" si="3"/>
        <v>1</v>
      </c>
      <c r="AA200" s="23">
        <f t="shared" si="5"/>
        <v>1500000</v>
      </c>
      <c r="AB200" s="20"/>
      <c r="AC200" s="25">
        <f t="shared" si="4"/>
        <v>0</v>
      </c>
      <c r="AD200" s="20" t="s">
        <v>72</v>
      </c>
      <c r="AE200" s="20"/>
      <c r="AF200" s="20"/>
      <c r="AG200" s="20"/>
      <c r="AH200" s="20"/>
      <c r="AI200" s="20"/>
      <c r="AJ200" s="20"/>
      <c r="AK200" s="20"/>
      <c r="AL200" s="20"/>
      <c r="AM200" s="20"/>
      <c r="AN200" s="26"/>
      <c r="AO200" s="26"/>
      <c r="AP200" s="26"/>
      <c r="AQ200" s="26"/>
      <c r="AR200" s="26"/>
      <c r="AS200" s="26"/>
      <c r="AT200" s="26"/>
    </row>
    <row r="201">
      <c r="A201" s="20">
        <v>199.0</v>
      </c>
      <c r="B201" s="29" t="s">
        <v>285</v>
      </c>
      <c r="C201" s="30"/>
      <c r="D201" s="20"/>
      <c r="E201" s="20"/>
      <c r="F201" s="20"/>
      <c r="G201" s="20"/>
      <c r="H201" s="33" t="s">
        <v>65</v>
      </c>
      <c r="I201" s="33" t="s">
        <v>66</v>
      </c>
      <c r="J201" s="21"/>
      <c r="K201" s="20" t="str">
        <f t="shared" si="1"/>
        <v>ROADS,TRANSPORT AND PUBLIC WORKS</v>
      </c>
      <c r="L201" s="20" t="s">
        <v>107</v>
      </c>
      <c r="M201" s="20" t="str">
        <f t="shared" si="2"/>
        <v>ROADS,TRANSPORT AND PUBLIC WORKS</v>
      </c>
      <c r="N201" s="22" t="s">
        <v>119</v>
      </c>
      <c r="O201" s="22" t="s">
        <v>120</v>
      </c>
      <c r="P201" s="20" t="s">
        <v>121</v>
      </c>
      <c r="Q201" s="20" t="s">
        <v>121</v>
      </c>
      <c r="R201" s="30">
        <v>1900000.0</v>
      </c>
      <c r="S201" s="30">
        <v>1900000.0</v>
      </c>
      <c r="T201" s="30">
        <v>1900000.0</v>
      </c>
      <c r="U201" s="20" t="s">
        <v>71</v>
      </c>
      <c r="V201" s="20"/>
      <c r="W201" s="30">
        <v>1900000.0</v>
      </c>
      <c r="X201" s="20"/>
      <c r="Y201" s="30">
        <v>1900000.0</v>
      </c>
      <c r="Z201" s="24">
        <f t="shared" si="3"/>
        <v>1</v>
      </c>
      <c r="AA201" s="23">
        <f t="shared" si="5"/>
        <v>1900000</v>
      </c>
      <c r="AB201" s="20"/>
      <c r="AC201" s="25">
        <f t="shared" si="4"/>
        <v>0</v>
      </c>
      <c r="AD201" s="20" t="s">
        <v>72</v>
      </c>
      <c r="AE201" s="20"/>
      <c r="AF201" s="20"/>
      <c r="AG201" s="20"/>
      <c r="AH201" s="20"/>
      <c r="AI201" s="20"/>
      <c r="AJ201" s="20"/>
      <c r="AK201" s="20"/>
      <c r="AL201" s="20"/>
      <c r="AM201" s="20"/>
      <c r="AN201" s="26"/>
      <c r="AO201" s="26"/>
      <c r="AP201" s="26"/>
      <c r="AQ201" s="26"/>
      <c r="AR201" s="26"/>
      <c r="AS201" s="26"/>
      <c r="AT201" s="26"/>
    </row>
    <row r="202">
      <c r="A202" s="20">
        <v>200.0</v>
      </c>
      <c r="B202" s="29" t="s">
        <v>286</v>
      </c>
      <c r="C202" s="30"/>
      <c r="D202" s="20"/>
      <c r="E202" s="20"/>
      <c r="F202" s="20"/>
      <c r="G202" s="20"/>
      <c r="H202" s="33" t="s">
        <v>81</v>
      </c>
      <c r="I202" s="33" t="s">
        <v>151</v>
      </c>
      <c r="J202" s="21"/>
      <c r="K202" s="20" t="str">
        <f t="shared" si="1"/>
        <v>EDUCATION,INFORMATION AND ICT</v>
      </c>
      <c r="L202" s="20" t="s">
        <v>84</v>
      </c>
      <c r="M202" s="20" t="str">
        <f t="shared" si="2"/>
        <v>EDUCATION,INFORMATION AND ICT</v>
      </c>
      <c r="N202" s="22" t="s">
        <v>119</v>
      </c>
      <c r="O202" s="22" t="s">
        <v>120</v>
      </c>
      <c r="P202" s="20" t="s">
        <v>121</v>
      </c>
      <c r="Q202" s="20" t="s">
        <v>121</v>
      </c>
      <c r="R202" s="30">
        <v>2000000.0</v>
      </c>
      <c r="S202" s="30">
        <v>2000000.0</v>
      </c>
      <c r="T202" s="30">
        <v>2000000.0</v>
      </c>
      <c r="U202" s="20" t="s">
        <v>71</v>
      </c>
      <c r="V202" s="20"/>
      <c r="W202" s="30">
        <v>2000000.0</v>
      </c>
      <c r="X202" s="20"/>
      <c r="Y202" s="30">
        <v>2000000.0</v>
      </c>
      <c r="Z202" s="24">
        <f t="shared" si="3"/>
        <v>1</v>
      </c>
      <c r="AA202" s="23">
        <f t="shared" si="5"/>
        <v>2000000</v>
      </c>
      <c r="AB202" s="20"/>
      <c r="AC202" s="25">
        <f t="shared" si="4"/>
        <v>0</v>
      </c>
      <c r="AD202" s="20" t="s">
        <v>72</v>
      </c>
      <c r="AE202" s="20"/>
      <c r="AF202" s="20"/>
      <c r="AG202" s="20"/>
      <c r="AH202" s="20"/>
      <c r="AI202" s="20"/>
      <c r="AJ202" s="20"/>
      <c r="AK202" s="20"/>
      <c r="AL202" s="20"/>
      <c r="AM202" s="20"/>
      <c r="AN202" s="26"/>
      <c r="AO202" s="26"/>
      <c r="AP202" s="26"/>
      <c r="AQ202" s="26"/>
      <c r="AR202" s="26"/>
      <c r="AS202" s="26"/>
      <c r="AT202" s="26"/>
    </row>
    <row r="203">
      <c r="A203" s="20">
        <v>201.0</v>
      </c>
      <c r="B203" s="29" t="s">
        <v>287</v>
      </c>
      <c r="C203" s="30"/>
      <c r="D203" s="20"/>
      <c r="E203" s="20"/>
      <c r="F203" s="20"/>
      <c r="G203" s="20"/>
      <c r="H203" s="33" t="s">
        <v>160</v>
      </c>
      <c r="I203" s="33" t="s">
        <v>207</v>
      </c>
      <c r="J203" s="21"/>
      <c r="K203" s="20" t="str">
        <f t="shared" si="1"/>
        <v>ROADS,TRANSPORT AND PUBLIC WORKS</v>
      </c>
      <c r="L203" s="20" t="s">
        <v>107</v>
      </c>
      <c r="M203" s="20" t="str">
        <f t="shared" si="2"/>
        <v>ROADS,TRANSPORT AND PUBLIC WORKS</v>
      </c>
      <c r="N203" s="22" t="s">
        <v>119</v>
      </c>
      <c r="O203" s="22" t="s">
        <v>120</v>
      </c>
      <c r="P203" s="20" t="s">
        <v>121</v>
      </c>
      <c r="Q203" s="20" t="s">
        <v>121</v>
      </c>
      <c r="R203" s="30">
        <v>3000000.0</v>
      </c>
      <c r="S203" s="30">
        <v>3000000.0</v>
      </c>
      <c r="T203" s="30">
        <v>3000000.0</v>
      </c>
      <c r="U203" s="20" t="s">
        <v>71</v>
      </c>
      <c r="V203" s="20"/>
      <c r="W203" s="30">
        <v>3000000.0</v>
      </c>
      <c r="X203" s="20"/>
      <c r="Y203" s="30">
        <v>3000000.0</v>
      </c>
      <c r="Z203" s="24">
        <f t="shared" si="3"/>
        <v>1</v>
      </c>
      <c r="AA203" s="23">
        <f t="shared" si="5"/>
        <v>3000000</v>
      </c>
      <c r="AB203" s="20"/>
      <c r="AC203" s="25">
        <f t="shared" si="4"/>
        <v>0</v>
      </c>
      <c r="AD203" s="20" t="s">
        <v>72</v>
      </c>
      <c r="AE203" s="20"/>
      <c r="AF203" s="20"/>
      <c r="AG203" s="20"/>
      <c r="AH203" s="20"/>
      <c r="AI203" s="20"/>
      <c r="AJ203" s="20"/>
      <c r="AK203" s="20"/>
      <c r="AL203" s="20"/>
      <c r="AM203" s="20"/>
      <c r="AN203" s="26"/>
      <c r="AO203" s="26"/>
      <c r="AP203" s="26"/>
      <c r="AQ203" s="26"/>
      <c r="AR203" s="26"/>
      <c r="AS203" s="26"/>
      <c r="AT203" s="26"/>
    </row>
    <row r="204">
      <c r="A204" s="20">
        <v>202.0</v>
      </c>
      <c r="B204" s="29" t="s">
        <v>288</v>
      </c>
      <c r="C204" s="30"/>
      <c r="D204" s="20"/>
      <c r="E204" s="20"/>
      <c r="F204" s="20"/>
      <c r="G204" s="20"/>
      <c r="H204" s="33" t="s">
        <v>77</v>
      </c>
      <c r="I204" s="33" t="s">
        <v>66</v>
      </c>
      <c r="J204" s="21"/>
      <c r="K204" s="20" t="str">
        <f t="shared" si="1"/>
        <v>WATER,ENVIRONMENT,CLIMATE CHANGE AND NATURAL RESOURCES</v>
      </c>
      <c r="L204" s="20" t="s">
        <v>75</v>
      </c>
      <c r="M204" s="20" t="str">
        <f t="shared" si="2"/>
        <v>WATER,ENVIRONMENT,CLIMATE CHANGE AND NATURAL RESOURCES</v>
      </c>
      <c r="N204" s="22" t="s">
        <v>119</v>
      </c>
      <c r="O204" s="22" t="s">
        <v>120</v>
      </c>
      <c r="P204" s="20" t="s">
        <v>121</v>
      </c>
      <c r="Q204" s="20" t="s">
        <v>121</v>
      </c>
      <c r="R204" s="30">
        <v>3610000.0</v>
      </c>
      <c r="S204" s="30">
        <v>3610000.0</v>
      </c>
      <c r="T204" s="30">
        <v>3610000.0</v>
      </c>
      <c r="U204" s="20" t="s">
        <v>71</v>
      </c>
      <c r="V204" s="20"/>
      <c r="W204" s="30">
        <v>3610000.0</v>
      </c>
      <c r="X204" s="20"/>
      <c r="Y204" s="30">
        <v>3610000.0</v>
      </c>
      <c r="Z204" s="24">
        <f t="shared" si="3"/>
        <v>1</v>
      </c>
      <c r="AA204" s="23">
        <f t="shared" si="5"/>
        <v>3610000</v>
      </c>
      <c r="AB204" s="20"/>
      <c r="AC204" s="25">
        <f t="shared" si="4"/>
        <v>0</v>
      </c>
      <c r="AD204" s="20" t="s">
        <v>72</v>
      </c>
      <c r="AE204" s="20"/>
      <c r="AF204" s="20"/>
      <c r="AG204" s="20"/>
      <c r="AH204" s="20"/>
      <c r="AI204" s="20"/>
      <c r="AJ204" s="20"/>
      <c r="AK204" s="20"/>
      <c r="AL204" s="20"/>
      <c r="AM204" s="20"/>
      <c r="AN204" s="26"/>
      <c r="AO204" s="26"/>
      <c r="AP204" s="26"/>
      <c r="AQ204" s="26"/>
      <c r="AR204" s="26"/>
      <c r="AS204" s="26"/>
      <c r="AT204" s="26"/>
    </row>
    <row r="205">
      <c r="A205" s="20">
        <v>203.0</v>
      </c>
      <c r="B205" s="29" t="s">
        <v>289</v>
      </c>
      <c r="C205" s="30"/>
      <c r="D205" s="20"/>
      <c r="E205" s="20"/>
      <c r="F205" s="20"/>
      <c r="G205" s="20"/>
      <c r="H205" s="33" t="s">
        <v>113</v>
      </c>
      <c r="I205" s="33" t="s">
        <v>66</v>
      </c>
      <c r="J205" s="21"/>
      <c r="K205" s="20" t="str">
        <f t="shared" si="1"/>
        <v>ROADS,TRANSPORT AND PUBLIC WORKS</v>
      </c>
      <c r="L205" s="20" t="s">
        <v>107</v>
      </c>
      <c r="M205" s="20" t="str">
        <f t="shared" si="2"/>
        <v>ROADS,TRANSPORT AND PUBLIC WORKS</v>
      </c>
      <c r="N205" s="22" t="s">
        <v>119</v>
      </c>
      <c r="O205" s="22" t="s">
        <v>120</v>
      </c>
      <c r="P205" s="20" t="s">
        <v>121</v>
      </c>
      <c r="Q205" s="20" t="s">
        <v>121</v>
      </c>
      <c r="R205" s="30">
        <v>4134545.0</v>
      </c>
      <c r="S205" s="30">
        <v>4134545.0</v>
      </c>
      <c r="T205" s="30">
        <v>4134545.0</v>
      </c>
      <c r="U205" s="20" t="s">
        <v>71</v>
      </c>
      <c r="V205" s="20"/>
      <c r="W205" s="30">
        <v>4134545.0</v>
      </c>
      <c r="X205" s="20"/>
      <c r="Y205" s="30">
        <v>4134545.0</v>
      </c>
      <c r="Z205" s="24">
        <f t="shared" si="3"/>
        <v>1</v>
      </c>
      <c r="AA205" s="23">
        <f t="shared" si="5"/>
        <v>4134545</v>
      </c>
      <c r="AB205" s="20"/>
      <c r="AC205" s="25">
        <f t="shared" si="4"/>
        <v>0</v>
      </c>
      <c r="AD205" s="20" t="s">
        <v>72</v>
      </c>
      <c r="AE205" s="20"/>
      <c r="AF205" s="20"/>
      <c r="AG205" s="20"/>
      <c r="AH205" s="20"/>
      <c r="AI205" s="20"/>
      <c r="AJ205" s="20"/>
      <c r="AK205" s="20"/>
      <c r="AL205" s="20"/>
      <c r="AM205" s="20"/>
      <c r="AN205" s="26"/>
      <c r="AO205" s="26"/>
      <c r="AP205" s="26"/>
      <c r="AQ205" s="26"/>
      <c r="AR205" s="26"/>
      <c r="AS205" s="26"/>
      <c r="AT205" s="26"/>
    </row>
    <row r="206">
      <c r="A206" s="20">
        <v>204.0</v>
      </c>
      <c r="B206" s="29" t="s">
        <v>290</v>
      </c>
      <c r="C206" s="30"/>
      <c r="D206" s="20"/>
      <c r="E206" s="20"/>
      <c r="F206" s="20"/>
      <c r="G206" s="20"/>
      <c r="H206" s="33" t="s">
        <v>65</v>
      </c>
      <c r="I206" s="33" t="s">
        <v>66</v>
      </c>
      <c r="J206" s="21"/>
      <c r="K206" s="20" t="str">
        <f t="shared" si="1"/>
        <v>Health services</v>
      </c>
      <c r="L206" s="20" t="s">
        <v>67</v>
      </c>
      <c r="M206" s="20" t="str">
        <f t="shared" si="2"/>
        <v>Health services</v>
      </c>
      <c r="N206" s="22" t="s">
        <v>119</v>
      </c>
      <c r="O206" s="22" t="s">
        <v>120</v>
      </c>
      <c r="P206" s="20" t="s">
        <v>121</v>
      </c>
      <c r="Q206" s="20" t="s">
        <v>121</v>
      </c>
      <c r="R206" s="30">
        <v>5521829.0</v>
      </c>
      <c r="S206" s="30">
        <v>5521829.0</v>
      </c>
      <c r="T206" s="30">
        <v>5521829.0</v>
      </c>
      <c r="U206" s="20" t="s">
        <v>71</v>
      </c>
      <c r="V206" s="20"/>
      <c r="W206" s="30">
        <v>5521829.0</v>
      </c>
      <c r="X206" s="20"/>
      <c r="Y206" s="30">
        <v>5521829.0</v>
      </c>
      <c r="Z206" s="24">
        <f t="shared" si="3"/>
        <v>1</v>
      </c>
      <c r="AA206" s="23">
        <f t="shared" si="5"/>
        <v>5521829</v>
      </c>
      <c r="AB206" s="20"/>
      <c r="AC206" s="25">
        <f t="shared" si="4"/>
        <v>0</v>
      </c>
      <c r="AD206" s="20" t="s">
        <v>72</v>
      </c>
      <c r="AE206" s="20"/>
      <c r="AF206" s="20"/>
      <c r="AG206" s="20"/>
      <c r="AH206" s="20"/>
      <c r="AI206" s="20"/>
      <c r="AJ206" s="20"/>
      <c r="AK206" s="20"/>
      <c r="AL206" s="20"/>
      <c r="AM206" s="20"/>
      <c r="AN206" s="26"/>
      <c r="AO206" s="26"/>
      <c r="AP206" s="26"/>
      <c r="AQ206" s="26"/>
      <c r="AR206" s="26"/>
      <c r="AS206" s="26"/>
      <c r="AT206" s="26"/>
    </row>
    <row r="207">
      <c r="A207" s="20">
        <v>205.0</v>
      </c>
      <c r="B207" s="29" t="s">
        <v>291</v>
      </c>
      <c r="C207" s="30"/>
      <c r="D207" s="20"/>
      <c r="E207" s="20"/>
      <c r="F207" s="20"/>
      <c r="G207" s="20"/>
      <c r="H207" s="33" t="s">
        <v>65</v>
      </c>
      <c r="I207" s="33" t="s">
        <v>66</v>
      </c>
      <c r="J207" s="21"/>
      <c r="K207" s="20" t="str">
        <f t="shared" si="1"/>
        <v>ROADS,TRANSPORT AND PUBLIC WORKS</v>
      </c>
      <c r="L207" s="20" t="s">
        <v>107</v>
      </c>
      <c r="M207" s="20" t="str">
        <f t="shared" si="2"/>
        <v>ROADS,TRANSPORT AND PUBLIC WORKS</v>
      </c>
      <c r="N207" s="22" t="s">
        <v>119</v>
      </c>
      <c r="O207" s="22" t="s">
        <v>120</v>
      </c>
      <c r="P207" s="20" t="s">
        <v>121</v>
      </c>
      <c r="Q207" s="20" t="s">
        <v>121</v>
      </c>
      <c r="R207" s="30">
        <v>5700000.0</v>
      </c>
      <c r="S207" s="30">
        <v>5700000.0</v>
      </c>
      <c r="T207" s="30">
        <v>5700000.0</v>
      </c>
      <c r="U207" s="20" t="s">
        <v>71</v>
      </c>
      <c r="V207" s="20"/>
      <c r="W207" s="30">
        <v>5700000.0</v>
      </c>
      <c r="X207" s="20"/>
      <c r="Y207" s="30">
        <v>5700000.0</v>
      </c>
      <c r="Z207" s="24">
        <f t="shared" si="3"/>
        <v>1</v>
      </c>
      <c r="AA207" s="23">
        <f t="shared" si="5"/>
        <v>5700000</v>
      </c>
      <c r="AB207" s="20"/>
      <c r="AC207" s="25">
        <f t="shared" si="4"/>
        <v>0</v>
      </c>
      <c r="AD207" s="20" t="s">
        <v>72</v>
      </c>
      <c r="AE207" s="20"/>
      <c r="AF207" s="20"/>
      <c r="AG207" s="20"/>
      <c r="AH207" s="20"/>
      <c r="AI207" s="20"/>
      <c r="AJ207" s="20"/>
      <c r="AK207" s="20"/>
      <c r="AL207" s="20"/>
      <c r="AM207" s="20"/>
      <c r="AN207" s="26"/>
      <c r="AO207" s="26"/>
      <c r="AP207" s="26"/>
      <c r="AQ207" s="26"/>
      <c r="AR207" s="26"/>
      <c r="AS207" s="26"/>
      <c r="AT207" s="26"/>
    </row>
    <row r="208">
      <c r="A208" s="20">
        <v>206.0</v>
      </c>
      <c r="B208" s="29" t="s">
        <v>292</v>
      </c>
      <c r="C208" s="30"/>
      <c r="D208" s="20"/>
      <c r="E208" s="20"/>
      <c r="F208" s="20"/>
      <c r="G208" s="20"/>
      <c r="H208" s="33" t="s">
        <v>65</v>
      </c>
      <c r="I208" s="33" t="s">
        <v>66</v>
      </c>
      <c r="J208" s="21"/>
      <c r="K208" s="20" t="str">
        <f t="shared" si="1"/>
        <v>Health services</v>
      </c>
      <c r="L208" s="20" t="s">
        <v>67</v>
      </c>
      <c r="M208" s="20" t="str">
        <f t="shared" si="2"/>
        <v>Health services</v>
      </c>
      <c r="N208" s="22" t="s">
        <v>119</v>
      </c>
      <c r="O208" s="22" t="s">
        <v>120</v>
      </c>
      <c r="P208" s="20" t="s">
        <v>121</v>
      </c>
      <c r="Q208" s="20" t="s">
        <v>121</v>
      </c>
      <c r="R208" s="30">
        <v>7028741.0</v>
      </c>
      <c r="S208" s="30">
        <v>7028741.0</v>
      </c>
      <c r="T208" s="30">
        <v>7028741.0</v>
      </c>
      <c r="U208" s="20" t="s">
        <v>71</v>
      </c>
      <c r="V208" s="20"/>
      <c r="W208" s="30">
        <v>7028741.0</v>
      </c>
      <c r="X208" s="20"/>
      <c r="Y208" s="30">
        <v>7028741.0</v>
      </c>
      <c r="Z208" s="24">
        <f t="shared" si="3"/>
        <v>1</v>
      </c>
      <c r="AA208" s="23">
        <f t="shared" si="5"/>
        <v>7028741</v>
      </c>
      <c r="AB208" s="20"/>
      <c r="AC208" s="25">
        <f t="shared" si="4"/>
        <v>0</v>
      </c>
      <c r="AD208" s="20" t="s">
        <v>72</v>
      </c>
      <c r="AE208" s="20"/>
      <c r="AF208" s="20"/>
      <c r="AG208" s="20"/>
      <c r="AH208" s="20"/>
      <c r="AI208" s="20"/>
      <c r="AJ208" s="20"/>
      <c r="AK208" s="20"/>
      <c r="AL208" s="20"/>
      <c r="AM208" s="20"/>
      <c r="AN208" s="26"/>
      <c r="AO208" s="26"/>
      <c r="AP208" s="26"/>
      <c r="AQ208" s="26"/>
      <c r="AR208" s="26"/>
      <c r="AS208" s="26"/>
      <c r="AT208" s="26"/>
    </row>
    <row r="209">
      <c r="A209" s="20">
        <v>207.0</v>
      </c>
      <c r="B209" s="29" t="s">
        <v>293</v>
      </c>
      <c r="C209" s="30"/>
      <c r="D209" s="20"/>
      <c r="E209" s="20"/>
      <c r="F209" s="20"/>
      <c r="G209" s="20"/>
      <c r="H209" s="33" t="s">
        <v>65</v>
      </c>
      <c r="I209" s="33" t="s">
        <v>66</v>
      </c>
      <c r="J209" s="21"/>
      <c r="K209" s="20" t="str">
        <f t="shared" si="1"/>
        <v>WATER,ENVIRONMENT,CLIMATE CHANGE AND NATURAL RESOURCES</v>
      </c>
      <c r="L209" s="20" t="s">
        <v>75</v>
      </c>
      <c r="M209" s="20" t="str">
        <f t="shared" si="2"/>
        <v>WATER,ENVIRONMENT,CLIMATE CHANGE AND NATURAL RESOURCES</v>
      </c>
      <c r="N209" s="22" t="s">
        <v>119</v>
      </c>
      <c r="O209" s="22" t="s">
        <v>120</v>
      </c>
      <c r="P209" s="20" t="s">
        <v>121</v>
      </c>
      <c r="Q209" s="20" t="s">
        <v>121</v>
      </c>
      <c r="R209" s="30">
        <v>8550000.0</v>
      </c>
      <c r="S209" s="30">
        <v>8550000.0</v>
      </c>
      <c r="T209" s="30">
        <v>8550000.0</v>
      </c>
      <c r="U209" s="20" t="s">
        <v>71</v>
      </c>
      <c r="V209" s="20"/>
      <c r="W209" s="30">
        <v>8550000.0</v>
      </c>
      <c r="X209" s="20"/>
      <c r="Y209" s="30">
        <v>8550000.0</v>
      </c>
      <c r="Z209" s="24">
        <f t="shared" si="3"/>
        <v>1</v>
      </c>
      <c r="AA209" s="23">
        <f t="shared" si="5"/>
        <v>8550000</v>
      </c>
      <c r="AB209" s="20"/>
      <c r="AC209" s="25">
        <f t="shared" si="4"/>
        <v>0</v>
      </c>
      <c r="AD209" s="20" t="s">
        <v>72</v>
      </c>
      <c r="AE209" s="20"/>
      <c r="AF209" s="20"/>
      <c r="AG209" s="20"/>
      <c r="AH209" s="20"/>
      <c r="AI209" s="20"/>
      <c r="AJ209" s="20"/>
      <c r="AK209" s="20"/>
      <c r="AL209" s="20"/>
      <c r="AM209" s="20"/>
      <c r="AN209" s="26"/>
      <c r="AO209" s="26"/>
      <c r="AP209" s="26"/>
      <c r="AQ209" s="26"/>
      <c r="AR209" s="26"/>
      <c r="AS209" s="26"/>
      <c r="AT209" s="26"/>
    </row>
    <row r="210">
      <c r="A210" s="20">
        <v>208.0</v>
      </c>
      <c r="B210" s="29" t="s">
        <v>294</v>
      </c>
      <c r="C210" s="30"/>
      <c r="D210" s="20"/>
      <c r="E210" s="20"/>
      <c r="F210" s="20"/>
      <c r="G210" s="20"/>
      <c r="H210" s="33" t="s">
        <v>65</v>
      </c>
      <c r="I210" s="33" t="s">
        <v>66</v>
      </c>
      <c r="J210" s="21"/>
      <c r="K210" s="20" t="str">
        <f t="shared" si="1"/>
        <v>WATER,ENVIRONMENT,CLIMATE CHANGE AND NATURAL RESOURCES</v>
      </c>
      <c r="L210" s="20" t="s">
        <v>75</v>
      </c>
      <c r="M210" s="20" t="str">
        <f t="shared" si="2"/>
        <v>WATER,ENVIRONMENT,CLIMATE CHANGE AND NATURAL RESOURCES</v>
      </c>
      <c r="N210" s="22" t="s">
        <v>119</v>
      </c>
      <c r="O210" s="22" t="s">
        <v>120</v>
      </c>
      <c r="P210" s="20" t="s">
        <v>121</v>
      </c>
      <c r="Q210" s="20" t="s">
        <v>121</v>
      </c>
      <c r="R210" s="30">
        <v>1.0E7</v>
      </c>
      <c r="S210" s="30">
        <v>1.0E7</v>
      </c>
      <c r="T210" s="30">
        <v>1.0E7</v>
      </c>
      <c r="U210" s="20" t="s">
        <v>71</v>
      </c>
      <c r="V210" s="20"/>
      <c r="W210" s="30">
        <v>1.0E7</v>
      </c>
      <c r="X210" s="20"/>
      <c r="Y210" s="30">
        <v>1.0E7</v>
      </c>
      <c r="Z210" s="24">
        <f t="shared" si="3"/>
        <v>1</v>
      </c>
      <c r="AA210" s="23">
        <f t="shared" si="5"/>
        <v>10000000</v>
      </c>
      <c r="AB210" s="20"/>
      <c r="AC210" s="25">
        <f t="shared" si="4"/>
        <v>0</v>
      </c>
      <c r="AD210" s="20" t="s">
        <v>72</v>
      </c>
      <c r="AE210" s="20"/>
      <c r="AF210" s="20"/>
      <c r="AG210" s="20"/>
      <c r="AH210" s="20"/>
      <c r="AI210" s="20"/>
      <c r="AJ210" s="20"/>
      <c r="AK210" s="20"/>
      <c r="AL210" s="20"/>
      <c r="AM210" s="20"/>
      <c r="AN210" s="26"/>
      <c r="AO210" s="26"/>
      <c r="AP210" s="26"/>
      <c r="AQ210" s="26"/>
      <c r="AR210" s="26"/>
      <c r="AS210" s="26"/>
      <c r="AT210" s="26"/>
    </row>
    <row r="211">
      <c r="A211" s="20">
        <v>209.0</v>
      </c>
      <c r="B211" s="29" t="s">
        <v>295</v>
      </c>
      <c r="C211" s="30"/>
      <c r="D211" s="20"/>
      <c r="E211" s="20"/>
      <c r="F211" s="20"/>
      <c r="G211" s="20"/>
      <c r="H211" s="33" t="s">
        <v>65</v>
      </c>
      <c r="I211" s="33" t="s">
        <v>66</v>
      </c>
      <c r="J211" s="21"/>
      <c r="K211" s="20" t="str">
        <f t="shared" si="1"/>
        <v>WATER,ENVIRONMENT,CLIMATE CHANGE AND NATURAL RESOURCES</v>
      </c>
      <c r="L211" s="20" t="s">
        <v>75</v>
      </c>
      <c r="M211" s="20" t="str">
        <f t="shared" si="2"/>
        <v>WATER,ENVIRONMENT,CLIMATE CHANGE AND NATURAL RESOURCES</v>
      </c>
      <c r="N211" s="22" t="s">
        <v>119</v>
      </c>
      <c r="O211" s="22" t="s">
        <v>120</v>
      </c>
      <c r="P211" s="20" t="s">
        <v>121</v>
      </c>
      <c r="Q211" s="20" t="s">
        <v>121</v>
      </c>
      <c r="R211" s="30">
        <v>1.418788E7</v>
      </c>
      <c r="S211" s="30">
        <v>1.418788E7</v>
      </c>
      <c r="T211" s="30">
        <v>1.418788E7</v>
      </c>
      <c r="U211" s="20" t="s">
        <v>71</v>
      </c>
      <c r="V211" s="20"/>
      <c r="W211" s="30">
        <v>1.418788E7</v>
      </c>
      <c r="X211" s="20"/>
      <c r="Y211" s="30">
        <v>1.418788E7</v>
      </c>
      <c r="Z211" s="24">
        <f t="shared" si="3"/>
        <v>1</v>
      </c>
      <c r="AA211" s="23">
        <f t="shared" si="5"/>
        <v>14187880</v>
      </c>
      <c r="AB211" s="20"/>
      <c r="AC211" s="25">
        <f t="shared" si="4"/>
        <v>0</v>
      </c>
      <c r="AD211" s="20" t="s">
        <v>72</v>
      </c>
      <c r="AE211" s="20"/>
      <c r="AF211" s="20"/>
      <c r="AG211" s="20"/>
      <c r="AH211" s="20"/>
      <c r="AI211" s="20"/>
      <c r="AJ211" s="20"/>
      <c r="AK211" s="20"/>
      <c r="AL211" s="20"/>
      <c r="AM211" s="20"/>
      <c r="AN211" s="26"/>
      <c r="AO211" s="26"/>
      <c r="AP211" s="26"/>
      <c r="AQ211" s="26"/>
      <c r="AR211" s="26"/>
      <c r="AS211" s="26"/>
      <c r="AT211" s="26"/>
    </row>
    <row r="212">
      <c r="A212" s="20">
        <v>210.0</v>
      </c>
      <c r="B212" s="29" t="s">
        <v>296</v>
      </c>
      <c r="C212" s="30"/>
      <c r="D212" s="20"/>
      <c r="E212" s="20"/>
      <c r="F212" s="20"/>
      <c r="G212" s="20"/>
      <c r="H212" s="33" t="s">
        <v>104</v>
      </c>
      <c r="I212" s="33" t="s">
        <v>104</v>
      </c>
      <c r="J212" s="21"/>
      <c r="K212" s="20" t="str">
        <f t="shared" si="1"/>
        <v>WATER,ENVIRONMENT,CLIMATE CHANGE AND NATURAL RESOURCES</v>
      </c>
      <c r="L212" s="20" t="s">
        <v>75</v>
      </c>
      <c r="M212" s="20" t="str">
        <f t="shared" si="2"/>
        <v>WATER,ENVIRONMENT,CLIMATE CHANGE AND NATURAL RESOURCES</v>
      </c>
      <c r="N212" s="22" t="s">
        <v>119</v>
      </c>
      <c r="O212" s="22" t="s">
        <v>120</v>
      </c>
      <c r="P212" s="20" t="s">
        <v>121</v>
      </c>
      <c r="Q212" s="20" t="s">
        <v>121</v>
      </c>
      <c r="R212" s="30">
        <v>1.71E7</v>
      </c>
      <c r="S212" s="30">
        <v>1.71E7</v>
      </c>
      <c r="T212" s="30">
        <v>1.71E7</v>
      </c>
      <c r="U212" s="20" t="s">
        <v>71</v>
      </c>
      <c r="V212" s="20"/>
      <c r="W212" s="30">
        <v>1.71E7</v>
      </c>
      <c r="X212" s="20"/>
      <c r="Y212" s="30">
        <v>1.71E7</v>
      </c>
      <c r="Z212" s="24">
        <f t="shared" si="3"/>
        <v>1</v>
      </c>
      <c r="AA212" s="23">
        <f t="shared" si="5"/>
        <v>17100000</v>
      </c>
      <c r="AB212" s="20"/>
      <c r="AC212" s="25">
        <f t="shared" si="4"/>
        <v>0</v>
      </c>
      <c r="AD212" s="20" t="s">
        <v>72</v>
      </c>
      <c r="AE212" s="20"/>
      <c r="AF212" s="20"/>
      <c r="AG212" s="20"/>
      <c r="AH212" s="20"/>
      <c r="AI212" s="20"/>
      <c r="AJ212" s="20"/>
      <c r="AK212" s="20"/>
      <c r="AL212" s="20"/>
      <c r="AM212" s="20"/>
      <c r="AN212" s="26"/>
      <c r="AO212" s="26"/>
      <c r="AP212" s="26"/>
      <c r="AQ212" s="26"/>
      <c r="AR212" s="26"/>
      <c r="AS212" s="26"/>
      <c r="AT212" s="26"/>
    </row>
    <row r="213">
      <c r="A213" s="20">
        <v>211.0</v>
      </c>
      <c r="B213" s="29" t="s">
        <v>297</v>
      </c>
      <c r="C213" s="30"/>
      <c r="D213" s="20"/>
      <c r="E213" s="20"/>
      <c r="F213" s="20"/>
      <c r="G213" s="20"/>
      <c r="H213" s="33" t="s">
        <v>65</v>
      </c>
      <c r="I213" s="33" t="s">
        <v>66</v>
      </c>
      <c r="J213" s="21"/>
      <c r="K213" s="20" t="str">
        <f t="shared" si="1"/>
        <v>ROADS,TRANSPORT AND PUBLIC WORKS</v>
      </c>
      <c r="L213" s="20" t="s">
        <v>107</v>
      </c>
      <c r="M213" s="20" t="str">
        <f t="shared" si="2"/>
        <v>ROADS,TRANSPORT AND PUBLIC WORKS</v>
      </c>
      <c r="N213" s="22" t="s">
        <v>119</v>
      </c>
      <c r="O213" s="22" t="s">
        <v>120</v>
      </c>
      <c r="P213" s="20" t="s">
        <v>121</v>
      </c>
      <c r="Q213" s="20" t="s">
        <v>121</v>
      </c>
      <c r="R213" s="30">
        <v>2.125E7</v>
      </c>
      <c r="S213" s="30">
        <v>2.125E7</v>
      </c>
      <c r="T213" s="30">
        <v>2.125E7</v>
      </c>
      <c r="U213" s="20" t="s">
        <v>71</v>
      </c>
      <c r="V213" s="20"/>
      <c r="W213" s="30">
        <v>2.125E7</v>
      </c>
      <c r="X213" s="20"/>
      <c r="Y213" s="30">
        <v>2.125E7</v>
      </c>
      <c r="Z213" s="24">
        <f t="shared" si="3"/>
        <v>1</v>
      </c>
      <c r="AA213" s="23">
        <f t="shared" si="5"/>
        <v>21250000</v>
      </c>
      <c r="AB213" s="20"/>
      <c r="AC213" s="25">
        <f t="shared" si="4"/>
        <v>0</v>
      </c>
      <c r="AD213" s="20" t="s">
        <v>72</v>
      </c>
      <c r="AE213" s="20"/>
      <c r="AF213" s="20"/>
      <c r="AG213" s="20"/>
      <c r="AH213" s="20"/>
      <c r="AI213" s="20"/>
      <c r="AJ213" s="20"/>
      <c r="AK213" s="20"/>
      <c r="AL213" s="20"/>
      <c r="AM213" s="20"/>
      <c r="AN213" s="26"/>
      <c r="AO213" s="26"/>
      <c r="AP213" s="26"/>
      <c r="AQ213" s="26"/>
      <c r="AR213" s="26"/>
      <c r="AS213" s="26"/>
      <c r="AT213" s="26"/>
    </row>
    <row r="214">
      <c r="A214" s="20">
        <v>212.0</v>
      </c>
      <c r="B214" s="29" t="s">
        <v>298</v>
      </c>
      <c r="C214" s="30"/>
      <c r="D214" s="20"/>
      <c r="E214" s="20"/>
      <c r="F214" s="20"/>
      <c r="G214" s="20"/>
      <c r="H214" s="33" t="s">
        <v>65</v>
      </c>
      <c r="I214" s="33" t="s">
        <v>66</v>
      </c>
      <c r="J214" s="21"/>
      <c r="K214" s="20" t="str">
        <f t="shared" si="1"/>
        <v>ROADS,TRANSPORT AND PUBLIC WORKS</v>
      </c>
      <c r="L214" s="20" t="s">
        <v>107</v>
      </c>
      <c r="M214" s="20" t="str">
        <f t="shared" si="2"/>
        <v>ROADS,TRANSPORT AND PUBLIC WORKS</v>
      </c>
      <c r="N214" s="22" t="s">
        <v>119</v>
      </c>
      <c r="O214" s="22" t="s">
        <v>120</v>
      </c>
      <c r="P214" s="20" t="s">
        <v>121</v>
      </c>
      <c r="Q214" s="20" t="s">
        <v>121</v>
      </c>
      <c r="R214" s="30">
        <v>1200000.0</v>
      </c>
      <c r="S214" s="30">
        <v>1200000.0</v>
      </c>
      <c r="T214" s="30">
        <v>1200000.0</v>
      </c>
      <c r="U214" s="20" t="s">
        <v>71</v>
      </c>
      <c r="V214" s="20"/>
      <c r="W214" s="30">
        <v>1200000.0</v>
      </c>
      <c r="X214" s="20"/>
      <c r="Y214" s="30">
        <v>1200000.0</v>
      </c>
      <c r="Z214" s="24">
        <f t="shared" si="3"/>
        <v>1</v>
      </c>
      <c r="AA214" s="23">
        <f t="shared" si="5"/>
        <v>1200000</v>
      </c>
      <c r="AB214" s="20"/>
      <c r="AC214" s="25">
        <f t="shared" si="4"/>
        <v>0</v>
      </c>
      <c r="AD214" s="20" t="s">
        <v>72</v>
      </c>
      <c r="AE214" s="20"/>
      <c r="AF214" s="20"/>
      <c r="AG214" s="20"/>
      <c r="AH214" s="20"/>
      <c r="AI214" s="20"/>
      <c r="AJ214" s="20"/>
      <c r="AK214" s="20"/>
      <c r="AL214" s="20"/>
      <c r="AM214" s="20"/>
      <c r="AN214" s="26"/>
      <c r="AO214" s="26"/>
      <c r="AP214" s="26"/>
      <c r="AQ214" s="26"/>
      <c r="AR214" s="26"/>
      <c r="AS214" s="26"/>
      <c r="AT214" s="26"/>
    </row>
    <row r="215">
      <c r="A215" s="20">
        <v>213.0</v>
      </c>
      <c r="B215" s="29" t="s">
        <v>299</v>
      </c>
      <c r="C215" s="30"/>
      <c r="D215" s="20"/>
      <c r="E215" s="20"/>
      <c r="F215" s="20"/>
      <c r="G215" s="20"/>
      <c r="H215" s="33" t="s">
        <v>65</v>
      </c>
      <c r="I215" s="33" t="s">
        <v>66</v>
      </c>
      <c r="J215" s="21"/>
      <c r="K215" s="20" t="str">
        <f t="shared" si="1"/>
        <v>ROADS,TRANSPORT AND PUBLIC WORKS</v>
      </c>
      <c r="L215" s="20" t="s">
        <v>107</v>
      </c>
      <c r="M215" s="20" t="str">
        <f t="shared" si="2"/>
        <v>ROADS,TRANSPORT AND PUBLIC WORKS</v>
      </c>
      <c r="N215" s="22" t="s">
        <v>119</v>
      </c>
      <c r="O215" s="22" t="s">
        <v>120</v>
      </c>
      <c r="P215" s="20" t="s">
        <v>121</v>
      </c>
      <c r="Q215" s="20" t="s">
        <v>121</v>
      </c>
      <c r="R215" s="30">
        <v>1400000.0</v>
      </c>
      <c r="S215" s="30">
        <v>1400000.0</v>
      </c>
      <c r="T215" s="30">
        <v>1400000.0</v>
      </c>
      <c r="U215" s="20" t="s">
        <v>71</v>
      </c>
      <c r="V215" s="20"/>
      <c r="W215" s="30">
        <v>1400000.0</v>
      </c>
      <c r="X215" s="20"/>
      <c r="Y215" s="30">
        <v>1400000.0</v>
      </c>
      <c r="Z215" s="24">
        <f t="shared" si="3"/>
        <v>1</v>
      </c>
      <c r="AA215" s="23">
        <f t="shared" si="5"/>
        <v>1400000</v>
      </c>
      <c r="AB215" s="20"/>
      <c r="AC215" s="25">
        <f t="shared" si="4"/>
        <v>0</v>
      </c>
      <c r="AD215" s="20" t="s">
        <v>72</v>
      </c>
      <c r="AE215" s="20"/>
      <c r="AF215" s="20"/>
      <c r="AG215" s="20"/>
      <c r="AH215" s="20"/>
      <c r="AI215" s="20"/>
      <c r="AJ215" s="20"/>
      <c r="AK215" s="20"/>
      <c r="AL215" s="20"/>
      <c r="AM215" s="20"/>
      <c r="AN215" s="26"/>
      <c r="AO215" s="26"/>
      <c r="AP215" s="26"/>
      <c r="AQ215" s="26"/>
      <c r="AR215" s="26"/>
      <c r="AS215" s="26"/>
      <c r="AT215" s="26"/>
    </row>
    <row r="216">
      <c r="A216" s="20">
        <v>214.0</v>
      </c>
      <c r="B216" s="29" t="s">
        <v>300</v>
      </c>
      <c r="C216" s="30"/>
      <c r="D216" s="20"/>
      <c r="E216" s="20"/>
      <c r="F216" s="20"/>
      <c r="G216" s="20"/>
      <c r="H216" s="33" t="s">
        <v>65</v>
      </c>
      <c r="I216" s="33" t="s">
        <v>74</v>
      </c>
      <c r="J216" s="21"/>
      <c r="K216" s="20" t="str">
        <f t="shared" si="1"/>
        <v>ROADS,TRANSPORT AND PUBLIC WORKS</v>
      </c>
      <c r="L216" s="20" t="s">
        <v>107</v>
      </c>
      <c r="M216" s="20" t="str">
        <f t="shared" si="2"/>
        <v>ROADS,TRANSPORT AND PUBLIC WORKS</v>
      </c>
      <c r="N216" s="22" t="s">
        <v>119</v>
      </c>
      <c r="O216" s="22" t="s">
        <v>120</v>
      </c>
      <c r="P216" s="20" t="s">
        <v>121</v>
      </c>
      <c r="Q216" s="20" t="s">
        <v>121</v>
      </c>
      <c r="R216" s="30">
        <v>1434116.0</v>
      </c>
      <c r="S216" s="30">
        <v>1434116.0</v>
      </c>
      <c r="T216" s="30">
        <v>1434116.0</v>
      </c>
      <c r="U216" s="20" t="s">
        <v>71</v>
      </c>
      <c r="V216" s="20"/>
      <c r="W216" s="30">
        <v>1434116.0</v>
      </c>
      <c r="X216" s="20"/>
      <c r="Y216" s="30">
        <v>1434116.0</v>
      </c>
      <c r="Z216" s="24">
        <f t="shared" si="3"/>
        <v>1</v>
      </c>
      <c r="AA216" s="23">
        <f t="shared" si="5"/>
        <v>1434116</v>
      </c>
      <c r="AB216" s="20"/>
      <c r="AC216" s="25">
        <f t="shared" si="4"/>
        <v>0</v>
      </c>
      <c r="AD216" s="20" t="s">
        <v>72</v>
      </c>
      <c r="AE216" s="20"/>
      <c r="AF216" s="20"/>
      <c r="AG216" s="20"/>
      <c r="AH216" s="20"/>
      <c r="AI216" s="20"/>
      <c r="AJ216" s="20"/>
      <c r="AK216" s="20"/>
      <c r="AL216" s="20"/>
      <c r="AM216" s="20"/>
      <c r="AN216" s="26"/>
      <c r="AO216" s="26"/>
      <c r="AP216" s="26"/>
      <c r="AQ216" s="26"/>
      <c r="AR216" s="26"/>
      <c r="AS216" s="26"/>
      <c r="AT216" s="26"/>
    </row>
    <row r="217">
      <c r="A217" s="20">
        <v>215.0</v>
      </c>
      <c r="B217" s="29" t="s">
        <v>301</v>
      </c>
      <c r="C217" s="30"/>
      <c r="D217" s="20"/>
      <c r="E217" s="20"/>
      <c r="F217" s="20"/>
      <c r="G217" s="20"/>
      <c r="H217" s="33" t="s">
        <v>104</v>
      </c>
      <c r="I217" s="33" t="s">
        <v>104</v>
      </c>
      <c r="J217" s="21"/>
      <c r="K217" s="20" t="str">
        <f t="shared" si="1"/>
        <v>WATER,ENVIRONMENT,CLIMATE CHANGE AND NATURAL RESOURCES</v>
      </c>
      <c r="L217" s="20" t="s">
        <v>75</v>
      </c>
      <c r="M217" s="20" t="str">
        <f t="shared" si="2"/>
        <v>WATER,ENVIRONMENT,CLIMATE CHANGE AND NATURAL RESOURCES</v>
      </c>
      <c r="N217" s="22" t="s">
        <v>119</v>
      </c>
      <c r="O217" s="22" t="s">
        <v>120</v>
      </c>
      <c r="P217" s="20" t="s">
        <v>121</v>
      </c>
      <c r="Q217" s="20" t="s">
        <v>121</v>
      </c>
      <c r="R217" s="30">
        <v>1000000.0</v>
      </c>
      <c r="S217" s="30">
        <v>1000000.0</v>
      </c>
      <c r="T217" s="30">
        <v>1000000.0</v>
      </c>
      <c r="U217" s="20" t="s">
        <v>71</v>
      </c>
      <c r="V217" s="20"/>
      <c r="W217" s="30">
        <v>1000000.0</v>
      </c>
      <c r="X217" s="20"/>
      <c r="Y217" s="30">
        <v>1000000.0</v>
      </c>
      <c r="Z217" s="24">
        <f t="shared" si="3"/>
        <v>1</v>
      </c>
      <c r="AA217" s="23">
        <f t="shared" si="5"/>
        <v>1000000</v>
      </c>
      <c r="AB217" s="20"/>
      <c r="AC217" s="25">
        <f t="shared" si="4"/>
        <v>0</v>
      </c>
      <c r="AD217" s="20" t="s">
        <v>72</v>
      </c>
      <c r="AE217" s="20"/>
      <c r="AF217" s="20"/>
      <c r="AG217" s="20"/>
      <c r="AH217" s="20"/>
      <c r="AI217" s="20"/>
      <c r="AJ217" s="20"/>
      <c r="AK217" s="20"/>
      <c r="AL217" s="20"/>
      <c r="AM217" s="20"/>
      <c r="AN217" s="26"/>
      <c r="AO217" s="26"/>
      <c r="AP217" s="26"/>
      <c r="AQ217" s="26"/>
      <c r="AR217" s="26"/>
      <c r="AS217" s="26"/>
      <c r="AT217" s="26"/>
    </row>
    <row r="218">
      <c r="A218" s="20">
        <v>216.0</v>
      </c>
      <c r="B218" s="29" t="s">
        <v>302</v>
      </c>
      <c r="C218" s="30"/>
      <c r="D218" s="20"/>
      <c r="E218" s="20"/>
      <c r="F218" s="20"/>
      <c r="G218" s="20"/>
      <c r="H218" s="33" t="s">
        <v>77</v>
      </c>
      <c r="I218" s="33" t="s">
        <v>77</v>
      </c>
      <c r="J218" s="21"/>
      <c r="K218" s="20" t="str">
        <f t="shared" si="1"/>
        <v>WATER,ENVIRONMENT,CLIMATE CHANGE AND NATURAL RESOURCES</v>
      </c>
      <c r="L218" s="20" t="s">
        <v>75</v>
      </c>
      <c r="M218" s="20" t="str">
        <f t="shared" si="2"/>
        <v>WATER,ENVIRONMENT,CLIMATE CHANGE AND NATURAL RESOURCES</v>
      </c>
      <c r="N218" s="22" t="s">
        <v>119</v>
      </c>
      <c r="O218" s="22" t="s">
        <v>120</v>
      </c>
      <c r="P218" s="20" t="s">
        <v>121</v>
      </c>
      <c r="Q218" s="20" t="s">
        <v>121</v>
      </c>
      <c r="R218" s="30">
        <v>4002010.0</v>
      </c>
      <c r="S218" s="30">
        <v>4002010.0</v>
      </c>
      <c r="T218" s="30">
        <v>4002010.0</v>
      </c>
      <c r="U218" s="20" t="s">
        <v>71</v>
      </c>
      <c r="V218" s="20"/>
      <c r="W218" s="30">
        <v>4002010.0</v>
      </c>
      <c r="X218" s="20"/>
      <c r="Y218" s="30">
        <v>4002010.0</v>
      </c>
      <c r="Z218" s="24">
        <f t="shared" si="3"/>
        <v>1</v>
      </c>
      <c r="AA218" s="23">
        <f t="shared" si="5"/>
        <v>4002010</v>
      </c>
      <c r="AB218" s="20"/>
      <c r="AC218" s="25">
        <f t="shared" si="4"/>
        <v>0</v>
      </c>
      <c r="AD218" s="20" t="s">
        <v>72</v>
      </c>
      <c r="AE218" s="20"/>
      <c r="AF218" s="20"/>
      <c r="AG218" s="20"/>
      <c r="AH218" s="20"/>
      <c r="AI218" s="20"/>
      <c r="AJ218" s="20"/>
      <c r="AK218" s="20"/>
      <c r="AL218" s="20"/>
      <c r="AM218" s="20"/>
      <c r="AN218" s="26"/>
      <c r="AO218" s="26"/>
      <c r="AP218" s="26"/>
      <c r="AQ218" s="26"/>
      <c r="AR218" s="26"/>
      <c r="AS218" s="26"/>
      <c r="AT218" s="26"/>
    </row>
    <row r="219">
      <c r="A219" s="20">
        <v>217.0</v>
      </c>
      <c r="B219" s="29" t="s">
        <v>267</v>
      </c>
      <c r="C219" s="30"/>
      <c r="D219" s="20"/>
      <c r="E219" s="20"/>
      <c r="F219" s="20"/>
      <c r="G219" s="20"/>
      <c r="H219" s="33" t="s">
        <v>113</v>
      </c>
      <c r="I219" s="33" t="s">
        <v>132</v>
      </c>
      <c r="J219" s="21"/>
      <c r="K219" s="20" t="str">
        <f t="shared" si="1"/>
        <v>WATER,ENVIRONMENT,CLIMATE CHANGE AND NATURAL RESOURCES</v>
      </c>
      <c r="L219" s="20" t="s">
        <v>75</v>
      </c>
      <c r="M219" s="20" t="str">
        <f t="shared" si="2"/>
        <v>WATER,ENVIRONMENT,CLIMATE CHANGE AND NATURAL RESOURCES</v>
      </c>
      <c r="N219" s="22" t="s">
        <v>119</v>
      </c>
      <c r="O219" s="22" t="s">
        <v>120</v>
      </c>
      <c r="P219" s="20" t="s">
        <v>121</v>
      </c>
      <c r="Q219" s="20" t="s">
        <v>121</v>
      </c>
      <c r="R219" s="30">
        <v>5000000.0</v>
      </c>
      <c r="S219" s="30">
        <v>5000000.0</v>
      </c>
      <c r="T219" s="30">
        <v>5000000.0</v>
      </c>
      <c r="U219" s="20" t="s">
        <v>71</v>
      </c>
      <c r="V219" s="20"/>
      <c r="W219" s="30">
        <v>5000000.0</v>
      </c>
      <c r="X219" s="20"/>
      <c r="Y219" s="30">
        <v>5000000.0</v>
      </c>
      <c r="Z219" s="24">
        <f t="shared" si="3"/>
        <v>1</v>
      </c>
      <c r="AA219" s="23">
        <f t="shared" si="5"/>
        <v>5000000</v>
      </c>
      <c r="AB219" s="20"/>
      <c r="AC219" s="25">
        <f t="shared" si="4"/>
        <v>0</v>
      </c>
      <c r="AD219" s="20" t="s">
        <v>72</v>
      </c>
      <c r="AE219" s="20"/>
      <c r="AF219" s="20"/>
      <c r="AG219" s="20"/>
      <c r="AH219" s="20"/>
      <c r="AI219" s="20"/>
      <c r="AJ219" s="20"/>
      <c r="AK219" s="20"/>
      <c r="AL219" s="20"/>
      <c r="AM219" s="20"/>
      <c r="AN219" s="26"/>
      <c r="AO219" s="26"/>
      <c r="AP219" s="26"/>
      <c r="AQ219" s="26"/>
      <c r="AR219" s="26"/>
      <c r="AS219" s="26"/>
      <c r="AT219" s="26"/>
    </row>
    <row r="220">
      <c r="A220" s="20">
        <v>218.0</v>
      </c>
      <c r="B220" s="29" t="s">
        <v>303</v>
      </c>
      <c r="C220" s="30"/>
      <c r="D220" s="20"/>
      <c r="E220" s="20"/>
      <c r="F220" s="20"/>
      <c r="G220" s="20"/>
      <c r="H220" s="33" t="s">
        <v>65</v>
      </c>
      <c r="I220" s="33" t="s">
        <v>66</v>
      </c>
      <c r="J220" s="21"/>
      <c r="K220" s="20" t="str">
        <f t="shared" si="1"/>
        <v>ROADS,TRANSPORT AND PUBLIC WORKS</v>
      </c>
      <c r="L220" s="20" t="s">
        <v>107</v>
      </c>
      <c r="M220" s="20" t="str">
        <f t="shared" si="2"/>
        <v>ROADS,TRANSPORT AND PUBLIC WORKS</v>
      </c>
      <c r="N220" s="22" t="s">
        <v>119</v>
      </c>
      <c r="O220" s="22" t="s">
        <v>120</v>
      </c>
      <c r="P220" s="20" t="s">
        <v>121</v>
      </c>
      <c r="Q220" s="20" t="s">
        <v>121</v>
      </c>
      <c r="R220" s="30">
        <v>1.011094E7</v>
      </c>
      <c r="S220" s="30">
        <v>1.011094E7</v>
      </c>
      <c r="T220" s="30">
        <v>1.011094E7</v>
      </c>
      <c r="U220" s="20" t="s">
        <v>71</v>
      </c>
      <c r="V220" s="20"/>
      <c r="W220" s="30">
        <v>1.011094E7</v>
      </c>
      <c r="X220" s="20"/>
      <c r="Y220" s="30">
        <v>1.011094E7</v>
      </c>
      <c r="Z220" s="24">
        <f t="shared" si="3"/>
        <v>1</v>
      </c>
      <c r="AA220" s="23">
        <f t="shared" si="5"/>
        <v>10110940</v>
      </c>
      <c r="AB220" s="20"/>
      <c r="AC220" s="25">
        <f t="shared" si="4"/>
        <v>0</v>
      </c>
      <c r="AD220" s="20" t="s">
        <v>72</v>
      </c>
      <c r="AE220" s="20"/>
      <c r="AF220" s="20"/>
      <c r="AG220" s="20"/>
      <c r="AH220" s="20"/>
      <c r="AI220" s="20"/>
      <c r="AJ220" s="20"/>
      <c r="AK220" s="20"/>
      <c r="AL220" s="20"/>
      <c r="AM220" s="20"/>
      <c r="AN220" s="26"/>
      <c r="AO220" s="26"/>
      <c r="AP220" s="26"/>
      <c r="AQ220" s="26"/>
      <c r="AR220" s="26"/>
      <c r="AS220" s="26"/>
      <c r="AT220" s="26"/>
    </row>
    <row r="221">
      <c r="A221" s="20">
        <v>219.0</v>
      </c>
      <c r="B221" s="29" t="s">
        <v>304</v>
      </c>
      <c r="C221" s="30"/>
      <c r="D221" s="20"/>
      <c r="E221" s="20"/>
      <c r="F221" s="20"/>
      <c r="G221" s="20"/>
      <c r="H221" s="33" t="s">
        <v>65</v>
      </c>
      <c r="I221" s="33" t="s">
        <v>66</v>
      </c>
      <c r="J221" s="21"/>
      <c r="K221" s="20" t="str">
        <f t="shared" si="1"/>
        <v>WATER,ENVIRONMENT,CLIMATE CHANGE AND NATURAL RESOURCES</v>
      </c>
      <c r="L221" s="20" t="s">
        <v>75</v>
      </c>
      <c r="M221" s="20" t="str">
        <f t="shared" si="2"/>
        <v>WATER,ENVIRONMENT,CLIMATE CHANGE AND NATURAL RESOURCES</v>
      </c>
      <c r="N221" s="22" t="s">
        <v>119</v>
      </c>
      <c r="O221" s="22" t="s">
        <v>120</v>
      </c>
      <c r="P221" s="20" t="s">
        <v>121</v>
      </c>
      <c r="Q221" s="20" t="s">
        <v>121</v>
      </c>
      <c r="R221" s="30">
        <v>500000.0</v>
      </c>
      <c r="S221" s="30">
        <v>500000.0</v>
      </c>
      <c r="T221" s="30">
        <v>500000.0</v>
      </c>
      <c r="U221" s="20" t="s">
        <v>71</v>
      </c>
      <c r="V221" s="20"/>
      <c r="W221" s="30">
        <v>500000.0</v>
      </c>
      <c r="X221" s="20"/>
      <c r="Y221" s="30">
        <v>500000.0</v>
      </c>
      <c r="Z221" s="24">
        <f t="shared" si="3"/>
        <v>1</v>
      </c>
      <c r="AA221" s="23">
        <f t="shared" si="5"/>
        <v>500000</v>
      </c>
      <c r="AB221" s="20"/>
      <c r="AC221" s="25">
        <f t="shared" si="4"/>
        <v>0</v>
      </c>
      <c r="AD221" s="20" t="s">
        <v>72</v>
      </c>
      <c r="AE221" s="20"/>
      <c r="AF221" s="20"/>
      <c r="AG221" s="20"/>
      <c r="AH221" s="20"/>
      <c r="AI221" s="20"/>
      <c r="AJ221" s="20"/>
      <c r="AK221" s="20"/>
      <c r="AL221" s="20"/>
      <c r="AM221" s="20"/>
      <c r="AN221" s="20"/>
      <c r="AO221" s="20"/>
      <c r="AP221" s="20"/>
      <c r="AQ221" s="20"/>
      <c r="AR221" s="20"/>
      <c r="AS221" s="20"/>
      <c r="AT221" s="20"/>
    </row>
    <row r="222">
      <c r="A222" s="20">
        <v>220.0</v>
      </c>
      <c r="B222" s="29" t="s">
        <v>305</v>
      </c>
      <c r="C222" s="30"/>
      <c r="D222" s="20"/>
      <c r="E222" s="20"/>
      <c r="F222" s="20"/>
      <c r="G222" s="20"/>
      <c r="H222" s="33" t="s">
        <v>65</v>
      </c>
      <c r="I222" s="33" t="s">
        <v>66</v>
      </c>
      <c r="J222" s="21"/>
      <c r="K222" s="20" t="str">
        <f t="shared" si="1"/>
        <v>ROADS,TRANSPORT AND PUBLIC WORKS</v>
      </c>
      <c r="L222" s="20" t="s">
        <v>107</v>
      </c>
      <c r="M222" s="20" t="str">
        <f t="shared" si="2"/>
        <v>ROADS,TRANSPORT AND PUBLIC WORKS</v>
      </c>
      <c r="N222" s="22" t="s">
        <v>119</v>
      </c>
      <c r="O222" s="22" t="s">
        <v>120</v>
      </c>
      <c r="P222" s="20" t="s">
        <v>121</v>
      </c>
      <c r="Q222" s="20" t="s">
        <v>121</v>
      </c>
      <c r="R222" s="30">
        <v>3135000.0</v>
      </c>
      <c r="S222" s="30">
        <v>3135000.0</v>
      </c>
      <c r="T222" s="30">
        <v>3135000.0</v>
      </c>
      <c r="U222" s="20" t="s">
        <v>71</v>
      </c>
      <c r="V222" s="20"/>
      <c r="W222" s="30">
        <v>3135000.0</v>
      </c>
      <c r="X222" s="20"/>
      <c r="Y222" s="30">
        <v>3135000.0</v>
      </c>
      <c r="Z222" s="24">
        <f t="shared" si="3"/>
        <v>1</v>
      </c>
      <c r="AA222" s="23">
        <f t="shared" si="5"/>
        <v>3135000</v>
      </c>
      <c r="AB222" s="20"/>
      <c r="AC222" s="25">
        <f t="shared" si="4"/>
        <v>0</v>
      </c>
      <c r="AD222" s="20" t="s">
        <v>72</v>
      </c>
      <c r="AE222" s="20"/>
      <c r="AF222" s="20"/>
      <c r="AG222" s="20"/>
      <c r="AH222" s="20"/>
      <c r="AI222" s="20"/>
      <c r="AJ222" s="20"/>
      <c r="AK222" s="20"/>
      <c r="AL222" s="20"/>
      <c r="AM222" s="20"/>
      <c r="AN222" s="20"/>
      <c r="AO222" s="20"/>
      <c r="AP222" s="20"/>
      <c r="AQ222" s="20"/>
      <c r="AR222" s="20"/>
      <c r="AS222" s="20"/>
      <c r="AT222" s="20"/>
    </row>
    <row r="223">
      <c r="A223" s="20">
        <v>221.0</v>
      </c>
      <c r="B223" s="29" t="s">
        <v>306</v>
      </c>
      <c r="C223" s="30"/>
      <c r="D223" s="20"/>
      <c r="E223" s="20"/>
      <c r="F223" s="20"/>
      <c r="G223" s="20"/>
      <c r="H223" s="33" t="s">
        <v>81</v>
      </c>
      <c r="I223" s="33" t="s">
        <v>66</v>
      </c>
      <c r="J223" s="21"/>
      <c r="K223" s="20" t="str">
        <f t="shared" si="1"/>
        <v>ROADS,TRANSPORT AND PUBLIC WORKS</v>
      </c>
      <c r="L223" s="20" t="s">
        <v>107</v>
      </c>
      <c r="M223" s="20" t="str">
        <f t="shared" si="2"/>
        <v>ROADS,TRANSPORT AND PUBLIC WORKS</v>
      </c>
      <c r="N223" s="22" t="s">
        <v>119</v>
      </c>
      <c r="O223" s="22" t="s">
        <v>120</v>
      </c>
      <c r="P223" s="20" t="s">
        <v>121</v>
      </c>
      <c r="Q223" s="20" t="s">
        <v>121</v>
      </c>
      <c r="R223" s="30">
        <v>4374940.0</v>
      </c>
      <c r="S223" s="30">
        <v>4374940.0</v>
      </c>
      <c r="T223" s="30">
        <v>4374940.0</v>
      </c>
      <c r="U223" s="20" t="s">
        <v>71</v>
      </c>
      <c r="V223" s="20"/>
      <c r="W223" s="30">
        <v>4374940.0</v>
      </c>
      <c r="X223" s="20"/>
      <c r="Y223" s="30">
        <v>4374940.0</v>
      </c>
      <c r="Z223" s="24">
        <f t="shared" si="3"/>
        <v>1</v>
      </c>
      <c r="AA223" s="23">
        <f t="shared" si="5"/>
        <v>4374940</v>
      </c>
      <c r="AB223" s="20"/>
      <c r="AC223" s="25">
        <f t="shared" si="4"/>
        <v>0</v>
      </c>
      <c r="AD223" s="20" t="s">
        <v>72</v>
      </c>
      <c r="AE223" s="20"/>
      <c r="AF223" s="20"/>
      <c r="AG223" s="20"/>
      <c r="AH223" s="20"/>
      <c r="AI223" s="20"/>
      <c r="AJ223" s="20"/>
      <c r="AK223" s="20"/>
      <c r="AL223" s="20"/>
      <c r="AM223" s="20"/>
      <c r="AN223" s="20"/>
      <c r="AO223" s="20"/>
      <c r="AP223" s="20"/>
      <c r="AQ223" s="20"/>
      <c r="AR223" s="20"/>
      <c r="AS223" s="20"/>
      <c r="AT223" s="20"/>
    </row>
    <row r="224">
      <c r="A224" s="20">
        <v>222.0</v>
      </c>
      <c r="B224" s="29" t="s">
        <v>305</v>
      </c>
      <c r="C224" s="30"/>
      <c r="D224" s="20"/>
      <c r="E224" s="20"/>
      <c r="F224" s="20"/>
      <c r="G224" s="20"/>
      <c r="H224" s="33" t="s">
        <v>65</v>
      </c>
      <c r="I224" s="33" t="s">
        <v>66</v>
      </c>
      <c r="J224" s="21"/>
      <c r="K224" s="20" t="str">
        <f t="shared" si="1"/>
        <v>ROADS,TRANSPORT AND PUBLIC WORKS</v>
      </c>
      <c r="L224" s="20" t="s">
        <v>107</v>
      </c>
      <c r="M224" s="20" t="str">
        <f t="shared" si="2"/>
        <v>ROADS,TRANSPORT AND PUBLIC WORKS</v>
      </c>
      <c r="N224" s="22" t="s">
        <v>119</v>
      </c>
      <c r="O224" s="22" t="s">
        <v>120</v>
      </c>
      <c r="P224" s="20" t="s">
        <v>121</v>
      </c>
      <c r="Q224" s="20" t="s">
        <v>121</v>
      </c>
      <c r="R224" s="30">
        <v>4560000.0</v>
      </c>
      <c r="S224" s="30">
        <v>4560000.0</v>
      </c>
      <c r="T224" s="30">
        <v>4560000.0</v>
      </c>
      <c r="U224" s="20" t="s">
        <v>71</v>
      </c>
      <c r="V224" s="20"/>
      <c r="W224" s="30">
        <v>4560000.0</v>
      </c>
      <c r="X224" s="20"/>
      <c r="Y224" s="30">
        <v>4560000.0</v>
      </c>
      <c r="Z224" s="24">
        <f t="shared" si="3"/>
        <v>1</v>
      </c>
      <c r="AA224" s="23">
        <f t="shared" si="5"/>
        <v>4560000</v>
      </c>
      <c r="AB224" s="20"/>
      <c r="AC224" s="25">
        <f t="shared" si="4"/>
        <v>0</v>
      </c>
      <c r="AD224" s="20" t="s">
        <v>72</v>
      </c>
      <c r="AE224" s="20"/>
      <c r="AF224" s="20"/>
      <c r="AG224" s="20"/>
      <c r="AH224" s="20"/>
      <c r="AI224" s="20"/>
      <c r="AJ224" s="20"/>
      <c r="AK224" s="20"/>
      <c r="AL224" s="20"/>
      <c r="AM224" s="20"/>
      <c r="AN224" s="20"/>
      <c r="AO224" s="20"/>
      <c r="AP224" s="20"/>
      <c r="AQ224" s="20"/>
      <c r="AR224" s="20"/>
      <c r="AS224" s="20"/>
      <c r="AT224" s="20"/>
    </row>
    <row r="225">
      <c r="A225" s="20">
        <v>223.0</v>
      </c>
      <c r="B225" s="29" t="s">
        <v>305</v>
      </c>
      <c r="C225" s="30"/>
      <c r="D225" s="20"/>
      <c r="E225" s="20"/>
      <c r="F225" s="20"/>
      <c r="G225" s="20"/>
      <c r="H225" s="33" t="s">
        <v>65</v>
      </c>
      <c r="I225" s="33" t="s">
        <v>66</v>
      </c>
      <c r="J225" s="21"/>
      <c r="K225" s="20" t="str">
        <f t="shared" si="1"/>
        <v>ROADS,TRANSPORT AND PUBLIC WORKS</v>
      </c>
      <c r="L225" s="20" t="s">
        <v>107</v>
      </c>
      <c r="M225" s="20" t="str">
        <f t="shared" si="2"/>
        <v>ROADS,TRANSPORT AND PUBLIC WORKS</v>
      </c>
      <c r="N225" s="22" t="s">
        <v>119</v>
      </c>
      <c r="O225" s="22" t="s">
        <v>120</v>
      </c>
      <c r="P225" s="20" t="s">
        <v>121</v>
      </c>
      <c r="Q225" s="20" t="s">
        <v>121</v>
      </c>
      <c r="R225" s="30">
        <v>4560000.0</v>
      </c>
      <c r="S225" s="30">
        <v>4560000.0</v>
      </c>
      <c r="T225" s="30">
        <v>4560000.0</v>
      </c>
      <c r="U225" s="20" t="s">
        <v>71</v>
      </c>
      <c r="V225" s="20"/>
      <c r="W225" s="30">
        <v>4560000.0</v>
      </c>
      <c r="X225" s="20"/>
      <c r="Y225" s="30">
        <v>4560000.0</v>
      </c>
      <c r="Z225" s="24">
        <f t="shared" si="3"/>
        <v>1</v>
      </c>
      <c r="AA225" s="23">
        <f t="shared" si="5"/>
        <v>4560000</v>
      </c>
      <c r="AB225" s="20"/>
      <c r="AC225" s="25">
        <f t="shared" si="4"/>
        <v>0</v>
      </c>
      <c r="AD225" s="20" t="s">
        <v>72</v>
      </c>
      <c r="AE225" s="20"/>
      <c r="AF225" s="20"/>
      <c r="AG225" s="20"/>
      <c r="AH225" s="20"/>
      <c r="AI225" s="20"/>
      <c r="AJ225" s="20"/>
      <c r="AK225" s="20"/>
      <c r="AL225" s="20"/>
      <c r="AM225" s="20"/>
      <c r="AN225" s="20"/>
      <c r="AO225" s="20"/>
      <c r="AP225" s="20"/>
      <c r="AQ225" s="20"/>
      <c r="AR225" s="20"/>
      <c r="AS225" s="20"/>
      <c r="AT225" s="20"/>
    </row>
    <row r="226">
      <c r="A226" s="20">
        <v>224.0</v>
      </c>
      <c r="B226" s="29" t="s">
        <v>307</v>
      </c>
      <c r="C226" s="30"/>
      <c r="D226" s="20"/>
      <c r="E226" s="20"/>
      <c r="F226" s="20"/>
      <c r="G226" s="20"/>
      <c r="H226" s="33" t="s">
        <v>65</v>
      </c>
      <c r="I226" s="33" t="s">
        <v>66</v>
      </c>
      <c r="J226" s="21"/>
      <c r="K226" s="20" t="str">
        <f t="shared" si="1"/>
        <v>ROADS,TRANSPORT AND PUBLIC WORKS</v>
      </c>
      <c r="L226" s="20" t="s">
        <v>107</v>
      </c>
      <c r="M226" s="20" t="str">
        <f t="shared" si="2"/>
        <v>ROADS,TRANSPORT AND PUBLIC WORKS</v>
      </c>
      <c r="N226" s="22" t="s">
        <v>119</v>
      </c>
      <c r="O226" s="22" t="s">
        <v>120</v>
      </c>
      <c r="P226" s="20" t="s">
        <v>121</v>
      </c>
      <c r="Q226" s="20" t="s">
        <v>121</v>
      </c>
      <c r="R226" s="30">
        <v>5510000.0</v>
      </c>
      <c r="S226" s="30">
        <v>5510000.0</v>
      </c>
      <c r="T226" s="30">
        <v>5510000.0</v>
      </c>
      <c r="U226" s="20" t="s">
        <v>71</v>
      </c>
      <c r="V226" s="20"/>
      <c r="W226" s="30">
        <v>5510000.0</v>
      </c>
      <c r="X226" s="20"/>
      <c r="Y226" s="30">
        <v>5510000.0</v>
      </c>
      <c r="Z226" s="24">
        <f t="shared" si="3"/>
        <v>1</v>
      </c>
      <c r="AA226" s="23">
        <f t="shared" si="5"/>
        <v>5510000</v>
      </c>
      <c r="AB226" s="20"/>
      <c r="AC226" s="25">
        <f t="shared" si="4"/>
        <v>0</v>
      </c>
      <c r="AD226" s="20" t="s">
        <v>72</v>
      </c>
      <c r="AE226" s="20"/>
      <c r="AF226" s="20"/>
      <c r="AG226" s="20"/>
      <c r="AH226" s="20"/>
      <c r="AI226" s="20"/>
      <c r="AJ226" s="20"/>
      <c r="AK226" s="20"/>
      <c r="AL226" s="20"/>
      <c r="AM226" s="20"/>
      <c r="AN226" s="20"/>
      <c r="AO226" s="20"/>
      <c r="AP226" s="20"/>
      <c r="AQ226" s="20"/>
      <c r="AR226" s="20"/>
      <c r="AS226" s="20"/>
      <c r="AT226" s="20"/>
    </row>
    <row r="227">
      <c r="A227" s="20">
        <v>225.0</v>
      </c>
      <c r="B227" s="29" t="s">
        <v>308</v>
      </c>
      <c r="C227" s="30"/>
      <c r="D227" s="20"/>
      <c r="E227" s="20"/>
      <c r="F227" s="20"/>
      <c r="G227" s="20"/>
      <c r="H227" s="33" t="s">
        <v>65</v>
      </c>
      <c r="I227" s="33" t="s">
        <v>66</v>
      </c>
      <c r="J227" s="21"/>
      <c r="K227" s="20" t="str">
        <f t="shared" si="1"/>
        <v>ROADS,TRANSPORT AND PUBLIC WORKS</v>
      </c>
      <c r="L227" s="20" t="s">
        <v>107</v>
      </c>
      <c r="M227" s="20" t="str">
        <f t="shared" si="2"/>
        <v>ROADS,TRANSPORT AND PUBLIC WORKS</v>
      </c>
      <c r="N227" s="22" t="s">
        <v>119</v>
      </c>
      <c r="O227" s="22" t="s">
        <v>120</v>
      </c>
      <c r="P227" s="20" t="s">
        <v>121</v>
      </c>
      <c r="Q227" s="20" t="s">
        <v>121</v>
      </c>
      <c r="R227" s="30">
        <v>3000000.0</v>
      </c>
      <c r="S227" s="30">
        <v>3000000.0</v>
      </c>
      <c r="T227" s="30">
        <v>3000000.0</v>
      </c>
      <c r="U227" s="20" t="s">
        <v>71</v>
      </c>
      <c r="V227" s="20"/>
      <c r="W227" s="30">
        <v>3000000.0</v>
      </c>
      <c r="X227" s="20"/>
      <c r="Y227" s="30">
        <v>3000000.0</v>
      </c>
      <c r="Z227" s="24">
        <f t="shared" si="3"/>
        <v>1</v>
      </c>
      <c r="AA227" s="23">
        <f t="shared" si="5"/>
        <v>3000000</v>
      </c>
      <c r="AB227" s="20"/>
      <c r="AC227" s="25">
        <f t="shared" si="4"/>
        <v>0</v>
      </c>
      <c r="AD227" s="20" t="s">
        <v>72</v>
      </c>
      <c r="AE227" s="20"/>
      <c r="AF227" s="20"/>
      <c r="AG227" s="20"/>
      <c r="AH227" s="20"/>
      <c r="AI227" s="20"/>
      <c r="AJ227" s="20"/>
      <c r="AK227" s="20"/>
      <c r="AL227" s="20"/>
      <c r="AM227" s="20"/>
      <c r="AN227" s="20"/>
      <c r="AO227" s="20"/>
      <c r="AP227" s="20"/>
      <c r="AQ227" s="20"/>
      <c r="AR227" s="20"/>
      <c r="AS227" s="20"/>
      <c r="AT227" s="20"/>
    </row>
    <row r="228">
      <c r="A228" s="20">
        <v>226.0</v>
      </c>
      <c r="B228" s="29" t="s">
        <v>309</v>
      </c>
      <c r="C228" s="30"/>
      <c r="D228" s="20"/>
      <c r="E228" s="20"/>
      <c r="F228" s="20"/>
      <c r="G228" s="20"/>
      <c r="H228" s="33" t="s">
        <v>77</v>
      </c>
      <c r="I228" s="33" t="s">
        <v>77</v>
      </c>
      <c r="J228" s="21"/>
      <c r="K228" s="20" t="str">
        <f t="shared" si="1"/>
        <v>Health services</v>
      </c>
      <c r="L228" s="20" t="s">
        <v>67</v>
      </c>
      <c r="M228" s="20" t="str">
        <f t="shared" si="2"/>
        <v>Health services</v>
      </c>
      <c r="N228" s="22" t="s">
        <v>119</v>
      </c>
      <c r="O228" s="22" t="s">
        <v>120</v>
      </c>
      <c r="P228" s="20" t="s">
        <v>121</v>
      </c>
      <c r="Q228" s="20" t="s">
        <v>121</v>
      </c>
      <c r="R228" s="30">
        <v>2375000.0</v>
      </c>
      <c r="S228" s="30">
        <v>2375000.0</v>
      </c>
      <c r="T228" s="30">
        <v>2375000.0</v>
      </c>
      <c r="U228" s="20" t="s">
        <v>71</v>
      </c>
      <c r="V228" s="20"/>
      <c r="W228" s="30">
        <v>2375000.0</v>
      </c>
      <c r="X228" s="20"/>
      <c r="Y228" s="30">
        <v>2375000.0</v>
      </c>
      <c r="Z228" s="24">
        <f t="shared" si="3"/>
        <v>1</v>
      </c>
      <c r="AA228" s="23">
        <f t="shared" si="5"/>
        <v>2375000</v>
      </c>
      <c r="AB228" s="20"/>
      <c r="AC228" s="25">
        <f t="shared" si="4"/>
        <v>0</v>
      </c>
      <c r="AD228" s="20" t="s">
        <v>72</v>
      </c>
      <c r="AE228" s="20"/>
      <c r="AF228" s="20"/>
      <c r="AG228" s="20"/>
      <c r="AH228" s="20"/>
      <c r="AI228" s="20"/>
      <c r="AJ228" s="20"/>
      <c r="AK228" s="20"/>
      <c r="AL228" s="20"/>
      <c r="AM228" s="20"/>
      <c r="AN228" s="20"/>
      <c r="AO228" s="20"/>
      <c r="AP228" s="20"/>
      <c r="AQ228" s="20"/>
      <c r="AR228" s="20"/>
      <c r="AS228" s="20"/>
      <c r="AT228" s="20"/>
    </row>
    <row r="229">
      <c r="A229" s="20">
        <v>227.0</v>
      </c>
      <c r="B229" s="29" t="s">
        <v>310</v>
      </c>
      <c r="C229" s="30"/>
      <c r="D229" s="20"/>
      <c r="E229" s="20"/>
      <c r="F229" s="20"/>
      <c r="G229" s="20"/>
      <c r="H229" s="33" t="s">
        <v>65</v>
      </c>
      <c r="I229" s="33" t="s">
        <v>66</v>
      </c>
      <c r="J229" s="21"/>
      <c r="K229" s="20" t="str">
        <f t="shared" si="1"/>
        <v>ROADS,TRANSPORT AND PUBLIC WORKS</v>
      </c>
      <c r="L229" s="20" t="s">
        <v>107</v>
      </c>
      <c r="M229" s="20" t="str">
        <f t="shared" si="2"/>
        <v>ROADS,TRANSPORT AND PUBLIC WORKS</v>
      </c>
      <c r="N229" s="22" t="s">
        <v>119</v>
      </c>
      <c r="O229" s="22" t="s">
        <v>120</v>
      </c>
      <c r="P229" s="20" t="s">
        <v>121</v>
      </c>
      <c r="Q229" s="20" t="s">
        <v>121</v>
      </c>
      <c r="R229" s="30">
        <v>2386964.0</v>
      </c>
      <c r="S229" s="30">
        <v>2386964.0</v>
      </c>
      <c r="T229" s="30">
        <v>2386964.0</v>
      </c>
      <c r="U229" s="20" t="s">
        <v>71</v>
      </c>
      <c r="V229" s="20"/>
      <c r="W229" s="30">
        <v>2386964.0</v>
      </c>
      <c r="X229" s="20"/>
      <c r="Y229" s="30">
        <v>2386964.0</v>
      </c>
      <c r="Z229" s="24">
        <f t="shared" si="3"/>
        <v>1</v>
      </c>
      <c r="AA229" s="23">
        <f t="shared" si="5"/>
        <v>2386964</v>
      </c>
      <c r="AB229" s="20"/>
      <c r="AC229" s="25">
        <f t="shared" si="4"/>
        <v>0</v>
      </c>
      <c r="AD229" s="20" t="s">
        <v>72</v>
      </c>
      <c r="AE229" s="20"/>
      <c r="AF229" s="20"/>
      <c r="AG229" s="20"/>
      <c r="AH229" s="20"/>
      <c r="AI229" s="20"/>
      <c r="AJ229" s="20"/>
      <c r="AK229" s="20"/>
      <c r="AL229" s="20"/>
      <c r="AM229" s="20"/>
      <c r="AN229" s="20"/>
      <c r="AO229" s="20"/>
      <c r="AP229" s="20"/>
      <c r="AQ229" s="20"/>
      <c r="AR229" s="20"/>
      <c r="AS229" s="20"/>
      <c r="AT229" s="20"/>
    </row>
    <row r="230">
      <c r="A230" s="20">
        <v>228.0</v>
      </c>
      <c r="B230" s="29" t="s">
        <v>311</v>
      </c>
      <c r="C230" s="30"/>
      <c r="D230" s="20"/>
      <c r="E230" s="20"/>
      <c r="F230" s="20"/>
      <c r="G230" s="20"/>
      <c r="H230" s="33" t="s">
        <v>81</v>
      </c>
      <c r="I230" s="33" t="s">
        <v>66</v>
      </c>
      <c r="J230" s="21"/>
      <c r="K230" s="20" t="str">
        <f t="shared" si="1"/>
        <v>Health services</v>
      </c>
      <c r="L230" s="20" t="s">
        <v>67</v>
      </c>
      <c r="M230" s="20" t="str">
        <f t="shared" si="2"/>
        <v>Health services</v>
      </c>
      <c r="N230" s="22" t="s">
        <v>119</v>
      </c>
      <c r="O230" s="22" t="s">
        <v>120</v>
      </c>
      <c r="P230" s="20" t="s">
        <v>121</v>
      </c>
      <c r="Q230" s="20" t="s">
        <v>121</v>
      </c>
      <c r="R230" s="30">
        <v>3135000.0</v>
      </c>
      <c r="S230" s="30">
        <v>3135000.0</v>
      </c>
      <c r="T230" s="30">
        <v>3135000.0</v>
      </c>
      <c r="U230" s="20" t="s">
        <v>71</v>
      </c>
      <c r="V230" s="20"/>
      <c r="W230" s="30">
        <v>3135000.0</v>
      </c>
      <c r="X230" s="20"/>
      <c r="Y230" s="30">
        <v>3135000.0</v>
      </c>
      <c r="Z230" s="24">
        <f t="shared" si="3"/>
        <v>1</v>
      </c>
      <c r="AA230" s="23">
        <f t="shared" si="5"/>
        <v>3135000</v>
      </c>
      <c r="AB230" s="20"/>
      <c r="AC230" s="25">
        <f t="shared" si="4"/>
        <v>0</v>
      </c>
      <c r="AD230" s="20" t="s">
        <v>72</v>
      </c>
      <c r="AE230" s="20"/>
      <c r="AF230" s="20"/>
      <c r="AG230" s="20"/>
      <c r="AH230" s="20"/>
      <c r="AI230" s="20"/>
      <c r="AJ230" s="20"/>
      <c r="AK230" s="20"/>
      <c r="AL230" s="20"/>
      <c r="AM230" s="20"/>
      <c r="AN230" s="20"/>
      <c r="AO230" s="20"/>
      <c r="AP230" s="20"/>
      <c r="AQ230" s="20"/>
      <c r="AR230" s="20"/>
      <c r="AS230" s="20"/>
      <c r="AT230" s="20"/>
    </row>
    <row r="231">
      <c r="A231" s="20">
        <v>229.0</v>
      </c>
      <c r="B231" s="29" t="s">
        <v>312</v>
      </c>
      <c r="C231" s="30"/>
      <c r="D231" s="20"/>
      <c r="E231" s="20"/>
      <c r="F231" s="20"/>
      <c r="G231" s="20"/>
      <c r="H231" s="33" t="s">
        <v>65</v>
      </c>
      <c r="I231" s="33" t="s">
        <v>66</v>
      </c>
      <c r="J231" s="21"/>
      <c r="K231" s="20" t="str">
        <f t="shared" si="1"/>
        <v>ROADS,TRANSPORT AND PUBLIC WORKS</v>
      </c>
      <c r="L231" s="20" t="s">
        <v>107</v>
      </c>
      <c r="M231" s="20" t="str">
        <f t="shared" si="2"/>
        <v>ROADS,TRANSPORT AND PUBLIC WORKS</v>
      </c>
      <c r="N231" s="22" t="s">
        <v>119</v>
      </c>
      <c r="O231" s="22" t="s">
        <v>120</v>
      </c>
      <c r="P231" s="20" t="s">
        <v>121</v>
      </c>
      <c r="Q231" s="20" t="s">
        <v>121</v>
      </c>
      <c r="R231" s="30">
        <v>3325000.0</v>
      </c>
      <c r="S231" s="30">
        <v>3325000.0</v>
      </c>
      <c r="T231" s="30">
        <v>3325000.0</v>
      </c>
      <c r="U231" s="20" t="s">
        <v>71</v>
      </c>
      <c r="V231" s="20"/>
      <c r="W231" s="30">
        <v>3325000.0</v>
      </c>
      <c r="X231" s="20"/>
      <c r="Y231" s="30">
        <v>3325000.0</v>
      </c>
      <c r="Z231" s="24">
        <f t="shared" si="3"/>
        <v>1</v>
      </c>
      <c r="AA231" s="23">
        <f t="shared" si="5"/>
        <v>3325000</v>
      </c>
      <c r="AB231" s="20"/>
      <c r="AC231" s="25">
        <f t="shared" si="4"/>
        <v>0</v>
      </c>
      <c r="AD231" s="20" t="s">
        <v>72</v>
      </c>
      <c r="AE231" s="20"/>
      <c r="AF231" s="20"/>
      <c r="AG231" s="20"/>
      <c r="AH231" s="20"/>
      <c r="AI231" s="20"/>
      <c r="AJ231" s="20"/>
      <c r="AK231" s="20"/>
      <c r="AL231" s="20"/>
      <c r="AM231" s="20"/>
      <c r="AN231" s="20"/>
      <c r="AO231" s="20"/>
      <c r="AP231" s="20"/>
      <c r="AQ231" s="20"/>
      <c r="AR231" s="20"/>
      <c r="AS231" s="20"/>
      <c r="AT231" s="20"/>
    </row>
    <row r="232">
      <c r="A232" s="20">
        <v>230.0</v>
      </c>
      <c r="B232" s="29" t="s">
        <v>313</v>
      </c>
      <c r="C232" s="30"/>
      <c r="D232" s="20"/>
      <c r="E232" s="20"/>
      <c r="F232" s="20"/>
      <c r="G232" s="20"/>
      <c r="H232" s="33" t="s">
        <v>65</v>
      </c>
      <c r="I232" s="33" t="s">
        <v>66</v>
      </c>
      <c r="J232" s="21"/>
      <c r="K232" s="20" t="str">
        <f t="shared" si="1"/>
        <v>ROADS,TRANSPORT AND PUBLIC WORKS</v>
      </c>
      <c r="L232" s="20" t="s">
        <v>107</v>
      </c>
      <c r="M232" s="20" t="str">
        <f t="shared" si="2"/>
        <v>ROADS,TRANSPORT AND PUBLIC WORKS</v>
      </c>
      <c r="N232" s="22" t="s">
        <v>119</v>
      </c>
      <c r="O232" s="22" t="s">
        <v>120</v>
      </c>
      <c r="P232" s="20" t="s">
        <v>121</v>
      </c>
      <c r="Q232" s="20" t="s">
        <v>121</v>
      </c>
      <c r="R232" s="30">
        <v>4800000.0</v>
      </c>
      <c r="S232" s="30">
        <v>4800000.0</v>
      </c>
      <c r="T232" s="30">
        <v>4800000.0</v>
      </c>
      <c r="U232" s="20" t="s">
        <v>71</v>
      </c>
      <c r="V232" s="20"/>
      <c r="W232" s="30">
        <v>4800000.0</v>
      </c>
      <c r="X232" s="20"/>
      <c r="Y232" s="30">
        <v>4800000.0</v>
      </c>
      <c r="Z232" s="24">
        <f t="shared" si="3"/>
        <v>1</v>
      </c>
      <c r="AA232" s="23">
        <f t="shared" si="5"/>
        <v>4800000</v>
      </c>
      <c r="AB232" s="20"/>
      <c r="AC232" s="25">
        <f t="shared" si="4"/>
        <v>0</v>
      </c>
      <c r="AD232" s="20" t="s">
        <v>72</v>
      </c>
      <c r="AE232" s="20"/>
      <c r="AF232" s="20"/>
      <c r="AG232" s="20"/>
      <c r="AH232" s="20"/>
      <c r="AI232" s="20"/>
      <c r="AJ232" s="20"/>
      <c r="AK232" s="20"/>
      <c r="AL232" s="20"/>
      <c r="AM232" s="20"/>
      <c r="AN232" s="20"/>
      <c r="AO232" s="20"/>
      <c r="AP232" s="20"/>
      <c r="AQ232" s="20"/>
      <c r="AR232" s="20"/>
      <c r="AS232" s="20"/>
      <c r="AT232" s="20"/>
    </row>
    <row r="233">
      <c r="A233" s="20">
        <v>231.0</v>
      </c>
      <c r="B233" s="29" t="s">
        <v>314</v>
      </c>
      <c r="C233" s="30"/>
      <c r="D233" s="20"/>
      <c r="E233" s="20"/>
      <c r="F233" s="20"/>
      <c r="G233" s="20"/>
      <c r="H233" s="33" t="s">
        <v>65</v>
      </c>
      <c r="I233" s="33" t="s">
        <v>66</v>
      </c>
      <c r="J233" s="21"/>
      <c r="K233" s="20" t="str">
        <f t="shared" si="1"/>
        <v>ROADS,TRANSPORT AND PUBLIC WORKS</v>
      </c>
      <c r="L233" s="20" t="s">
        <v>107</v>
      </c>
      <c r="M233" s="20" t="str">
        <f t="shared" si="2"/>
        <v>ROADS,TRANSPORT AND PUBLIC WORKS</v>
      </c>
      <c r="N233" s="22" t="s">
        <v>119</v>
      </c>
      <c r="O233" s="22" t="s">
        <v>120</v>
      </c>
      <c r="P233" s="20" t="s">
        <v>121</v>
      </c>
      <c r="Q233" s="20" t="s">
        <v>121</v>
      </c>
      <c r="R233" s="30">
        <v>1000000.0</v>
      </c>
      <c r="S233" s="30">
        <v>1000000.0</v>
      </c>
      <c r="T233" s="30">
        <v>1000000.0</v>
      </c>
      <c r="U233" s="20" t="s">
        <v>71</v>
      </c>
      <c r="V233" s="20"/>
      <c r="W233" s="30">
        <v>1000000.0</v>
      </c>
      <c r="X233" s="20"/>
      <c r="Y233" s="30">
        <v>1000000.0</v>
      </c>
      <c r="Z233" s="24">
        <f t="shared" si="3"/>
        <v>1</v>
      </c>
      <c r="AA233" s="23">
        <f t="shared" si="5"/>
        <v>1000000</v>
      </c>
      <c r="AB233" s="20"/>
      <c r="AC233" s="25">
        <f t="shared" si="4"/>
        <v>0</v>
      </c>
      <c r="AD233" s="20" t="s">
        <v>72</v>
      </c>
      <c r="AE233" s="20"/>
      <c r="AF233" s="20"/>
      <c r="AG233" s="20"/>
      <c r="AH233" s="20"/>
      <c r="AI233" s="20"/>
      <c r="AJ233" s="20"/>
      <c r="AK233" s="20"/>
      <c r="AL233" s="20"/>
      <c r="AM233" s="20"/>
      <c r="AN233" s="20"/>
      <c r="AO233" s="20"/>
      <c r="AP233" s="20"/>
      <c r="AQ233" s="20"/>
      <c r="AR233" s="20"/>
      <c r="AS233" s="20"/>
      <c r="AT233" s="20"/>
    </row>
    <row r="234">
      <c r="A234" s="20">
        <v>232.0</v>
      </c>
      <c r="B234" s="29" t="s">
        <v>315</v>
      </c>
      <c r="C234" s="30"/>
      <c r="D234" s="20"/>
      <c r="E234" s="20"/>
      <c r="F234" s="20"/>
      <c r="G234" s="20"/>
      <c r="H234" s="33" t="s">
        <v>77</v>
      </c>
      <c r="I234" s="33" t="s">
        <v>77</v>
      </c>
      <c r="J234" s="21"/>
      <c r="K234" s="20" t="str">
        <f t="shared" si="1"/>
        <v>ROADS,TRANSPORT AND PUBLIC WORKS</v>
      </c>
      <c r="L234" s="20" t="s">
        <v>107</v>
      </c>
      <c r="M234" s="20" t="str">
        <f t="shared" si="2"/>
        <v>ROADS,TRANSPORT AND PUBLIC WORKS</v>
      </c>
      <c r="N234" s="22" t="s">
        <v>119</v>
      </c>
      <c r="O234" s="22" t="s">
        <v>120</v>
      </c>
      <c r="P234" s="20" t="s">
        <v>121</v>
      </c>
      <c r="Q234" s="20" t="s">
        <v>121</v>
      </c>
      <c r="R234" s="30">
        <v>4709286.0</v>
      </c>
      <c r="S234" s="30">
        <v>4709286.0</v>
      </c>
      <c r="T234" s="30">
        <v>4709286.0</v>
      </c>
      <c r="U234" s="20" t="s">
        <v>71</v>
      </c>
      <c r="V234" s="20"/>
      <c r="W234" s="30">
        <v>4709286.0</v>
      </c>
      <c r="X234" s="20"/>
      <c r="Y234" s="30">
        <v>4709286.0</v>
      </c>
      <c r="Z234" s="24">
        <f t="shared" si="3"/>
        <v>1</v>
      </c>
      <c r="AA234" s="23">
        <f t="shared" si="5"/>
        <v>4709286</v>
      </c>
      <c r="AB234" s="20"/>
      <c r="AC234" s="25">
        <f t="shared" si="4"/>
        <v>0</v>
      </c>
      <c r="AD234" s="20" t="s">
        <v>72</v>
      </c>
      <c r="AE234" s="20"/>
      <c r="AF234" s="20"/>
      <c r="AG234" s="20"/>
      <c r="AH234" s="20"/>
      <c r="AI234" s="20"/>
      <c r="AJ234" s="20"/>
      <c r="AK234" s="20"/>
      <c r="AL234" s="20"/>
      <c r="AM234" s="20"/>
      <c r="AN234" s="20"/>
      <c r="AO234" s="20"/>
      <c r="AP234" s="20"/>
      <c r="AQ234" s="20"/>
      <c r="AR234" s="20"/>
      <c r="AS234" s="20"/>
      <c r="AT234" s="20"/>
    </row>
    <row r="235">
      <c r="A235" s="20">
        <v>233.0</v>
      </c>
      <c r="B235" s="29" t="s">
        <v>316</v>
      </c>
      <c r="C235" s="30"/>
      <c r="D235" s="20"/>
      <c r="E235" s="20"/>
      <c r="F235" s="20"/>
      <c r="G235" s="20"/>
      <c r="H235" s="33" t="s">
        <v>65</v>
      </c>
      <c r="I235" s="33" t="s">
        <v>66</v>
      </c>
      <c r="J235" s="21"/>
      <c r="K235" s="20" t="str">
        <f t="shared" si="1"/>
        <v>ROADS,TRANSPORT AND PUBLIC WORKS</v>
      </c>
      <c r="L235" s="20" t="s">
        <v>107</v>
      </c>
      <c r="M235" s="20" t="str">
        <f t="shared" si="2"/>
        <v>ROADS,TRANSPORT AND PUBLIC WORKS</v>
      </c>
      <c r="N235" s="22" t="s">
        <v>119</v>
      </c>
      <c r="O235" s="22" t="s">
        <v>120</v>
      </c>
      <c r="P235" s="20" t="s">
        <v>121</v>
      </c>
      <c r="Q235" s="20" t="s">
        <v>121</v>
      </c>
      <c r="R235" s="30">
        <v>800000.0</v>
      </c>
      <c r="S235" s="30">
        <v>800000.0</v>
      </c>
      <c r="T235" s="30">
        <v>800000.0</v>
      </c>
      <c r="U235" s="20" t="s">
        <v>71</v>
      </c>
      <c r="V235" s="20"/>
      <c r="W235" s="30">
        <v>800000.0</v>
      </c>
      <c r="X235" s="20"/>
      <c r="Y235" s="30">
        <v>800000.0</v>
      </c>
      <c r="Z235" s="24">
        <f t="shared" si="3"/>
        <v>1</v>
      </c>
      <c r="AA235" s="23">
        <f t="shared" si="5"/>
        <v>800000</v>
      </c>
      <c r="AB235" s="20"/>
      <c r="AC235" s="25">
        <f t="shared" si="4"/>
        <v>0</v>
      </c>
      <c r="AD235" s="20" t="s">
        <v>72</v>
      </c>
      <c r="AE235" s="20"/>
      <c r="AF235" s="20"/>
      <c r="AG235" s="20"/>
      <c r="AH235" s="20"/>
      <c r="AI235" s="20"/>
      <c r="AJ235" s="20"/>
      <c r="AK235" s="20"/>
      <c r="AL235" s="20"/>
      <c r="AM235" s="20"/>
      <c r="AN235" s="20"/>
      <c r="AO235" s="20"/>
      <c r="AP235" s="20"/>
      <c r="AQ235" s="20"/>
      <c r="AR235" s="20"/>
      <c r="AS235" s="20"/>
      <c r="AT235" s="20"/>
    </row>
    <row r="236">
      <c r="A236" s="20">
        <v>234.0</v>
      </c>
      <c r="B236" s="29" t="s">
        <v>317</v>
      </c>
      <c r="C236" s="30"/>
      <c r="D236" s="20"/>
      <c r="E236" s="20"/>
      <c r="F236" s="20"/>
      <c r="G236" s="20"/>
      <c r="H236" s="33" t="s">
        <v>65</v>
      </c>
      <c r="I236" s="33" t="s">
        <v>66</v>
      </c>
      <c r="J236" s="21"/>
      <c r="K236" s="20" t="str">
        <f t="shared" si="1"/>
        <v>ROADS,TRANSPORT AND PUBLIC WORKS</v>
      </c>
      <c r="L236" s="20" t="s">
        <v>107</v>
      </c>
      <c r="M236" s="20" t="str">
        <f t="shared" si="2"/>
        <v>ROADS,TRANSPORT AND PUBLIC WORKS</v>
      </c>
      <c r="N236" s="22" t="s">
        <v>119</v>
      </c>
      <c r="O236" s="22" t="s">
        <v>120</v>
      </c>
      <c r="P236" s="20" t="s">
        <v>121</v>
      </c>
      <c r="Q236" s="20" t="s">
        <v>121</v>
      </c>
      <c r="R236" s="30">
        <v>1000000.0</v>
      </c>
      <c r="S236" s="30">
        <v>1000000.0</v>
      </c>
      <c r="T236" s="30">
        <v>1000000.0</v>
      </c>
      <c r="U236" s="20" t="s">
        <v>71</v>
      </c>
      <c r="V236" s="20"/>
      <c r="W236" s="30">
        <v>1000000.0</v>
      </c>
      <c r="X236" s="20"/>
      <c r="Y236" s="30">
        <v>1000000.0</v>
      </c>
      <c r="Z236" s="24">
        <f t="shared" si="3"/>
        <v>1</v>
      </c>
      <c r="AA236" s="23">
        <f t="shared" si="5"/>
        <v>1000000</v>
      </c>
      <c r="AB236" s="20"/>
      <c r="AC236" s="25">
        <f t="shared" si="4"/>
        <v>0</v>
      </c>
      <c r="AD236" s="20" t="s">
        <v>72</v>
      </c>
      <c r="AE236" s="20"/>
      <c r="AF236" s="20"/>
      <c r="AG236" s="20"/>
      <c r="AH236" s="20"/>
      <c r="AI236" s="20"/>
      <c r="AJ236" s="20"/>
      <c r="AK236" s="20"/>
      <c r="AL236" s="20"/>
      <c r="AM236" s="20"/>
      <c r="AN236" s="20"/>
      <c r="AO236" s="20"/>
      <c r="AP236" s="20"/>
      <c r="AQ236" s="20"/>
      <c r="AR236" s="20"/>
      <c r="AS236" s="20"/>
      <c r="AT236" s="20"/>
    </row>
    <row r="237">
      <c r="A237" s="20">
        <v>235.0</v>
      </c>
      <c r="B237" s="29" t="s">
        <v>318</v>
      </c>
      <c r="C237" s="30"/>
      <c r="D237" s="20"/>
      <c r="E237" s="20"/>
      <c r="F237" s="20"/>
      <c r="G237" s="20"/>
      <c r="H237" s="33" t="s">
        <v>77</v>
      </c>
      <c r="I237" s="33" t="s">
        <v>66</v>
      </c>
      <c r="J237" s="21"/>
      <c r="K237" s="20" t="str">
        <f t="shared" si="1"/>
        <v>EDUCATION,INFORMATION AND ICT</v>
      </c>
      <c r="L237" s="20" t="s">
        <v>84</v>
      </c>
      <c r="M237" s="20" t="str">
        <f t="shared" si="2"/>
        <v>EDUCATION,INFORMATION AND ICT</v>
      </c>
      <c r="N237" s="22" t="s">
        <v>119</v>
      </c>
      <c r="O237" s="22" t="s">
        <v>120</v>
      </c>
      <c r="P237" s="20" t="s">
        <v>121</v>
      </c>
      <c r="Q237" s="20" t="s">
        <v>121</v>
      </c>
      <c r="R237" s="30">
        <v>1000000.0</v>
      </c>
      <c r="S237" s="30">
        <v>1000000.0</v>
      </c>
      <c r="T237" s="30">
        <v>1000000.0</v>
      </c>
      <c r="U237" s="20" t="s">
        <v>71</v>
      </c>
      <c r="V237" s="20"/>
      <c r="W237" s="30">
        <v>1000000.0</v>
      </c>
      <c r="X237" s="20"/>
      <c r="Y237" s="30">
        <v>1000000.0</v>
      </c>
      <c r="Z237" s="24">
        <f t="shared" si="3"/>
        <v>1</v>
      </c>
      <c r="AA237" s="23">
        <f t="shared" si="5"/>
        <v>1000000</v>
      </c>
      <c r="AB237" s="20"/>
      <c r="AC237" s="25">
        <f t="shared" si="4"/>
        <v>0</v>
      </c>
      <c r="AD237" s="20" t="s">
        <v>72</v>
      </c>
      <c r="AE237" s="20"/>
      <c r="AF237" s="20"/>
      <c r="AG237" s="20"/>
      <c r="AH237" s="20"/>
      <c r="AI237" s="20"/>
      <c r="AJ237" s="20"/>
      <c r="AK237" s="20"/>
      <c r="AL237" s="20"/>
      <c r="AM237" s="20"/>
      <c r="AN237" s="20"/>
      <c r="AO237" s="20"/>
      <c r="AP237" s="20"/>
      <c r="AQ237" s="20"/>
      <c r="AR237" s="20"/>
      <c r="AS237" s="20"/>
      <c r="AT237" s="20"/>
    </row>
    <row r="238">
      <c r="A238" s="20">
        <v>236.0</v>
      </c>
      <c r="B238" s="29" t="s">
        <v>319</v>
      </c>
      <c r="C238" s="30"/>
      <c r="D238" s="20"/>
      <c r="E238" s="20"/>
      <c r="F238" s="20"/>
      <c r="G238" s="20"/>
      <c r="H238" s="33" t="s">
        <v>65</v>
      </c>
      <c r="I238" s="33" t="s">
        <v>66</v>
      </c>
      <c r="J238" s="21"/>
      <c r="K238" s="20" t="str">
        <f t="shared" si="1"/>
        <v>ROADS,TRANSPORT AND PUBLIC WORKS</v>
      </c>
      <c r="L238" s="20" t="s">
        <v>107</v>
      </c>
      <c r="M238" s="20" t="str">
        <f t="shared" si="2"/>
        <v>ROADS,TRANSPORT AND PUBLIC WORKS</v>
      </c>
      <c r="N238" s="22" t="s">
        <v>119</v>
      </c>
      <c r="O238" s="22" t="s">
        <v>120</v>
      </c>
      <c r="P238" s="20" t="s">
        <v>121</v>
      </c>
      <c r="Q238" s="20" t="s">
        <v>121</v>
      </c>
      <c r="R238" s="30">
        <v>5000000.0</v>
      </c>
      <c r="S238" s="30">
        <v>5000000.0</v>
      </c>
      <c r="T238" s="30">
        <v>5000000.0</v>
      </c>
      <c r="U238" s="20" t="s">
        <v>71</v>
      </c>
      <c r="V238" s="20"/>
      <c r="W238" s="30">
        <v>5000000.0</v>
      </c>
      <c r="X238" s="20"/>
      <c r="Y238" s="30">
        <v>5000000.0</v>
      </c>
      <c r="Z238" s="24">
        <f t="shared" si="3"/>
        <v>1</v>
      </c>
      <c r="AA238" s="23">
        <f t="shared" si="5"/>
        <v>5000000</v>
      </c>
      <c r="AB238" s="20"/>
      <c r="AC238" s="25">
        <f t="shared" si="4"/>
        <v>0</v>
      </c>
      <c r="AD238" s="20" t="s">
        <v>72</v>
      </c>
      <c r="AE238" s="20"/>
      <c r="AF238" s="20"/>
      <c r="AG238" s="20"/>
      <c r="AH238" s="20"/>
      <c r="AI238" s="20"/>
      <c r="AJ238" s="20"/>
      <c r="AK238" s="20"/>
      <c r="AL238" s="20"/>
      <c r="AM238" s="20"/>
      <c r="AN238" s="20"/>
      <c r="AO238" s="20"/>
      <c r="AP238" s="20"/>
      <c r="AQ238" s="20"/>
      <c r="AR238" s="20"/>
      <c r="AS238" s="20"/>
      <c r="AT238" s="20"/>
    </row>
    <row r="239">
      <c r="A239" s="20">
        <v>237.0</v>
      </c>
      <c r="B239" s="29" t="s">
        <v>297</v>
      </c>
      <c r="C239" s="30"/>
      <c r="D239" s="20"/>
      <c r="E239" s="20"/>
      <c r="F239" s="20"/>
      <c r="G239" s="20"/>
      <c r="H239" s="33" t="s">
        <v>65</v>
      </c>
      <c r="I239" s="33" t="s">
        <v>66</v>
      </c>
      <c r="J239" s="21"/>
      <c r="K239" s="20" t="str">
        <f t="shared" si="1"/>
        <v>ROADS,TRANSPORT AND PUBLIC WORKS</v>
      </c>
      <c r="L239" s="20" t="s">
        <v>107</v>
      </c>
      <c r="M239" s="20" t="str">
        <f t="shared" si="2"/>
        <v>ROADS,TRANSPORT AND PUBLIC WORKS</v>
      </c>
      <c r="N239" s="22" t="s">
        <v>119</v>
      </c>
      <c r="O239" s="22" t="s">
        <v>120</v>
      </c>
      <c r="P239" s="20" t="s">
        <v>121</v>
      </c>
      <c r="Q239" s="20" t="s">
        <v>121</v>
      </c>
      <c r="R239" s="30">
        <v>1.0E7</v>
      </c>
      <c r="S239" s="30">
        <v>1.0E7</v>
      </c>
      <c r="T239" s="30">
        <v>1.0E7</v>
      </c>
      <c r="U239" s="20" t="s">
        <v>71</v>
      </c>
      <c r="V239" s="20"/>
      <c r="W239" s="30">
        <v>1.0E7</v>
      </c>
      <c r="X239" s="20"/>
      <c r="Y239" s="30">
        <v>1.0E7</v>
      </c>
      <c r="Z239" s="24">
        <f t="shared" si="3"/>
        <v>1</v>
      </c>
      <c r="AA239" s="23">
        <f t="shared" si="5"/>
        <v>10000000</v>
      </c>
      <c r="AB239" s="20"/>
      <c r="AC239" s="25">
        <f t="shared" si="4"/>
        <v>0</v>
      </c>
      <c r="AD239" s="20" t="s">
        <v>72</v>
      </c>
      <c r="AE239" s="20"/>
      <c r="AF239" s="20"/>
      <c r="AG239" s="20"/>
      <c r="AH239" s="20"/>
      <c r="AI239" s="20"/>
      <c r="AJ239" s="20"/>
      <c r="AK239" s="20"/>
      <c r="AL239" s="20"/>
      <c r="AM239" s="20"/>
      <c r="AN239" s="20"/>
      <c r="AO239" s="20"/>
      <c r="AP239" s="20"/>
      <c r="AQ239" s="20"/>
      <c r="AR239" s="20"/>
      <c r="AS239" s="20"/>
      <c r="AT239" s="20"/>
    </row>
    <row r="240">
      <c r="A240" s="20">
        <v>238.0</v>
      </c>
      <c r="B240" s="29" t="s">
        <v>320</v>
      </c>
      <c r="C240" s="30"/>
      <c r="D240" s="20"/>
      <c r="E240" s="20"/>
      <c r="F240" s="20"/>
      <c r="G240" s="20"/>
      <c r="H240" s="33" t="s">
        <v>65</v>
      </c>
      <c r="I240" s="33" t="s">
        <v>66</v>
      </c>
      <c r="J240" s="21"/>
      <c r="K240" s="20" t="str">
        <f t="shared" si="1"/>
        <v>WATER,ENVIRONMENT,CLIMATE CHANGE AND NATURAL RESOURCES</v>
      </c>
      <c r="L240" s="20" t="s">
        <v>75</v>
      </c>
      <c r="M240" s="20" t="str">
        <f t="shared" si="2"/>
        <v>WATER,ENVIRONMENT,CLIMATE CHANGE AND NATURAL RESOURCES</v>
      </c>
      <c r="N240" s="22" t="s">
        <v>119</v>
      </c>
      <c r="O240" s="22" t="s">
        <v>120</v>
      </c>
      <c r="P240" s="20" t="s">
        <v>121</v>
      </c>
      <c r="Q240" s="20" t="s">
        <v>121</v>
      </c>
      <c r="R240" s="30">
        <v>3000000.0</v>
      </c>
      <c r="S240" s="30">
        <v>3000000.0</v>
      </c>
      <c r="T240" s="30">
        <v>3000000.0</v>
      </c>
      <c r="U240" s="20" t="s">
        <v>71</v>
      </c>
      <c r="V240" s="20"/>
      <c r="W240" s="30">
        <v>3000000.0</v>
      </c>
      <c r="X240" s="20"/>
      <c r="Y240" s="30">
        <v>3000000.0</v>
      </c>
      <c r="Z240" s="24">
        <f t="shared" si="3"/>
        <v>1</v>
      </c>
      <c r="AA240" s="23">
        <f t="shared" si="5"/>
        <v>3000000</v>
      </c>
      <c r="AB240" s="20"/>
      <c r="AC240" s="25">
        <f t="shared" si="4"/>
        <v>0</v>
      </c>
      <c r="AD240" s="20" t="s">
        <v>72</v>
      </c>
      <c r="AE240" s="20"/>
      <c r="AF240" s="20"/>
      <c r="AG240" s="20"/>
      <c r="AH240" s="20"/>
      <c r="AI240" s="20"/>
      <c r="AJ240" s="20"/>
      <c r="AK240" s="20"/>
      <c r="AL240" s="20"/>
      <c r="AM240" s="20"/>
      <c r="AN240" s="20"/>
      <c r="AO240" s="20"/>
      <c r="AP240" s="20"/>
      <c r="AQ240" s="20"/>
      <c r="AR240" s="20"/>
      <c r="AS240" s="20"/>
      <c r="AT240" s="20"/>
    </row>
    <row r="241">
      <c r="A241" s="20">
        <v>239.0</v>
      </c>
      <c r="B241" s="29" t="s">
        <v>321</v>
      </c>
      <c r="C241" s="30"/>
      <c r="D241" s="20"/>
      <c r="E241" s="20"/>
      <c r="F241" s="20"/>
      <c r="G241" s="20"/>
      <c r="H241" s="33" t="s">
        <v>65</v>
      </c>
      <c r="I241" s="33" t="s">
        <v>66</v>
      </c>
      <c r="J241" s="21"/>
      <c r="K241" s="20" t="str">
        <f t="shared" si="1"/>
        <v>ROADS,TRANSPORT AND PUBLIC WORKS</v>
      </c>
      <c r="L241" s="20" t="s">
        <v>107</v>
      </c>
      <c r="M241" s="20" t="str">
        <f t="shared" si="2"/>
        <v>ROADS,TRANSPORT AND PUBLIC WORKS</v>
      </c>
      <c r="N241" s="22" t="s">
        <v>119</v>
      </c>
      <c r="O241" s="22" t="s">
        <v>120</v>
      </c>
      <c r="P241" s="20" t="s">
        <v>121</v>
      </c>
      <c r="Q241" s="20" t="s">
        <v>121</v>
      </c>
      <c r="R241" s="30">
        <v>4735636.0</v>
      </c>
      <c r="S241" s="30">
        <v>4735636.0</v>
      </c>
      <c r="T241" s="30">
        <v>4735636.0</v>
      </c>
      <c r="U241" s="20" t="s">
        <v>71</v>
      </c>
      <c r="V241" s="20"/>
      <c r="W241" s="30">
        <v>4735636.0</v>
      </c>
      <c r="X241" s="20"/>
      <c r="Y241" s="30">
        <v>4735636.0</v>
      </c>
      <c r="Z241" s="24">
        <f t="shared" si="3"/>
        <v>1</v>
      </c>
      <c r="AA241" s="23">
        <f t="shared" si="5"/>
        <v>4735636</v>
      </c>
      <c r="AB241" s="20"/>
      <c r="AC241" s="25">
        <f t="shared" si="4"/>
        <v>0</v>
      </c>
      <c r="AD241" s="20" t="s">
        <v>72</v>
      </c>
      <c r="AE241" s="20"/>
      <c r="AF241" s="20"/>
      <c r="AG241" s="20"/>
      <c r="AH241" s="20"/>
      <c r="AI241" s="20"/>
      <c r="AJ241" s="20"/>
      <c r="AK241" s="20"/>
      <c r="AL241" s="20"/>
      <c r="AM241" s="20"/>
      <c r="AN241" s="20"/>
      <c r="AO241" s="20"/>
      <c r="AP241" s="20"/>
      <c r="AQ241" s="20"/>
      <c r="AR241" s="20"/>
      <c r="AS241" s="20"/>
      <c r="AT241" s="20"/>
    </row>
    <row r="242">
      <c r="A242" s="20">
        <v>240.0</v>
      </c>
      <c r="B242" s="29" t="s">
        <v>322</v>
      </c>
      <c r="C242" s="30"/>
      <c r="D242" s="20"/>
      <c r="E242" s="20"/>
      <c r="F242" s="20"/>
      <c r="G242" s="20"/>
      <c r="H242" s="33" t="s">
        <v>65</v>
      </c>
      <c r="I242" s="33" t="s">
        <v>66</v>
      </c>
      <c r="J242" s="21"/>
      <c r="K242" s="20" t="str">
        <f t="shared" si="1"/>
        <v>ROADS,TRANSPORT AND PUBLIC WORKS</v>
      </c>
      <c r="L242" s="20" t="s">
        <v>107</v>
      </c>
      <c r="M242" s="20" t="str">
        <f t="shared" si="2"/>
        <v>ROADS,TRANSPORT AND PUBLIC WORKS</v>
      </c>
      <c r="N242" s="22" t="s">
        <v>119</v>
      </c>
      <c r="O242" s="22" t="s">
        <v>120</v>
      </c>
      <c r="P242" s="20" t="s">
        <v>121</v>
      </c>
      <c r="Q242" s="20" t="s">
        <v>121</v>
      </c>
      <c r="R242" s="30">
        <v>7125000.0</v>
      </c>
      <c r="S242" s="30">
        <v>7125000.0</v>
      </c>
      <c r="T242" s="30">
        <v>7125000.0</v>
      </c>
      <c r="U242" s="20" t="s">
        <v>71</v>
      </c>
      <c r="V242" s="20"/>
      <c r="W242" s="30">
        <v>7125000.0</v>
      </c>
      <c r="X242" s="20"/>
      <c r="Y242" s="30">
        <v>7125000.0</v>
      </c>
      <c r="Z242" s="24">
        <f t="shared" si="3"/>
        <v>1</v>
      </c>
      <c r="AA242" s="23">
        <f t="shared" si="5"/>
        <v>7125000</v>
      </c>
      <c r="AB242" s="20"/>
      <c r="AC242" s="25">
        <f t="shared" si="4"/>
        <v>0</v>
      </c>
      <c r="AD242" s="20" t="s">
        <v>72</v>
      </c>
      <c r="AE242" s="20"/>
      <c r="AF242" s="20"/>
      <c r="AG242" s="20"/>
      <c r="AH242" s="20"/>
      <c r="AI242" s="20"/>
      <c r="AJ242" s="20"/>
      <c r="AK242" s="20"/>
      <c r="AL242" s="20"/>
      <c r="AM242" s="20"/>
      <c r="AN242" s="20"/>
      <c r="AO242" s="20"/>
      <c r="AP242" s="20"/>
      <c r="AQ242" s="20"/>
      <c r="AR242" s="20"/>
      <c r="AS242" s="20"/>
      <c r="AT242" s="20"/>
    </row>
    <row r="243">
      <c r="A243" s="20">
        <v>241.0</v>
      </c>
      <c r="B243" s="29" t="s">
        <v>118</v>
      </c>
      <c r="C243" s="30"/>
      <c r="D243" s="20"/>
      <c r="E243" s="20"/>
      <c r="F243" s="20"/>
      <c r="G243" s="20"/>
      <c r="H243" s="33" t="s">
        <v>65</v>
      </c>
      <c r="I243" s="33" t="s">
        <v>74</v>
      </c>
      <c r="J243" s="21"/>
      <c r="K243" s="20" t="str">
        <f t="shared" si="1"/>
        <v>WATER,ENVIRONMENT,CLIMATE CHANGE AND NATURAL RESOURCES</v>
      </c>
      <c r="L243" s="20" t="s">
        <v>75</v>
      </c>
      <c r="M243" s="20" t="str">
        <f t="shared" si="2"/>
        <v>WATER,ENVIRONMENT,CLIMATE CHANGE AND NATURAL RESOURCES</v>
      </c>
      <c r="N243" s="22" t="s">
        <v>119</v>
      </c>
      <c r="O243" s="22" t="s">
        <v>120</v>
      </c>
      <c r="P243" s="20" t="s">
        <v>121</v>
      </c>
      <c r="Q243" s="20" t="s">
        <v>121</v>
      </c>
      <c r="R243" s="30">
        <v>7600000.0</v>
      </c>
      <c r="S243" s="30">
        <v>7600000.0</v>
      </c>
      <c r="T243" s="30">
        <v>7600000.0</v>
      </c>
      <c r="U243" s="20" t="s">
        <v>71</v>
      </c>
      <c r="V243" s="20"/>
      <c r="W243" s="30">
        <v>7600000.0</v>
      </c>
      <c r="X243" s="20"/>
      <c r="Y243" s="30">
        <v>7600000.0</v>
      </c>
      <c r="Z243" s="24">
        <f t="shared" si="3"/>
        <v>1</v>
      </c>
      <c r="AA243" s="23">
        <f t="shared" si="5"/>
        <v>7600000</v>
      </c>
      <c r="AB243" s="20"/>
      <c r="AC243" s="25">
        <f t="shared" si="4"/>
        <v>0</v>
      </c>
      <c r="AD243" s="20" t="s">
        <v>72</v>
      </c>
      <c r="AE243" s="20"/>
      <c r="AF243" s="20"/>
      <c r="AG243" s="20"/>
      <c r="AH243" s="20"/>
      <c r="AI243" s="20"/>
      <c r="AJ243" s="20"/>
      <c r="AK243" s="20"/>
      <c r="AL243" s="20"/>
      <c r="AM243" s="20"/>
      <c r="AN243" s="20"/>
      <c r="AO243" s="20"/>
      <c r="AP243" s="20"/>
      <c r="AQ243" s="20"/>
      <c r="AR243" s="20"/>
      <c r="AS243" s="20"/>
      <c r="AT243" s="20"/>
    </row>
    <row r="244">
      <c r="A244" s="20">
        <v>242.0</v>
      </c>
      <c r="B244" s="29" t="s">
        <v>323</v>
      </c>
      <c r="C244" s="30"/>
      <c r="D244" s="20"/>
      <c r="E244" s="20"/>
      <c r="F244" s="20"/>
      <c r="G244" s="20"/>
      <c r="H244" s="33" t="s">
        <v>65</v>
      </c>
      <c r="I244" s="33" t="s">
        <v>66</v>
      </c>
      <c r="J244" s="21"/>
      <c r="K244" s="20" t="str">
        <f t="shared" si="1"/>
        <v>ROADS,TRANSPORT AND PUBLIC WORKS</v>
      </c>
      <c r="L244" s="20" t="s">
        <v>107</v>
      </c>
      <c r="M244" s="20" t="str">
        <f t="shared" si="2"/>
        <v>ROADS,TRANSPORT AND PUBLIC WORKS</v>
      </c>
      <c r="N244" s="22" t="s">
        <v>119</v>
      </c>
      <c r="O244" s="22" t="s">
        <v>120</v>
      </c>
      <c r="P244" s="20" t="s">
        <v>121</v>
      </c>
      <c r="Q244" s="20" t="s">
        <v>121</v>
      </c>
      <c r="R244" s="30">
        <v>1.1875E7</v>
      </c>
      <c r="S244" s="30">
        <v>1.1875E7</v>
      </c>
      <c r="T244" s="30">
        <v>1.1875E7</v>
      </c>
      <c r="U244" s="20" t="s">
        <v>71</v>
      </c>
      <c r="V244" s="20"/>
      <c r="W244" s="30">
        <v>1.1875E7</v>
      </c>
      <c r="X244" s="20"/>
      <c r="Y244" s="30">
        <v>1.1875E7</v>
      </c>
      <c r="Z244" s="24">
        <f t="shared" si="3"/>
        <v>1</v>
      </c>
      <c r="AA244" s="23">
        <f t="shared" si="5"/>
        <v>11875000</v>
      </c>
      <c r="AB244" s="20"/>
      <c r="AC244" s="25">
        <f t="shared" si="4"/>
        <v>0</v>
      </c>
      <c r="AD244" s="20" t="s">
        <v>72</v>
      </c>
      <c r="AE244" s="20"/>
      <c r="AF244" s="20"/>
      <c r="AG244" s="20"/>
      <c r="AH244" s="20"/>
      <c r="AI244" s="20"/>
      <c r="AJ244" s="20"/>
      <c r="AK244" s="20"/>
      <c r="AL244" s="20"/>
      <c r="AM244" s="20"/>
      <c r="AN244" s="20"/>
      <c r="AO244" s="20"/>
      <c r="AP244" s="20"/>
      <c r="AQ244" s="20"/>
      <c r="AR244" s="20"/>
      <c r="AS244" s="20"/>
      <c r="AT244" s="20"/>
    </row>
    <row r="245">
      <c r="A245" s="20">
        <v>243.0</v>
      </c>
      <c r="B245" s="29" t="s">
        <v>297</v>
      </c>
      <c r="C245" s="30"/>
      <c r="D245" s="20"/>
      <c r="E245" s="20"/>
      <c r="F245" s="20"/>
      <c r="G245" s="20"/>
      <c r="H245" s="33" t="s">
        <v>65</v>
      </c>
      <c r="I245" s="33" t="s">
        <v>66</v>
      </c>
      <c r="J245" s="21"/>
      <c r="K245" s="20" t="str">
        <f t="shared" si="1"/>
        <v>ROADS,TRANSPORT AND PUBLIC WORKS</v>
      </c>
      <c r="L245" s="20" t="s">
        <v>107</v>
      </c>
      <c r="M245" s="20" t="str">
        <f t="shared" si="2"/>
        <v>ROADS,TRANSPORT AND PUBLIC WORKS</v>
      </c>
      <c r="N245" s="22" t="s">
        <v>119</v>
      </c>
      <c r="O245" s="22" t="s">
        <v>120</v>
      </c>
      <c r="P245" s="20" t="s">
        <v>121</v>
      </c>
      <c r="Q245" s="20" t="s">
        <v>121</v>
      </c>
      <c r="R245" s="30">
        <v>1.995E7</v>
      </c>
      <c r="S245" s="30">
        <v>1.995E7</v>
      </c>
      <c r="T245" s="30">
        <v>1.995E7</v>
      </c>
      <c r="U245" s="20" t="s">
        <v>71</v>
      </c>
      <c r="V245" s="20"/>
      <c r="W245" s="30">
        <v>1.995E7</v>
      </c>
      <c r="X245" s="20"/>
      <c r="Y245" s="30">
        <v>1.995E7</v>
      </c>
      <c r="Z245" s="24">
        <f t="shared" si="3"/>
        <v>1</v>
      </c>
      <c r="AA245" s="23">
        <f t="shared" si="5"/>
        <v>19950000</v>
      </c>
      <c r="AB245" s="20"/>
      <c r="AC245" s="25">
        <f t="shared" si="4"/>
        <v>0</v>
      </c>
      <c r="AD245" s="20" t="s">
        <v>72</v>
      </c>
      <c r="AE245" s="20"/>
      <c r="AF245" s="20"/>
      <c r="AG245" s="20"/>
      <c r="AH245" s="20"/>
      <c r="AI245" s="20"/>
      <c r="AJ245" s="20"/>
      <c r="AK245" s="20"/>
      <c r="AL245" s="20"/>
      <c r="AM245" s="20"/>
      <c r="AN245" s="20"/>
      <c r="AO245" s="20"/>
      <c r="AP245" s="20"/>
      <c r="AQ245" s="20"/>
      <c r="AR245" s="20"/>
      <c r="AS245" s="20"/>
      <c r="AT245" s="20"/>
    </row>
    <row r="246">
      <c r="A246" s="20">
        <v>244.0</v>
      </c>
      <c r="B246" s="29" t="s">
        <v>324</v>
      </c>
      <c r="C246" s="30"/>
      <c r="D246" s="20"/>
      <c r="E246" s="20"/>
      <c r="F246" s="20"/>
      <c r="G246" s="20"/>
      <c r="H246" s="33" t="s">
        <v>65</v>
      </c>
      <c r="I246" s="33" t="s">
        <v>66</v>
      </c>
      <c r="J246" s="21"/>
      <c r="K246" s="20" t="str">
        <f t="shared" si="1"/>
        <v>ROADS,TRANSPORT AND PUBLIC WORKS</v>
      </c>
      <c r="L246" s="20" t="s">
        <v>107</v>
      </c>
      <c r="M246" s="20" t="str">
        <f t="shared" si="2"/>
        <v>ROADS,TRANSPORT AND PUBLIC WORKS</v>
      </c>
      <c r="N246" s="22" t="s">
        <v>119</v>
      </c>
      <c r="O246" s="22" t="s">
        <v>120</v>
      </c>
      <c r="P246" s="20" t="s">
        <v>121</v>
      </c>
      <c r="Q246" s="20" t="s">
        <v>121</v>
      </c>
      <c r="R246" s="30">
        <v>400000.0</v>
      </c>
      <c r="S246" s="30">
        <v>400000.0</v>
      </c>
      <c r="T246" s="30">
        <v>400000.0</v>
      </c>
      <c r="U246" s="20" t="s">
        <v>71</v>
      </c>
      <c r="V246" s="20"/>
      <c r="W246" s="30">
        <v>400000.0</v>
      </c>
      <c r="X246" s="20"/>
      <c r="Y246" s="30">
        <v>400000.0</v>
      </c>
      <c r="Z246" s="24">
        <f t="shared" si="3"/>
        <v>1</v>
      </c>
      <c r="AA246" s="23">
        <f t="shared" si="5"/>
        <v>400000</v>
      </c>
      <c r="AB246" s="20"/>
      <c r="AC246" s="25">
        <f t="shared" si="4"/>
        <v>0</v>
      </c>
      <c r="AD246" s="20" t="s">
        <v>72</v>
      </c>
      <c r="AE246" s="20"/>
      <c r="AF246" s="20"/>
      <c r="AG246" s="20"/>
      <c r="AH246" s="20"/>
      <c r="AI246" s="20"/>
      <c r="AJ246" s="20"/>
      <c r="AK246" s="20"/>
      <c r="AL246" s="20"/>
      <c r="AM246" s="20"/>
      <c r="AN246" s="20"/>
      <c r="AO246" s="20"/>
      <c r="AP246" s="20"/>
      <c r="AQ246" s="20"/>
      <c r="AR246" s="20"/>
      <c r="AS246" s="20"/>
      <c r="AT246" s="20"/>
    </row>
    <row r="247">
      <c r="A247" s="20">
        <v>245.0</v>
      </c>
      <c r="B247" s="29" t="s">
        <v>325</v>
      </c>
      <c r="C247" s="30"/>
      <c r="D247" s="20"/>
      <c r="E247" s="20"/>
      <c r="F247" s="20"/>
      <c r="G247" s="20"/>
      <c r="H247" s="33" t="s">
        <v>65</v>
      </c>
      <c r="I247" s="33" t="s">
        <v>66</v>
      </c>
      <c r="J247" s="21"/>
      <c r="K247" s="20" t="str">
        <f t="shared" si="1"/>
        <v>ROADS,TRANSPORT AND PUBLIC WORKS</v>
      </c>
      <c r="L247" s="20" t="s">
        <v>107</v>
      </c>
      <c r="M247" s="20" t="str">
        <f t="shared" si="2"/>
        <v>ROADS,TRANSPORT AND PUBLIC WORKS</v>
      </c>
      <c r="N247" s="22" t="s">
        <v>119</v>
      </c>
      <c r="O247" s="22" t="s">
        <v>120</v>
      </c>
      <c r="P247" s="20" t="s">
        <v>121</v>
      </c>
      <c r="Q247" s="20" t="s">
        <v>121</v>
      </c>
      <c r="R247" s="30">
        <v>1015075.0</v>
      </c>
      <c r="S247" s="30">
        <v>1015075.0</v>
      </c>
      <c r="T247" s="30">
        <v>1015075.0</v>
      </c>
      <c r="U247" s="20" t="s">
        <v>71</v>
      </c>
      <c r="V247" s="20"/>
      <c r="W247" s="30">
        <v>1015075.0</v>
      </c>
      <c r="X247" s="20"/>
      <c r="Y247" s="30">
        <v>1015075.0</v>
      </c>
      <c r="Z247" s="24">
        <f t="shared" si="3"/>
        <v>1</v>
      </c>
      <c r="AA247" s="23">
        <f t="shared" si="5"/>
        <v>1015075</v>
      </c>
      <c r="AB247" s="20"/>
      <c r="AC247" s="25">
        <f t="shared" si="4"/>
        <v>0</v>
      </c>
      <c r="AD247" s="20" t="s">
        <v>72</v>
      </c>
      <c r="AE247" s="20"/>
      <c r="AF247" s="20"/>
      <c r="AG247" s="20"/>
      <c r="AH247" s="20"/>
      <c r="AI247" s="20"/>
      <c r="AJ247" s="20"/>
      <c r="AK247" s="20"/>
      <c r="AL247" s="20"/>
      <c r="AM247" s="20"/>
      <c r="AN247" s="20"/>
      <c r="AO247" s="20"/>
      <c r="AP247" s="20"/>
      <c r="AQ247" s="20"/>
      <c r="AR247" s="20"/>
      <c r="AS247" s="20"/>
      <c r="AT247" s="20"/>
    </row>
    <row r="248">
      <c r="A248" s="20">
        <v>246.0</v>
      </c>
      <c r="B248" s="29" t="s">
        <v>326</v>
      </c>
      <c r="C248" s="30"/>
      <c r="D248" s="20"/>
      <c r="E248" s="20"/>
      <c r="F248" s="20"/>
      <c r="G248" s="20"/>
      <c r="H248" s="33" t="s">
        <v>65</v>
      </c>
      <c r="I248" s="33" t="s">
        <v>74</v>
      </c>
      <c r="J248" s="21"/>
      <c r="K248" s="20" t="str">
        <f t="shared" si="1"/>
        <v>ROADS,TRANSPORT AND PUBLIC WORKS</v>
      </c>
      <c r="L248" s="20" t="s">
        <v>107</v>
      </c>
      <c r="M248" s="20" t="str">
        <f t="shared" si="2"/>
        <v>ROADS,TRANSPORT AND PUBLIC WORKS</v>
      </c>
      <c r="N248" s="22" t="s">
        <v>119</v>
      </c>
      <c r="O248" s="22" t="s">
        <v>120</v>
      </c>
      <c r="P248" s="20" t="s">
        <v>121</v>
      </c>
      <c r="Q248" s="20" t="s">
        <v>121</v>
      </c>
      <c r="R248" s="30">
        <v>1193741.5</v>
      </c>
      <c r="S248" s="30">
        <v>1193741.5</v>
      </c>
      <c r="T248" s="30">
        <v>1193741.5</v>
      </c>
      <c r="U248" s="20" t="s">
        <v>71</v>
      </c>
      <c r="V248" s="20"/>
      <c r="W248" s="30">
        <v>1193741.5</v>
      </c>
      <c r="X248" s="20"/>
      <c r="Y248" s="30">
        <v>1193741.5</v>
      </c>
      <c r="Z248" s="24">
        <f t="shared" si="3"/>
        <v>1</v>
      </c>
      <c r="AA248" s="23">
        <f t="shared" si="5"/>
        <v>1193741.5</v>
      </c>
      <c r="AB248" s="20"/>
      <c r="AC248" s="25">
        <f t="shared" si="4"/>
        <v>0</v>
      </c>
      <c r="AD248" s="20" t="s">
        <v>72</v>
      </c>
      <c r="AE248" s="20"/>
      <c r="AF248" s="20"/>
      <c r="AG248" s="20"/>
      <c r="AH248" s="20"/>
      <c r="AI248" s="20"/>
      <c r="AJ248" s="20"/>
      <c r="AK248" s="20"/>
      <c r="AL248" s="20"/>
      <c r="AM248" s="20"/>
      <c r="AN248" s="20"/>
      <c r="AO248" s="20"/>
      <c r="AP248" s="20"/>
      <c r="AQ248" s="20"/>
      <c r="AR248" s="20"/>
      <c r="AS248" s="20"/>
      <c r="AT248" s="20"/>
    </row>
    <row r="249">
      <c r="A249" s="20">
        <v>247.0</v>
      </c>
      <c r="B249" s="29" t="s">
        <v>327</v>
      </c>
      <c r="C249" s="30"/>
      <c r="D249" s="20"/>
      <c r="E249" s="20"/>
      <c r="F249" s="20"/>
      <c r="G249" s="20"/>
      <c r="H249" s="33" t="s">
        <v>65</v>
      </c>
      <c r="I249" s="33" t="s">
        <v>66</v>
      </c>
      <c r="J249" s="21"/>
      <c r="K249" s="20" t="str">
        <f t="shared" si="1"/>
        <v>ROADS,TRANSPORT AND PUBLIC WORKS</v>
      </c>
      <c r="L249" s="20" t="s">
        <v>107</v>
      </c>
      <c r="M249" s="20" t="str">
        <f t="shared" si="2"/>
        <v>ROADS,TRANSPORT AND PUBLIC WORKS</v>
      </c>
      <c r="N249" s="22" t="s">
        <v>119</v>
      </c>
      <c r="O249" s="22" t="s">
        <v>120</v>
      </c>
      <c r="P249" s="20" t="s">
        <v>121</v>
      </c>
      <c r="Q249" s="20" t="s">
        <v>121</v>
      </c>
      <c r="R249" s="30">
        <v>1200000.0</v>
      </c>
      <c r="S249" s="30">
        <v>1200000.0</v>
      </c>
      <c r="T249" s="30">
        <v>1200000.0</v>
      </c>
      <c r="U249" s="20" t="s">
        <v>71</v>
      </c>
      <c r="V249" s="20"/>
      <c r="W249" s="30">
        <v>1200000.0</v>
      </c>
      <c r="X249" s="20"/>
      <c r="Y249" s="30">
        <v>1200000.0</v>
      </c>
      <c r="Z249" s="24">
        <f t="shared" si="3"/>
        <v>1</v>
      </c>
      <c r="AA249" s="23">
        <f t="shared" si="5"/>
        <v>1200000</v>
      </c>
      <c r="AB249" s="20"/>
      <c r="AC249" s="25">
        <f t="shared" si="4"/>
        <v>0</v>
      </c>
      <c r="AD249" s="20" t="s">
        <v>72</v>
      </c>
      <c r="AE249" s="20"/>
      <c r="AF249" s="20"/>
      <c r="AG249" s="20"/>
      <c r="AH249" s="20"/>
      <c r="AI249" s="20"/>
      <c r="AJ249" s="20"/>
      <c r="AK249" s="20"/>
      <c r="AL249" s="20"/>
      <c r="AM249" s="20"/>
      <c r="AN249" s="20"/>
      <c r="AO249" s="20"/>
      <c r="AP249" s="20"/>
      <c r="AQ249" s="20"/>
      <c r="AR249" s="20"/>
      <c r="AS249" s="20"/>
      <c r="AT249" s="20"/>
    </row>
    <row r="250">
      <c r="A250" s="20">
        <v>248.0</v>
      </c>
      <c r="B250" s="29" t="s">
        <v>328</v>
      </c>
      <c r="C250" s="30"/>
      <c r="D250" s="20"/>
      <c r="E250" s="20"/>
      <c r="F250" s="20"/>
      <c r="G250" s="20"/>
      <c r="H250" s="33" t="s">
        <v>65</v>
      </c>
      <c r="I250" s="33" t="s">
        <v>74</v>
      </c>
      <c r="J250" s="21"/>
      <c r="K250" s="20" t="str">
        <f t="shared" si="1"/>
        <v>ROADS,TRANSPORT AND PUBLIC WORKS</v>
      </c>
      <c r="L250" s="20" t="s">
        <v>107</v>
      </c>
      <c r="M250" s="20" t="str">
        <f t="shared" si="2"/>
        <v>ROADS,TRANSPORT AND PUBLIC WORKS</v>
      </c>
      <c r="N250" s="22" t="s">
        <v>119</v>
      </c>
      <c r="O250" s="22" t="s">
        <v>120</v>
      </c>
      <c r="P250" s="20" t="s">
        <v>121</v>
      </c>
      <c r="Q250" s="20" t="s">
        <v>121</v>
      </c>
      <c r="R250" s="30">
        <v>1320484.0</v>
      </c>
      <c r="S250" s="30">
        <v>1320484.0</v>
      </c>
      <c r="T250" s="30">
        <v>1320484.0</v>
      </c>
      <c r="U250" s="20" t="s">
        <v>71</v>
      </c>
      <c r="V250" s="20"/>
      <c r="W250" s="30">
        <v>1320484.0</v>
      </c>
      <c r="X250" s="20"/>
      <c r="Y250" s="30">
        <v>1320484.0</v>
      </c>
      <c r="Z250" s="24">
        <f t="shared" si="3"/>
        <v>1</v>
      </c>
      <c r="AA250" s="23">
        <f t="shared" si="5"/>
        <v>1320484</v>
      </c>
      <c r="AB250" s="20"/>
      <c r="AC250" s="25">
        <f t="shared" si="4"/>
        <v>0</v>
      </c>
      <c r="AD250" s="20" t="s">
        <v>72</v>
      </c>
      <c r="AE250" s="20"/>
      <c r="AF250" s="20"/>
      <c r="AG250" s="20"/>
      <c r="AH250" s="20"/>
      <c r="AI250" s="20"/>
      <c r="AJ250" s="20"/>
      <c r="AK250" s="20"/>
      <c r="AL250" s="20"/>
      <c r="AM250" s="20"/>
      <c r="AN250" s="20"/>
      <c r="AO250" s="20"/>
      <c r="AP250" s="20"/>
      <c r="AQ250" s="20"/>
      <c r="AR250" s="20"/>
      <c r="AS250" s="20"/>
      <c r="AT250" s="20"/>
    </row>
    <row r="251">
      <c r="A251" s="20">
        <v>249.0</v>
      </c>
      <c r="B251" s="29" t="s">
        <v>310</v>
      </c>
      <c r="C251" s="30"/>
      <c r="D251" s="20"/>
      <c r="E251" s="20"/>
      <c r="F251" s="20"/>
      <c r="G251" s="20"/>
      <c r="H251" s="33" t="s">
        <v>65</v>
      </c>
      <c r="I251" s="33" t="s">
        <v>66</v>
      </c>
      <c r="J251" s="21"/>
      <c r="K251" s="20" t="str">
        <f t="shared" si="1"/>
        <v>ROADS,TRANSPORT AND PUBLIC WORKS</v>
      </c>
      <c r="L251" s="20" t="s">
        <v>107</v>
      </c>
      <c r="M251" s="20" t="str">
        <f t="shared" si="2"/>
        <v>ROADS,TRANSPORT AND PUBLIC WORKS</v>
      </c>
      <c r="N251" s="22" t="s">
        <v>119</v>
      </c>
      <c r="O251" s="22" t="s">
        <v>120</v>
      </c>
      <c r="P251" s="20" t="s">
        <v>121</v>
      </c>
      <c r="Q251" s="20" t="s">
        <v>121</v>
      </c>
      <c r="R251" s="30">
        <v>1401400.0</v>
      </c>
      <c r="S251" s="30">
        <v>1401400.0</v>
      </c>
      <c r="T251" s="30">
        <v>1401400.0</v>
      </c>
      <c r="U251" s="20" t="s">
        <v>71</v>
      </c>
      <c r="V251" s="20"/>
      <c r="W251" s="30">
        <v>1401400.0</v>
      </c>
      <c r="X251" s="20"/>
      <c r="Y251" s="30">
        <v>1401400.0</v>
      </c>
      <c r="Z251" s="24">
        <f t="shared" si="3"/>
        <v>1</v>
      </c>
      <c r="AA251" s="23">
        <f t="shared" si="5"/>
        <v>1401400</v>
      </c>
      <c r="AB251" s="20"/>
      <c r="AC251" s="25">
        <f t="shared" si="4"/>
        <v>0</v>
      </c>
      <c r="AD251" s="20" t="s">
        <v>72</v>
      </c>
      <c r="AE251" s="20"/>
      <c r="AF251" s="20"/>
      <c r="AG251" s="20"/>
      <c r="AH251" s="20"/>
      <c r="AI251" s="20"/>
      <c r="AJ251" s="20"/>
      <c r="AK251" s="20"/>
      <c r="AL251" s="20"/>
      <c r="AM251" s="20"/>
      <c r="AN251" s="20"/>
      <c r="AO251" s="20"/>
      <c r="AP251" s="20"/>
      <c r="AQ251" s="20"/>
      <c r="AR251" s="20"/>
      <c r="AS251" s="20"/>
      <c r="AT251" s="20"/>
    </row>
    <row r="252">
      <c r="A252" s="20">
        <v>250.0</v>
      </c>
      <c r="B252" s="29" t="s">
        <v>329</v>
      </c>
      <c r="C252" s="30"/>
      <c r="D252" s="20"/>
      <c r="E252" s="20"/>
      <c r="F252" s="20"/>
      <c r="G252" s="20"/>
      <c r="H252" s="33" t="s">
        <v>81</v>
      </c>
      <c r="I252" s="33" t="s">
        <v>83</v>
      </c>
      <c r="J252" s="21"/>
      <c r="K252" s="20" t="str">
        <f t="shared" si="1"/>
        <v>ROADS,TRANSPORT AND PUBLIC WORKS</v>
      </c>
      <c r="L252" s="20" t="s">
        <v>107</v>
      </c>
      <c r="M252" s="20" t="str">
        <f t="shared" si="2"/>
        <v>ROADS,TRANSPORT AND PUBLIC WORKS</v>
      </c>
      <c r="N252" s="22" t="s">
        <v>119</v>
      </c>
      <c r="O252" s="22" t="s">
        <v>120</v>
      </c>
      <c r="P252" s="20" t="s">
        <v>121</v>
      </c>
      <c r="Q252" s="20" t="s">
        <v>121</v>
      </c>
      <c r="R252" s="30">
        <v>1848328.0</v>
      </c>
      <c r="S252" s="30">
        <v>1848328.0</v>
      </c>
      <c r="T252" s="30">
        <v>1848328.0</v>
      </c>
      <c r="U252" s="20" t="s">
        <v>71</v>
      </c>
      <c r="V252" s="20"/>
      <c r="W252" s="30">
        <v>1848328.0</v>
      </c>
      <c r="X252" s="20"/>
      <c r="Y252" s="30">
        <v>1848328.0</v>
      </c>
      <c r="Z252" s="24">
        <f t="shared" si="3"/>
        <v>1</v>
      </c>
      <c r="AA252" s="23">
        <f t="shared" si="5"/>
        <v>1848328</v>
      </c>
      <c r="AB252" s="20"/>
      <c r="AC252" s="25">
        <f t="shared" si="4"/>
        <v>0</v>
      </c>
      <c r="AD252" s="20" t="s">
        <v>72</v>
      </c>
      <c r="AE252" s="20"/>
      <c r="AF252" s="20"/>
      <c r="AG252" s="20"/>
      <c r="AH252" s="20"/>
      <c r="AI252" s="20"/>
      <c r="AJ252" s="20"/>
      <c r="AK252" s="20"/>
      <c r="AL252" s="20"/>
      <c r="AM252" s="20"/>
      <c r="AN252" s="20"/>
      <c r="AO252" s="20"/>
      <c r="AP252" s="20"/>
      <c r="AQ252" s="20"/>
      <c r="AR252" s="20"/>
      <c r="AS252" s="20"/>
      <c r="AT252" s="20"/>
    </row>
    <row r="253">
      <c r="A253" s="20">
        <v>251.0</v>
      </c>
      <c r="B253" s="29" t="s">
        <v>330</v>
      </c>
      <c r="C253" s="30"/>
      <c r="D253" s="20"/>
      <c r="E253" s="20"/>
      <c r="F253" s="20"/>
      <c r="G253" s="20"/>
      <c r="H253" s="33" t="s">
        <v>81</v>
      </c>
      <c r="I253" s="33" t="s">
        <v>83</v>
      </c>
      <c r="J253" s="21"/>
      <c r="K253" s="20" t="str">
        <f t="shared" si="1"/>
        <v>ROADS,TRANSPORT AND PUBLIC WORKS</v>
      </c>
      <c r="L253" s="20" t="s">
        <v>107</v>
      </c>
      <c r="M253" s="20" t="str">
        <f t="shared" si="2"/>
        <v>ROADS,TRANSPORT AND PUBLIC WORKS</v>
      </c>
      <c r="N253" s="22" t="s">
        <v>119</v>
      </c>
      <c r="O253" s="22" t="s">
        <v>120</v>
      </c>
      <c r="P253" s="20" t="s">
        <v>121</v>
      </c>
      <c r="Q253" s="20" t="s">
        <v>121</v>
      </c>
      <c r="R253" s="30">
        <v>2164183.0</v>
      </c>
      <c r="S253" s="30">
        <v>2164183.0</v>
      </c>
      <c r="T253" s="30">
        <v>2164183.0</v>
      </c>
      <c r="U253" s="20" t="s">
        <v>71</v>
      </c>
      <c r="V253" s="20"/>
      <c r="W253" s="30">
        <v>2164183.0</v>
      </c>
      <c r="X253" s="20"/>
      <c r="Y253" s="30">
        <v>2164183.0</v>
      </c>
      <c r="Z253" s="24">
        <f t="shared" si="3"/>
        <v>1</v>
      </c>
      <c r="AA253" s="23">
        <f t="shared" si="5"/>
        <v>2164183</v>
      </c>
      <c r="AB253" s="20"/>
      <c r="AC253" s="25">
        <f t="shared" si="4"/>
        <v>0</v>
      </c>
      <c r="AD253" s="20" t="s">
        <v>72</v>
      </c>
      <c r="AE253" s="20"/>
      <c r="AF253" s="20"/>
      <c r="AG253" s="20"/>
      <c r="AH253" s="20"/>
      <c r="AI253" s="20"/>
      <c r="AJ253" s="20"/>
      <c r="AK253" s="20"/>
      <c r="AL253" s="20"/>
      <c r="AM253" s="20"/>
      <c r="AN253" s="20"/>
      <c r="AO253" s="20"/>
      <c r="AP253" s="20"/>
      <c r="AQ253" s="20"/>
      <c r="AR253" s="20"/>
      <c r="AS253" s="20"/>
      <c r="AT253" s="20"/>
    </row>
    <row r="254">
      <c r="A254" s="20">
        <v>252.0</v>
      </c>
      <c r="B254" s="29" t="s">
        <v>331</v>
      </c>
      <c r="C254" s="30"/>
      <c r="D254" s="20"/>
      <c r="E254" s="20"/>
      <c r="F254" s="20"/>
      <c r="G254" s="20"/>
      <c r="H254" s="33" t="s">
        <v>113</v>
      </c>
      <c r="I254" s="33" t="s">
        <v>74</v>
      </c>
      <c r="J254" s="21"/>
      <c r="K254" s="20" t="str">
        <f t="shared" si="1"/>
        <v>AGRICULTURE,LIVESTOCK AND PASTORAL ECONOMY</v>
      </c>
      <c r="L254" s="20" t="s">
        <v>100</v>
      </c>
      <c r="M254" s="20" t="str">
        <f t="shared" si="2"/>
        <v>AGRICULTURE,LIVESTOCK AND PASTORAL ECONOMY</v>
      </c>
      <c r="N254" s="22" t="s">
        <v>119</v>
      </c>
      <c r="O254" s="22" t="s">
        <v>120</v>
      </c>
      <c r="P254" s="20" t="s">
        <v>121</v>
      </c>
      <c r="Q254" s="20" t="s">
        <v>121</v>
      </c>
      <c r="R254" s="30">
        <v>2200000.0</v>
      </c>
      <c r="S254" s="30">
        <v>2200000.0</v>
      </c>
      <c r="T254" s="30">
        <v>2200000.0</v>
      </c>
      <c r="U254" s="20" t="s">
        <v>71</v>
      </c>
      <c r="V254" s="20"/>
      <c r="W254" s="30">
        <v>2200000.0</v>
      </c>
      <c r="X254" s="20"/>
      <c r="Y254" s="30">
        <v>2200000.0</v>
      </c>
      <c r="Z254" s="24">
        <f t="shared" si="3"/>
        <v>1</v>
      </c>
      <c r="AA254" s="23">
        <f t="shared" si="5"/>
        <v>2200000</v>
      </c>
      <c r="AB254" s="20"/>
      <c r="AC254" s="25">
        <f t="shared" si="4"/>
        <v>0</v>
      </c>
      <c r="AD254" s="20" t="s">
        <v>72</v>
      </c>
      <c r="AE254" s="20"/>
      <c r="AF254" s="20"/>
      <c r="AG254" s="20"/>
      <c r="AH254" s="20"/>
      <c r="AI254" s="20"/>
      <c r="AJ254" s="20"/>
      <c r="AK254" s="20"/>
      <c r="AL254" s="20"/>
      <c r="AM254" s="20"/>
      <c r="AN254" s="20"/>
      <c r="AO254" s="20"/>
      <c r="AP254" s="20"/>
      <c r="AQ254" s="20"/>
      <c r="AR254" s="20"/>
      <c r="AS254" s="20"/>
      <c r="AT254" s="20"/>
    </row>
    <row r="255">
      <c r="A255" s="20">
        <v>253.0</v>
      </c>
      <c r="B255" s="29" t="s">
        <v>332</v>
      </c>
      <c r="C255" s="30"/>
      <c r="D255" s="20"/>
      <c r="E255" s="20"/>
      <c r="F255" s="20"/>
      <c r="G255" s="20"/>
      <c r="H255" s="33" t="s">
        <v>65</v>
      </c>
      <c r="I255" s="33" t="s">
        <v>66</v>
      </c>
      <c r="J255" s="21"/>
      <c r="K255" s="20" t="str">
        <f t="shared" si="1"/>
        <v>WATER,ENVIRONMENT,CLIMATE CHANGE AND NATURAL RESOURCES</v>
      </c>
      <c r="L255" s="20" t="s">
        <v>75</v>
      </c>
      <c r="M255" s="20" t="str">
        <f t="shared" si="2"/>
        <v>WATER,ENVIRONMENT,CLIMATE CHANGE AND NATURAL RESOURCES</v>
      </c>
      <c r="N255" s="22" t="s">
        <v>119</v>
      </c>
      <c r="O255" s="22" t="s">
        <v>120</v>
      </c>
      <c r="P255" s="20" t="s">
        <v>121</v>
      </c>
      <c r="Q255" s="20" t="s">
        <v>121</v>
      </c>
      <c r="R255" s="30">
        <v>2375000.0</v>
      </c>
      <c r="S255" s="30">
        <v>2375000.0</v>
      </c>
      <c r="T255" s="30">
        <v>2375000.0</v>
      </c>
      <c r="U255" s="20" t="s">
        <v>71</v>
      </c>
      <c r="V255" s="20"/>
      <c r="W255" s="30">
        <v>2375000.0</v>
      </c>
      <c r="X255" s="20"/>
      <c r="Y255" s="30">
        <v>2375000.0</v>
      </c>
      <c r="Z255" s="24">
        <f t="shared" si="3"/>
        <v>1</v>
      </c>
      <c r="AA255" s="23">
        <f t="shared" si="5"/>
        <v>2375000</v>
      </c>
      <c r="AB255" s="20"/>
      <c r="AC255" s="25">
        <f t="shared" si="4"/>
        <v>0</v>
      </c>
      <c r="AD255" s="20" t="s">
        <v>72</v>
      </c>
      <c r="AE255" s="20"/>
      <c r="AF255" s="20"/>
      <c r="AG255" s="20"/>
      <c r="AH255" s="20"/>
      <c r="AI255" s="20"/>
      <c r="AJ255" s="20"/>
      <c r="AK255" s="20"/>
      <c r="AL255" s="20"/>
      <c r="AM255" s="20"/>
      <c r="AN255" s="20"/>
      <c r="AO255" s="20"/>
      <c r="AP255" s="20"/>
      <c r="AQ255" s="20"/>
      <c r="AR255" s="20"/>
      <c r="AS255" s="20"/>
      <c r="AT255" s="20"/>
    </row>
    <row r="256">
      <c r="A256" s="20">
        <v>254.0</v>
      </c>
      <c r="B256" s="29" t="s">
        <v>333</v>
      </c>
      <c r="C256" s="30"/>
      <c r="D256" s="20"/>
      <c r="E256" s="20"/>
      <c r="F256" s="20"/>
      <c r="G256" s="20"/>
      <c r="H256" s="33" t="s">
        <v>113</v>
      </c>
      <c r="I256" s="33" t="s">
        <v>74</v>
      </c>
      <c r="J256" s="21"/>
      <c r="K256" s="20" t="str">
        <f t="shared" si="1"/>
        <v>ROADS,TRANSPORT AND PUBLIC WORKS</v>
      </c>
      <c r="L256" s="20" t="s">
        <v>107</v>
      </c>
      <c r="M256" s="20" t="str">
        <f t="shared" si="2"/>
        <v>ROADS,TRANSPORT AND PUBLIC WORKS</v>
      </c>
      <c r="N256" s="22" t="s">
        <v>119</v>
      </c>
      <c r="O256" s="22" t="s">
        <v>120</v>
      </c>
      <c r="P256" s="20" t="s">
        <v>121</v>
      </c>
      <c r="Q256" s="20" t="s">
        <v>121</v>
      </c>
      <c r="R256" s="30">
        <v>4080000.0</v>
      </c>
      <c r="S256" s="30">
        <v>4080000.0</v>
      </c>
      <c r="T256" s="30">
        <v>4080000.0</v>
      </c>
      <c r="U256" s="20" t="s">
        <v>71</v>
      </c>
      <c r="V256" s="20"/>
      <c r="W256" s="30">
        <v>4080000.0</v>
      </c>
      <c r="X256" s="20"/>
      <c r="Y256" s="30">
        <v>4080000.0</v>
      </c>
      <c r="Z256" s="24">
        <f t="shared" si="3"/>
        <v>1</v>
      </c>
      <c r="AA256" s="23">
        <f t="shared" si="5"/>
        <v>4080000</v>
      </c>
      <c r="AB256" s="20"/>
      <c r="AC256" s="25">
        <f t="shared" si="4"/>
        <v>0</v>
      </c>
      <c r="AD256" s="20" t="s">
        <v>72</v>
      </c>
      <c r="AE256" s="20"/>
      <c r="AF256" s="20"/>
      <c r="AG256" s="20"/>
      <c r="AH256" s="20"/>
      <c r="AI256" s="20"/>
      <c r="AJ256" s="20"/>
      <c r="AK256" s="20"/>
      <c r="AL256" s="20"/>
      <c r="AM256" s="20"/>
      <c r="AN256" s="20"/>
      <c r="AO256" s="20"/>
      <c r="AP256" s="20"/>
      <c r="AQ256" s="20"/>
      <c r="AR256" s="20"/>
      <c r="AS256" s="20"/>
      <c r="AT256" s="20"/>
    </row>
    <row r="257">
      <c r="A257" s="20">
        <v>255.0</v>
      </c>
      <c r="B257" s="29" t="s">
        <v>334</v>
      </c>
      <c r="C257" s="30"/>
      <c r="D257" s="20"/>
      <c r="E257" s="20"/>
      <c r="F257" s="20"/>
      <c r="G257" s="20"/>
      <c r="H257" s="33" t="s">
        <v>65</v>
      </c>
      <c r="I257" s="33" t="s">
        <v>66</v>
      </c>
      <c r="J257" s="21"/>
      <c r="K257" s="20" t="str">
        <f t="shared" si="1"/>
        <v>Health services</v>
      </c>
      <c r="L257" s="20" t="s">
        <v>67</v>
      </c>
      <c r="M257" s="20" t="str">
        <f t="shared" si="2"/>
        <v>Health services</v>
      </c>
      <c r="N257" s="22" t="s">
        <v>119</v>
      </c>
      <c r="O257" s="22" t="s">
        <v>120</v>
      </c>
      <c r="P257" s="20" t="s">
        <v>121</v>
      </c>
      <c r="Q257" s="20" t="s">
        <v>121</v>
      </c>
      <c r="R257" s="30">
        <v>8550000.0</v>
      </c>
      <c r="S257" s="30">
        <v>8550000.0</v>
      </c>
      <c r="T257" s="30">
        <v>8550000.0</v>
      </c>
      <c r="U257" s="20" t="s">
        <v>71</v>
      </c>
      <c r="V257" s="20"/>
      <c r="W257" s="30">
        <v>8550000.0</v>
      </c>
      <c r="X257" s="20"/>
      <c r="Y257" s="30">
        <v>8550000.0</v>
      </c>
      <c r="Z257" s="24">
        <f t="shared" si="3"/>
        <v>1</v>
      </c>
      <c r="AA257" s="23">
        <f t="shared" si="5"/>
        <v>8550000</v>
      </c>
      <c r="AB257" s="20"/>
      <c r="AC257" s="25">
        <f t="shared" si="4"/>
        <v>0</v>
      </c>
      <c r="AD257" s="20" t="s">
        <v>72</v>
      </c>
      <c r="AE257" s="20"/>
      <c r="AF257" s="20"/>
      <c r="AG257" s="20"/>
      <c r="AH257" s="20"/>
      <c r="AI257" s="20"/>
      <c r="AJ257" s="20"/>
      <c r="AK257" s="20"/>
      <c r="AL257" s="20"/>
      <c r="AM257" s="20"/>
      <c r="AN257" s="20"/>
      <c r="AO257" s="20"/>
      <c r="AP257" s="20"/>
      <c r="AQ257" s="20"/>
      <c r="AR257" s="20"/>
      <c r="AS257" s="20"/>
      <c r="AT257" s="20"/>
    </row>
    <row r="258">
      <c r="A258" s="20">
        <v>256.0</v>
      </c>
      <c r="B258" s="29" t="s">
        <v>335</v>
      </c>
      <c r="C258" s="30"/>
      <c r="D258" s="20"/>
      <c r="E258" s="20"/>
      <c r="F258" s="20"/>
      <c r="G258" s="20"/>
      <c r="H258" s="33" t="s">
        <v>65</v>
      </c>
      <c r="I258" s="33" t="s">
        <v>90</v>
      </c>
      <c r="J258" s="21"/>
      <c r="K258" s="20" t="str">
        <f t="shared" si="1"/>
        <v>EDUCATION,INFORMATION AND ICT</v>
      </c>
      <c r="L258" s="20" t="s">
        <v>84</v>
      </c>
      <c r="M258" s="20" t="str">
        <f t="shared" si="2"/>
        <v>EDUCATION,INFORMATION AND ICT</v>
      </c>
      <c r="N258" s="22" t="s">
        <v>119</v>
      </c>
      <c r="O258" s="22" t="s">
        <v>120</v>
      </c>
      <c r="P258" s="20" t="s">
        <v>121</v>
      </c>
      <c r="Q258" s="20" t="s">
        <v>121</v>
      </c>
      <c r="R258" s="30">
        <v>4000000.0</v>
      </c>
      <c r="S258" s="30">
        <v>4000000.0</v>
      </c>
      <c r="T258" s="30">
        <v>4000000.0</v>
      </c>
      <c r="U258" s="20" t="s">
        <v>71</v>
      </c>
      <c r="V258" s="20"/>
      <c r="W258" s="30">
        <v>4000000.0</v>
      </c>
      <c r="X258" s="20"/>
      <c r="Y258" s="30">
        <v>4000000.0</v>
      </c>
      <c r="Z258" s="24">
        <f t="shared" si="3"/>
        <v>1</v>
      </c>
      <c r="AA258" s="23">
        <f t="shared" si="5"/>
        <v>4000000</v>
      </c>
      <c r="AB258" s="20"/>
      <c r="AC258" s="25">
        <f t="shared" si="4"/>
        <v>0</v>
      </c>
      <c r="AD258" s="20" t="s">
        <v>72</v>
      </c>
      <c r="AE258" s="20"/>
      <c r="AF258" s="20"/>
      <c r="AG258" s="20"/>
      <c r="AH258" s="20"/>
      <c r="AI258" s="20"/>
      <c r="AJ258" s="20"/>
      <c r="AK258" s="20"/>
      <c r="AL258" s="20"/>
      <c r="AM258" s="20"/>
      <c r="AN258" s="20"/>
      <c r="AO258" s="20"/>
      <c r="AP258" s="20"/>
      <c r="AQ258" s="20"/>
      <c r="AR258" s="20"/>
      <c r="AS258" s="20"/>
      <c r="AT258" s="20"/>
    </row>
    <row r="259">
      <c r="A259" s="20">
        <v>257.0</v>
      </c>
      <c r="B259" s="29" t="s">
        <v>336</v>
      </c>
      <c r="C259" s="30"/>
      <c r="D259" s="20"/>
      <c r="E259" s="20"/>
      <c r="F259" s="20"/>
      <c r="G259" s="20"/>
      <c r="H259" s="33" t="s">
        <v>77</v>
      </c>
      <c r="I259" s="33" t="s">
        <v>77</v>
      </c>
      <c r="J259" s="21"/>
      <c r="K259" s="20" t="str">
        <f t="shared" si="1"/>
        <v>ROADS,TRANSPORT AND PUBLIC WORKS</v>
      </c>
      <c r="L259" s="20" t="s">
        <v>107</v>
      </c>
      <c r="M259" s="20" t="str">
        <f t="shared" si="2"/>
        <v>ROADS,TRANSPORT AND PUBLIC WORKS</v>
      </c>
      <c r="N259" s="22" t="s">
        <v>119</v>
      </c>
      <c r="O259" s="22" t="s">
        <v>120</v>
      </c>
      <c r="P259" s="20" t="s">
        <v>121</v>
      </c>
      <c r="Q259" s="20" t="s">
        <v>121</v>
      </c>
      <c r="R259" s="30">
        <v>4691214.0</v>
      </c>
      <c r="S259" s="30">
        <v>4691214.0</v>
      </c>
      <c r="T259" s="30">
        <v>4691214.0</v>
      </c>
      <c r="U259" s="20" t="s">
        <v>71</v>
      </c>
      <c r="V259" s="20"/>
      <c r="W259" s="30">
        <v>4691214.0</v>
      </c>
      <c r="X259" s="20"/>
      <c r="Y259" s="30">
        <v>4691214.0</v>
      </c>
      <c r="Z259" s="24">
        <f t="shared" si="3"/>
        <v>1</v>
      </c>
      <c r="AA259" s="23">
        <f t="shared" si="5"/>
        <v>4691214</v>
      </c>
      <c r="AB259" s="20"/>
      <c r="AC259" s="25">
        <f t="shared" si="4"/>
        <v>0</v>
      </c>
      <c r="AD259" s="20" t="s">
        <v>72</v>
      </c>
      <c r="AE259" s="20"/>
      <c r="AF259" s="20"/>
      <c r="AG259" s="20"/>
      <c r="AH259" s="20"/>
      <c r="AI259" s="20"/>
      <c r="AJ259" s="20"/>
      <c r="AK259" s="20"/>
      <c r="AL259" s="20"/>
      <c r="AM259" s="20"/>
      <c r="AN259" s="20"/>
      <c r="AO259" s="20"/>
      <c r="AP259" s="20"/>
      <c r="AQ259" s="20"/>
      <c r="AR259" s="20"/>
      <c r="AS259" s="20"/>
      <c r="AT259" s="20"/>
    </row>
    <row r="260">
      <c r="A260" s="20">
        <v>258.0</v>
      </c>
      <c r="B260" s="29" t="s">
        <v>337</v>
      </c>
      <c r="C260" s="30"/>
      <c r="D260" s="20"/>
      <c r="E260" s="20"/>
      <c r="F260" s="20"/>
      <c r="G260" s="20"/>
      <c r="H260" s="33" t="s">
        <v>65</v>
      </c>
      <c r="I260" s="33" t="s">
        <v>74</v>
      </c>
      <c r="J260" s="21"/>
      <c r="K260" s="20" t="str">
        <f t="shared" si="1"/>
        <v>ROADS,TRANSPORT AND PUBLIC WORKS</v>
      </c>
      <c r="L260" s="20" t="s">
        <v>107</v>
      </c>
      <c r="M260" s="20" t="str">
        <f t="shared" si="2"/>
        <v>ROADS,TRANSPORT AND PUBLIC WORKS</v>
      </c>
      <c r="N260" s="22" t="s">
        <v>119</v>
      </c>
      <c r="O260" s="22" t="s">
        <v>120</v>
      </c>
      <c r="P260" s="20" t="s">
        <v>121</v>
      </c>
      <c r="Q260" s="20" t="s">
        <v>121</v>
      </c>
      <c r="R260" s="30">
        <v>5104836.0</v>
      </c>
      <c r="S260" s="30">
        <v>5104836.0</v>
      </c>
      <c r="T260" s="30">
        <v>5104836.0</v>
      </c>
      <c r="U260" s="20" t="s">
        <v>71</v>
      </c>
      <c r="V260" s="20"/>
      <c r="W260" s="30">
        <v>5104836.0</v>
      </c>
      <c r="X260" s="20"/>
      <c r="Y260" s="30">
        <v>5104836.0</v>
      </c>
      <c r="Z260" s="24">
        <f t="shared" si="3"/>
        <v>1</v>
      </c>
      <c r="AA260" s="23">
        <f t="shared" si="5"/>
        <v>5104836</v>
      </c>
      <c r="AB260" s="20"/>
      <c r="AC260" s="25">
        <f t="shared" si="4"/>
        <v>0</v>
      </c>
      <c r="AD260" s="20" t="s">
        <v>72</v>
      </c>
      <c r="AE260" s="20"/>
      <c r="AF260" s="20"/>
      <c r="AG260" s="20"/>
      <c r="AH260" s="20"/>
      <c r="AI260" s="20"/>
      <c r="AJ260" s="20"/>
      <c r="AK260" s="20"/>
      <c r="AL260" s="20"/>
      <c r="AM260" s="20"/>
      <c r="AN260" s="20"/>
      <c r="AO260" s="20"/>
      <c r="AP260" s="20"/>
      <c r="AQ260" s="20"/>
      <c r="AR260" s="20"/>
      <c r="AS260" s="20"/>
      <c r="AT260" s="20"/>
    </row>
    <row r="261">
      <c r="A261" s="20">
        <v>259.0</v>
      </c>
      <c r="B261" s="29" t="s">
        <v>297</v>
      </c>
      <c r="C261" s="30"/>
      <c r="D261" s="20"/>
      <c r="E261" s="20"/>
      <c r="F261" s="20"/>
      <c r="G261" s="20"/>
      <c r="H261" s="33" t="s">
        <v>65</v>
      </c>
      <c r="I261" s="33" t="s">
        <v>66</v>
      </c>
      <c r="J261" s="21"/>
      <c r="K261" s="20" t="str">
        <f t="shared" si="1"/>
        <v>ROADS,TRANSPORT AND PUBLIC WORKS</v>
      </c>
      <c r="L261" s="20" t="s">
        <v>107</v>
      </c>
      <c r="M261" s="20" t="str">
        <f t="shared" si="2"/>
        <v>ROADS,TRANSPORT AND PUBLIC WORKS</v>
      </c>
      <c r="N261" s="22" t="s">
        <v>119</v>
      </c>
      <c r="O261" s="22" t="s">
        <v>120</v>
      </c>
      <c r="P261" s="20" t="s">
        <v>121</v>
      </c>
      <c r="Q261" s="20" t="s">
        <v>121</v>
      </c>
      <c r="R261" s="30">
        <v>9500000.0</v>
      </c>
      <c r="S261" s="30">
        <v>9500000.0</v>
      </c>
      <c r="T261" s="30">
        <v>9500000.0</v>
      </c>
      <c r="U261" s="20" t="s">
        <v>71</v>
      </c>
      <c r="V261" s="20"/>
      <c r="W261" s="30">
        <v>9500000.0</v>
      </c>
      <c r="X261" s="20"/>
      <c r="Y261" s="30">
        <v>9500000.0</v>
      </c>
      <c r="Z261" s="24">
        <f t="shared" si="3"/>
        <v>1</v>
      </c>
      <c r="AA261" s="23">
        <f t="shared" si="5"/>
        <v>9500000</v>
      </c>
      <c r="AB261" s="20"/>
      <c r="AC261" s="25">
        <f t="shared" si="4"/>
        <v>0</v>
      </c>
      <c r="AD261" s="20" t="s">
        <v>72</v>
      </c>
      <c r="AE261" s="20"/>
      <c r="AF261" s="20"/>
      <c r="AG261" s="20"/>
      <c r="AH261" s="20"/>
      <c r="AI261" s="20"/>
      <c r="AJ261" s="20"/>
      <c r="AK261" s="20"/>
      <c r="AL261" s="20"/>
      <c r="AM261" s="20"/>
      <c r="AN261" s="20"/>
      <c r="AO261" s="20"/>
      <c r="AP261" s="20"/>
      <c r="AQ261" s="20"/>
      <c r="AR261" s="20"/>
      <c r="AS261" s="20"/>
      <c r="AT261" s="20"/>
    </row>
    <row r="262">
      <c r="A262" s="20">
        <v>260.0</v>
      </c>
      <c r="B262" s="29" t="s">
        <v>338</v>
      </c>
      <c r="C262" s="30"/>
      <c r="D262" s="20"/>
      <c r="E262" s="20"/>
      <c r="F262" s="20"/>
      <c r="G262" s="20"/>
      <c r="H262" s="33" t="s">
        <v>65</v>
      </c>
      <c r="I262" s="33" t="s">
        <v>66</v>
      </c>
      <c r="J262" s="21"/>
      <c r="K262" s="20" t="str">
        <f t="shared" si="1"/>
        <v>ROADS,TRANSPORT AND PUBLIC WORKS</v>
      </c>
      <c r="L262" s="20" t="s">
        <v>107</v>
      </c>
      <c r="M262" s="20" t="str">
        <f t="shared" si="2"/>
        <v>ROADS,TRANSPORT AND PUBLIC WORKS</v>
      </c>
      <c r="N262" s="22" t="s">
        <v>119</v>
      </c>
      <c r="O262" s="22" t="s">
        <v>120</v>
      </c>
      <c r="P262" s="20" t="s">
        <v>121</v>
      </c>
      <c r="Q262" s="20" t="s">
        <v>121</v>
      </c>
      <c r="R262" s="30">
        <v>1050880.0</v>
      </c>
      <c r="S262" s="30">
        <v>1050880.0</v>
      </c>
      <c r="T262" s="30">
        <v>1050880.0</v>
      </c>
      <c r="U262" s="20" t="s">
        <v>71</v>
      </c>
      <c r="V262" s="20"/>
      <c r="W262" s="30">
        <v>1050880.0</v>
      </c>
      <c r="X262" s="20"/>
      <c r="Y262" s="30">
        <v>1050880.0</v>
      </c>
      <c r="Z262" s="24">
        <f t="shared" si="3"/>
        <v>1</v>
      </c>
      <c r="AA262" s="23">
        <f t="shared" si="5"/>
        <v>1050880</v>
      </c>
      <c r="AB262" s="20"/>
      <c r="AC262" s="25">
        <f t="shared" si="4"/>
        <v>0</v>
      </c>
      <c r="AD262" s="20" t="s">
        <v>72</v>
      </c>
      <c r="AE262" s="20"/>
      <c r="AF262" s="20"/>
      <c r="AG262" s="20"/>
      <c r="AH262" s="20"/>
      <c r="AI262" s="20"/>
      <c r="AJ262" s="20"/>
      <c r="AK262" s="20"/>
      <c r="AL262" s="20"/>
      <c r="AM262" s="20"/>
      <c r="AN262" s="20"/>
      <c r="AO262" s="20"/>
      <c r="AP262" s="20"/>
      <c r="AQ262" s="20"/>
      <c r="AR262" s="20"/>
      <c r="AS262" s="20"/>
      <c r="AT262" s="20"/>
    </row>
    <row r="263">
      <c r="A263" s="20">
        <v>261.0</v>
      </c>
      <c r="B263" s="29" t="s">
        <v>326</v>
      </c>
      <c r="C263" s="30"/>
      <c r="D263" s="20"/>
      <c r="E263" s="20"/>
      <c r="F263" s="20"/>
      <c r="G263" s="20"/>
      <c r="H263" s="33" t="s">
        <v>65</v>
      </c>
      <c r="I263" s="33" t="s">
        <v>66</v>
      </c>
      <c r="J263" s="21"/>
      <c r="K263" s="20" t="str">
        <f t="shared" si="1"/>
        <v>ROADS,TRANSPORT AND PUBLIC WORKS</v>
      </c>
      <c r="L263" s="20" t="s">
        <v>107</v>
      </c>
      <c r="M263" s="20" t="str">
        <f t="shared" si="2"/>
        <v>ROADS,TRANSPORT AND PUBLIC WORKS</v>
      </c>
      <c r="N263" s="22" t="s">
        <v>119</v>
      </c>
      <c r="O263" s="22" t="s">
        <v>120</v>
      </c>
      <c r="P263" s="20" t="s">
        <v>121</v>
      </c>
      <c r="Q263" s="20" t="s">
        <v>121</v>
      </c>
      <c r="R263" s="30">
        <v>4275000.0</v>
      </c>
      <c r="S263" s="30">
        <v>4275000.0</v>
      </c>
      <c r="T263" s="30">
        <v>4275000.0</v>
      </c>
      <c r="U263" s="20" t="s">
        <v>71</v>
      </c>
      <c r="V263" s="20"/>
      <c r="W263" s="30">
        <v>4275000.0</v>
      </c>
      <c r="X263" s="20"/>
      <c r="Y263" s="30">
        <v>4275000.0</v>
      </c>
      <c r="Z263" s="24">
        <f t="shared" si="3"/>
        <v>1</v>
      </c>
      <c r="AA263" s="23">
        <f t="shared" si="5"/>
        <v>4275000</v>
      </c>
      <c r="AB263" s="20"/>
      <c r="AC263" s="25">
        <f t="shared" si="4"/>
        <v>0</v>
      </c>
      <c r="AD263" s="20" t="s">
        <v>72</v>
      </c>
      <c r="AE263" s="20"/>
      <c r="AF263" s="20"/>
      <c r="AG263" s="20"/>
      <c r="AH263" s="20"/>
      <c r="AI263" s="20"/>
      <c r="AJ263" s="20"/>
      <c r="AK263" s="20"/>
      <c r="AL263" s="20"/>
      <c r="AM263" s="20"/>
      <c r="AN263" s="20"/>
      <c r="AO263" s="20"/>
      <c r="AP263" s="20"/>
      <c r="AQ263" s="20"/>
      <c r="AR263" s="20"/>
      <c r="AS263" s="20"/>
      <c r="AT263" s="20"/>
    </row>
    <row r="264">
      <c r="A264" s="20">
        <v>262.0</v>
      </c>
      <c r="B264" s="29" t="s">
        <v>339</v>
      </c>
      <c r="C264" s="30"/>
      <c r="D264" s="20"/>
      <c r="E264" s="20"/>
      <c r="F264" s="20"/>
      <c r="G264" s="20"/>
      <c r="H264" s="33" t="s">
        <v>65</v>
      </c>
      <c r="I264" s="33" t="s">
        <v>66</v>
      </c>
      <c r="J264" s="21"/>
      <c r="K264" s="20" t="str">
        <f t="shared" si="1"/>
        <v>ROADS,TRANSPORT AND PUBLIC WORKS</v>
      </c>
      <c r="L264" s="20" t="s">
        <v>107</v>
      </c>
      <c r="M264" s="20" t="str">
        <f t="shared" si="2"/>
        <v>ROADS,TRANSPORT AND PUBLIC WORKS</v>
      </c>
      <c r="N264" s="22" t="s">
        <v>119</v>
      </c>
      <c r="O264" s="22" t="s">
        <v>120</v>
      </c>
      <c r="P264" s="20" t="s">
        <v>121</v>
      </c>
      <c r="Q264" s="20" t="s">
        <v>121</v>
      </c>
      <c r="R264" s="30">
        <v>1233974.0</v>
      </c>
      <c r="S264" s="30">
        <v>1233974.0</v>
      </c>
      <c r="T264" s="30">
        <v>1233974.0</v>
      </c>
      <c r="U264" s="20" t="s">
        <v>71</v>
      </c>
      <c r="V264" s="20"/>
      <c r="W264" s="30">
        <v>1233974.0</v>
      </c>
      <c r="X264" s="20"/>
      <c r="Y264" s="30">
        <v>1233974.0</v>
      </c>
      <c r="Z264" s="24">
        <f t="shared" si="3"/>
        <v>1</v>
      </c>
      <c r="AA264" s="23">
        <f t="shared" si="5"/>
        <v>1233974</v>
      </c>
      <c r="AB264" s="20"/>
      <c r="AC264" s="25">
        <f t="shared" si="4"/>
        <v>0</v>
      </c>
      <c r="AD264" s="20" t="s">
        <v>72</v>
      </c>
      <c r="AE264" s="20"/>
      <c r="AF264" s="20"/>
      <c r="AG264" s="20"/>
      <c r="AH264" s="20"/>
      <c r="AI264" s="20"/>
      <c r="AJ264" s="20"/>
      <c r="AK264" s="20"/>
      <c r="AL264" s="20"/>
      <c r="AM264" s="20"/>
      <c r="AN264" s="20"/>
      <c r="AO264" s="20"/>
      <c r="AP264" s="20"/>
      <c r="AQ264" s="20"/>
      <c r="AR264" s="20"/>
      <c r="AS264" s="20"/>
      <c r="AT264" s="20"/>
    </row>
    <row r="265">
      <c r="A265" s="20">
        <v>263.0</v>
      </c>
      <c r="B265" s="29" t="s">
        <v>340</v>
      </c>
      <c r="C265" s="30"/>
      <c r="D265" s="20"/>
      <c r="E265" s="20"/>
      <c r="F265" s="20"/>
      <c r="G265" s="20"/>
      <c r="H265" s="33" t="s">
        <v>65</v>
      </c>
      <c r="I265" s="33" t="s">
        <v>66</v>
      </c>
      <c r="J265" s="21"/>
      <c r="K265" s="20" t="str">
        <f t="shared" si="1"/>
        <v>ROADS,TRANSPORT AND PUBLIC WORKS</v>
      </c>
      <c r="L265" s="20" t="s">
        <v>107</v>
      </c>
      <c r="M265" s="20" t="str">
        <f t="shared" si="2"/>
        <v>ROADS,TRANSPORT AND PUBLIC WORKS</v>
      </c>
      <c r="N265" s="22" t="s">
        <v>119</v>
      </c>
      <c r="O265" s="22" t="s">
        <v>120</v>
      </c>
      <c r="P265" s="20" t="s">
        <v>121</v>
      </c>
      <c r="Q265" s="20" t="s">
        <v>121</v>
      </c>
      <c r="R265" s="30">
        <v>4370000.0</v>
      </c>
      <c r="S265" s="30">
        <v>4370000.0</v>
      </c>
      <c r="T265" s="30">
        <v>4370000.0</v>
      </c>
      <c r="U265" s="20" t="s">
        <v>71</v>
      </c>
      <c r="V265" s="20"/>
      <c r="W265" s="30">
        <v>4370000.0</v>
      </c>
      <c r="X265" s="20"/>
      <c r="Y265" s="30">
        <v>4370000.0</v>
      </c>
      <c r="Z265" s="24">
        <f t="shared" si="3"/>
        <v>1</v>
      </c>
      <c r="AA265" s="23">
        <f t="shared" si="5"/>
        <v>4370000</v>
      </c>
      <c r="AB265" s="20"/>
      <c r="AC265" s="25">
        <f t="shared" si="4"/>
        <v>0</v>
      </c>
      <c r="AD265" s="20" t="s">
        <v>72</v>
      </c>
      <c r="AE265" s="20"/>
      <c r="AF265" s="20"/>
      <c r="AG265" s="20"/>
      <c r="AH265" s="20"/>
      <c r="AI265" s="20"/>
      <c r="AJ265" s="20"/>
      <c r="AK265" s="20"/>
      <c r="AL265" s="20"/>
      <c r="AM265" s="20"/>
      <c r="AN265" s="20"/>
      <c r="AO265" s="20"/>
      <c r="AP265" s="20"/>
      <c r="AQ265" s="20"/>
      <c r="AR265" s="20"/>
      <c r="AS265" s="20"/>
      <c r="AT265" s="20"/>
    </row>
    <row r="266">
      <c r="A266" s="20">
        <v>264.0</v>
      </c>
      <c r="B266" s="29" t="s">
        <v>341</v>
      </c>
      <c r="C266" s="30"/>
      <c r="D266" s="20"/>
      <c r="E266" s="20"/>
      <c r="F266" s="20"/>
      <c r="G266" s="20"/>
      <c r="H266" s="33" t="s">
        <v>77</v>
      </c>
      <c r="I266" s="33" t="s">
        <v>77</v>
      </c>
      <c r="J266" s="21"/>
      <c r="K266" s="20" t="str">
        <f t="shared" si="1"/>
        <v>WATER,ENVIRONMENT,CLIMATE CHANGE AND NATURAL RESOURCES</v>
      </c>
      <c r="L266" s="20" t="s">
        <v>75</v>
      </c>
      <c r="M266" s="20" t="str">
        <f t="shared" si="2"/>
        <v>WATER,ENVIRONMENT,CLIMATE CHANGE AND NATURAL RESOURCES</v>
      </c>
      <c r="N266" s="22" t="s">
        <v>119</v>
      </c>
      <c r="O266" s="22" t="s">
        <v>120</v>
      </c>
      <c r="P266" s="20" t="s">
        <v>121</v>
      </c>
      <c r="Q266" s="20" t="s">
        <v>121</v>
      </c>
      <c r="R266" s="30">
        <v>4560000.0</v>
      </c>
      <c r="S266" s="30">
        <v>4560000.0</v>
      </c>
      <c r="T266" s="30">
        <v>4560000.0</v>
      </c>
      <c r="U266" s="20" t="s">
        <v>71</v>
      </c>
      <c r="V266" s="20"/>
      <c r="W266" s="30">
        <v>4560000.0</v>
      </c>
      <c r="X266" s="20"/>
      <c r="Y266" s="30">
        <v>4560000.0</v>
      </c>
      <c r="Z266" s="24">
        <f t="shared" si="3"/>
        <v>1</v>
      </c>
      <c r="AA266" s="23">
        <f t="shared" si="5"/>
        <v>4560000</v>
      </c>
      <c r="AB266" s="20"/>
      <c r="AC266" s="25">
        <f t="shared" si="4"/>
        <v>0</v>
      </c>
      <c r="AD266" s="20" t="s">
        <v>72</v>
      </c>
      <c r="AE266" s="20"/>
      <c r="AF266" s="20"/>
      <c r="AG266" s="20"/>
      <c r="AH266" s="20"/>
      <c r="AI266" s="20"/>
      <c r="AJ266" s="20"/>
      <c r="AK266" s="20"/>
      <c r="AL266" s="20"/>
      <c r="AM266" s="20"/>
      <c r="AN266" s="20"/>
      <c r="AO266" s="20"/>
      <c r="AP266" s="20"/>
      <c r="AQ266" s="20"/>
      <c r="AR266" s="20"/>
      <c r="AS266" s="20"/>
      <c r="AT266" s="20"/>
    </row>
    <row r="267">
      <c r="A267" s="20">
        <v>265.0</v>
      </c>
      <c r="B267" s="29" t="s">
        <v>342</v>
      </c>
      <c r="C267" s="30"/>
      <c r="D267" s="20"/>
      <c r="E267" s="20"/>
      <c r="F267" s="20"/>
      <c r="G267" s="20"/>
      <c r="H267" s="33" t="s">
        <v>104</v>
      </c>
      <c r="I267" s="33" t="s">
        <v>199</v>
      </c>
      <c r="J267" s="21"/>
      <c r="K267" s="20" t="str">
        <f t="shared" si="1"/>
        <v>Health services</v>
      </c>
      <c r="L267" s="20" t="s">
        <v>67</v>
      </c>
      <c r="M267" s="20" t="str">
        <f t="shared" si="2"/>
        <v>Health services</v>
      </c>
      <c r="N267" s="22" t="s">
        <v>119</v>
      </c>
      <c r="O267" s="22" t="s">
        <v>120</v>
      </c>
      <c r="P267" s="20" t="s">
        <v>121</v>
      </c>
      <c r="Q267" s="20" t="s">
        <v>121</v>
      </c>
      <c r="R267" s="30">
        <v>729462.0</v>
      </c>
      <c r="S267" s="30">
        <v>729462.0</v>
      </c>
      <c r="T267" s="30">
        <v>729462.0</v>
      </c>
      <c r="U267" s="20" t="s">
        <v>71</v>
      </c>
      <c r="V267" s="20"/>
      <c r="W267" s="30">
        <v>729462.0</v>
      </c>
      <c r="X267" s="20"/>
      <c r="Y267" s="30">
        <v>729462.0</v>
      </c>
      <c r="Z267" s="24">
        <f t="shared" si="3"/>
        <v>1</v>
      </c>
      <c r="AA267" s="23">
        <f t="shared" si="5"/>
        <v>729462</v>
      </c>
      <c r="AB267" s="20"/>
      <c r="AC267" s="25">
        <f t="shared" si="4"/>
        <v>0</v>
      </c>
      <c r="AD267" s="20" t="s">
        <v>72</v>
      </c>
      <c r="AE267" s="20"/>
      <c r="AF267" s="20"/>
      <c r="AG267" s="20"/>
      <c r="AH267" s="20"/>
      <c r="AI267" s="20"/>
      <c r="AJ267" s="20"/>
      <c r="AK267" s="20"/>
      <c r="AL267" s="20"/>
      <c r="AM267" s="20"/>
      <c r="AN267" s="20"/>
      <c r="AO267" s="20"/>
      <c r="AP267" s="20"/>
      <c r="AQ267" s="20"/>
      <c r="AR267" s="20"/>
      <c r="AS267" s="20"/>
      <c r="AT267" s="20"/>
    </row>
    <row r="268">
      <c r="A268" s="20">
        <v>266.0</v>
      </c>
      <c r="B268" s="29" t="s">
        <v>326</v>
      </c>
      <c r="C268" s="30"/>
      <c r="D268" s="20"/>
      <c r="E268" s="20"/>
      <c r="F268" s="20"/>
      <c r="G268" s="20"/>
      <c r="H268" s="33" t="s">
        <v>65</v>
      </c>
      <c r="I268" s="33" t="s">
        <v>66</v>
      </c>
      <c r="J268" s="21"/>
      <c r="K268" s="20" t="str">
        <f t="shared" si="1"/>
        <v>ROADS,TRANSPORT AND PUBLIC WORKS</v>
      </c>
      <c r="L268" s="20" t="s">
        <v>107</v>
      </c>
      <c r="M268" s="20" t="str">
        <f t="shared" si="2"/>
        <v>ROADS,TRANSPORT AND PUBLIC WORKS</v>
      </c>
      <c r="N268" s="22" t="s">
        <v>119</v>
      </c>
      <c r="O268" s="22" t="s">
        <v>120</v>
      </c>
      <c r="P268" s="20" t="s">
        <v>121</v>
      </c>
      <c r="Q268" s="20" t="s">
        <v>121</v>
      </c>
      <c r="R268" s="30">
        <v>1620227.0</v>
      </c>
      <c r="S268" s="30">
        <v>1620227.0</v>
      </c>
      <c r="T268" s="30">
        <v>1620227.0</v>
      </c>
      <c r="U268" s="20" t="s">
        <v>71</v>
      </c>
      <c r="V268" s="20"/>
      <c r="W268" s="30">
        <v>1620227.0</v>
      </c>
      <c r="X268" s="20"/>
      <c r="Y268" s="30">
        <v>1620227.0</v>
      </c>
      <c r="Z268" s="24">
        <f t="shared" si="3"/>
        <v>1</v>
      </c>
      <c r="AA268" s="23">
        <f t="shared" si="5"/>
        <v>1620227</v>
      </c>
      <c r="AB268" s="20"/>
      <c r="AC268" s="25">
        <f t="shared" si="4"/>
        <v>0</v>
      </c>
      <c r="AD268" s="20" t="s">
        <v>72</v>
      </c>
      <c r="AE268" s="20"/>
      <c r="AF268" s="20"/>
      <c r="AG268" s="20"/>
      <c r="AH268" s="20"/>
      <c r="AI268" s="20"/>
      <c r="AJ268" s="20"/>
      <c r="AK268" s="20"/>
      <c r="AL268" s="20"/>
      <c r="AM268" s="20"/>
      <c r="AN268" s="20"/>
      <c r="AO268" s="20"/>
      <c r="AP268" s="20"/>
      <c r="AQ268" s="20"/>
      <c r="AR268" s="20"/>
      <c r="AS268" s="20"/>
      <c r="AT268" s="20"/>
    </row>
    <row r="269">
      <c r="A269" s="20">
        <v>267.0</v>
      </c>
      <c r="B269" s="29" t="s">
        <v>343</v>
      </c>
      <c r="C269" s="30"/>
      <c r="D269" s="20"/>
      <c r="E269" s="20"/>
      <c r="F269" s="20"/>
      <c r="G269" s="20"/>
      <c r="H269" s="33" t="s">
        <v>81</v>
      </c>
      <c r="I269" s="33" t="s">
        <v>66</v>
      </c>
      <c r="J269" s="21"/>
      <c r="K269" s="20" t="str">
        <f t="shared" si="1"/>
        <v>Health services</v>
      </c>
      <c r="L269" s="20" t="s">
        <v>67</v>
      </c>
      <c r="M269" s="20" t="str">
        <f t="shared" si="2"/>
        <v>Health services</v>
      </c>
      <c r="N269" s="22" t="s">
        <v>119</v>
      </c>
      <c r="O269" s="22" t="s">
        <v>120</v>
      </c>
      <c r="P269" s="20" t="s">
        <v>121</v>
      </c>
      <c r="Q269" s="20" t="s">
        <v>121</v>
      </c>
      <c r="R269" s="30">
        <v>1691261.0</v>
      </c>
      <c r="S269" s="30">
        <v>1691261.0</v>
      </c>
      <c r="T269" s="30">
        <v>1691261.0</v>
      </c>
      <c r="U269" s="20" t="s">
        <v>71</v>
      </c>
      <c r="V269" s="20"/>
      <c r="W269" s="30">
        <v>1691261.0</v>
      </c>
      <c r="X269" s="20"/>
      <c r="Y269" s="30">
        <v>1691261.0</v>
      </c>
      <c r="Z269" s="24">
        <f t="shared" si="3"/>
        <v>1</v>
      </c>
      <c r="AA269" s="23">
        <f t="shared" si="5"/>
        <v>1691261</v>
      </c>
      <c r="AB269" s="20"/>
      <c r="AC269" s="25">
        <f t="shared" si="4"/>
        <v>0</v>
      </c>
      <c r="AD269" s="20" t="s">
        <v>72</v>
      </c>
      <c r="AE269" s="20"/>
      <c r="AF269" s="20"/>
      <c r="AG269" s="20"/>
      <c r="AH269" s="20"/>
      <c r="AI269" s="20"/>
      <c r="AJ269" s="20"/>
      <c r="AK269" s="20"/>
      <c r="AL269" s="20"/>
      <c r="AM269" s="20"/>
      <c r="AN269" s="20"/>
      <c r="AO269" s="20"/>
      <c r="AP269" s="20"/>
      <c r="AQ269" s="20"/>
      <c r="AR269" s="20"/>
      <c r="AS269" s="20"/>
      <c r="AT269" s="20"/>
    </row>
    <row r="270">
      <c r="A270" s="20">
        <v>268.0</v>
      </c>
      <c r="B270" s="29" t="s">
        <v>344</v>
      </c>
      <c r="C270" s="30"/>
      <c r="D270" s="20"/>
      <c r="E270" s="20"/>
      <c r="F270" s="20"/>
      <c r="G270" s="20"/>
      <c r="H270" s="33" t="s">
        <v>113</v>
      </c>
      <c r="I270" s="33" t="s">
        <v>74</v>
      </c>
      <c r="J270" s="21"/>
      <c r="K270" s="20" t="str">
        <f t="shared" si="1"/>
        <v>Health services</v>
      </c>
      <c r="L270" s="20" t="s">
        <v>67</v>
      </c>
      <c r="M270" s="20" t="str">
        <f t="shared" si="2"/>
        <v>Health services</v>
      </c>
      <c r="N270" s="22" t="s">
        <v>119</v>
      </c>
      <c r="O270" s="22" t="s">
        <v>120</v>
      </c>
      <c r="P270" s="20" t="s">
        <v>121</v>
      </c>
      <c r="Q270" s="20" t="s">
        <v>121</v>
      </c>
      <c r="R270" s="30">
        <v>1900000.0</v>
      </c>
      <c r="S270" s="30">
        <v>1900000.0</v>
      </c>
      <c r="T270" s="30">
        <v>1900000.0</v>
      </c>
      <c r="U270" s="20" t="s">
        <v>71</v>
      </c>
      <c r="V270" s="20"/>
      <c r="W270" s="30">
        <v>1900000.0</v>
      </c>
      <c r="X270" s="20"/>
      <c r="Y270" s="30">
        <v>1900000.0</v>
      </c>
      <c r="Z270" s="24">
        <f t="shared" si="3"/>
        <v>1</v>
      </c>
      <c r="AA270" s="23">
        <f t="shared" si="5"/>
        <v>1900000</v>
      </c>
      <c r="AB270" s="20"/>
      <c r="AC270" s="25">
        <f t="shared" si="4"/>
        <v>0</v>
      </c>
      <c r="AD270" s="20" t="s">
        <v>72</v>
      </c>
      <c r="AE270" s="20"/>
      <c r="AF270" s="20"/>
      <c r="AG270" s="20"/>
      <c r="AH270" s="20"/>
      <c r="AI270" s="20"/>
      <c r="AJ270" s="20"/>
      <c r="AK270" s="20"/>
      <c r="AL270" s="20"/>
      <c r="AM270" s="20"/>
      <c r="AN270" s="20"/>
      <c r="AO270" s="20"/>
      <c r="AP270" s="20"/>
      <c r="AQ270" s="20"/>
      <c r="AR270" s="20"/>
      <c r="AS270" s="20"/>
      <c r="AT270" s="20"/>
    </row>
    <row r="271">
      <c r="A271" s="20">
        <v>269.0</v>
      </c>
      <c r="B271" s="29" t="s">
        <v>345</v>
      </c>
      <c r="C271" s="30"/>
      <c r="D271" s="20"/>
      <c r="E271" s="20"/>
      <c r="F271" s="20"/>
      <c r="G271" s="20"/>
      <c r="H271" s="33" t="s">
        <v>65</v>
      </c>
      <c r="I271" s="33" t="s">
        <v>66</v>
      </c>
      <c r="J271" s="21"/>
      <c r="K271" s="20" t="str">
        <f t="shared" si="1"/>
        <v>WATER,ENVIRONMENT,CLIMATE CHANGE AND NATURAL RESOURCES</v>
      </c>
      <c r="L271" s="20" t="s">
        <v>75</v>
      </c>
      <c r="M271" s="20" t="str">
        <f t="shared" si="2"/>
        <v>WATER,ENVIRONMENT,CLIMATE CHANGE AND NATURAL RESOURCES</v>
      </c>
      <c r="N271" s="22" t="s">
        <v>119</v>
      </c>
      <c r="O271" s="22" t="s">
        <v>120</v>
      </c>
      <c r="P271" s="20" t="s">
        <v>121</v>
      </c>
      <c r="Q271" s="20" t="s">
        <v>121</v>
      </c>
      <c r="R271" s="30">
        <v>3000000.0</v>
      </c>
      <c r="S271" s="30">
        <v>3000000.0</v>
      </c>
      <c r="T271" s="30">
        <v>3000000.0</v>
      </c>
      <c r="U271" s="20" t="s">
        <v>71</v>
      </c>
      <c r="V271" s="20"/>
      <c r="W271" s="30">
        <v>3000000.0</v>
      </c>
      <c r="X271" s="20"/>
      <c r="Y271" s="30">
        <v>3000000.0</v>
      </c>
      <c r="Z271" s="24">
        <f t="shared" si="3"/>
        <v>1</v>
      </c>
      <c r="AA271" s="23">
        <f t="shared" si="5"/>
        <v>3000000</v>
      </c>
      <c r="AB271" s="20"/>
      <c r="AC271" s="25">
        <f t="shared" si="4"/>
        <v>0</v>
      </c>
      <c r="AD271" s="20" t="s">
        <v>72</v>
      </c>
      <c r="AE271" s="20"/>
      <c r="AF271" s="20"/>
      <c r="AG271" s="20"/>
      <c r="AH271" s="20"/>
      <c r="AI271" s="20"/>
      <c r="AJ271" s="20"/>
      <c r="AK271" s="20"/>
      <c r="AL271" s="20"/>
      <c r="AM271" s="20"/>
      <c r="AN271" s="20"/>
      <c r="AO271" s="20"/>
      <c r="AP271" s="20"/>
      <c r="AQ271" s="20"/>
      <c r="AR271" s="20"/>
      <c r="AS271" s="20"/>
      <c r="AT271" s="20"/>
    </row>
    <row r="272">
      <c r="A272" s="20">
        <v>270.0</v>
      </c>
      <c r="B272" s="29" t="s">
        <v>313</v>
      </c>
      <c r="C272" s="30"/>
      <c r="D272" s="20"/>
      <c r="E272" s="20"/>
      <c r="F272" s="20"/>
      <c r="G272" s="20"/>
      <c r="H272" s="33" t="s">
        <v>65</v>
      </c>
      <c r="I272" s="33" t="s">
        <v>66</v>
      </c>
      <c r="J272" s="21"/>
      <c r="K272" s="20" t="str">
        <f t="shared" si="1"/>
        <v>ROADS,TRANSPORT AND PUBLIC WORKS</v>
      </c>
      <c r="L272" s="20" t="s">
        <v>107</v>
      </c>
      <c r="M272" s="20" t="str">
        <f t="shared" si="2"/>
        <v>ROADS,TRANSPORT AND PUBLIC WORKS</v>
      </c>
      <c r="N272" s="22" t="s">
        <v>119</v>
      </c>
      <c r="O272" s="22" t="s">
        <v>120</v>
      </c>
      <c r="P272" s="20" t="s">
        <v>121</v>
      </c>
      <c r="Q272" s="20" t="s">
        <v>121</v>
      </c>
      <c r="R272" s="30">
        <v>5181688.0</v>
      </c>
      <c r="S272" s="30">
        <v>5181688.0</v>
      </c>
      <c r="T272" s="30">
        <v>5181688.0</v>
      </c>
      <c r="U272" s="20" t="s">
        <v>71</v>
      </c>
      <c r="V272" s="20"/>
      <c r="W272" s="30">
        <v>5181688.0</v>
      </c>
      <c r="X272" s="20"/>
      <c r="Y272" s="30">
        <v>5181688.0</v>
      </c>
      <c r="Z272" s="24">
        <f t="shared" si="3"/>
        <v>1</v>
      </c>
      <c r="AA272" s="23">
        <f t="shared" si="5"/>
        <v>5181688</v>
      </c>
      <c r="AB272" s="20"/>
      <c r="AC272" s="25">
        <f t="shared" si="4"/>
        <v>0</v>
      </c>
      <c r="AD272" s="20" t="s">
        <v>72</v>
      </c>
      <c r="AE272" s="20"/>
      <c r="AF272" s="20"/>
      <c r="AG272" s="20"/>
      <c r="AH272" s="20"/>
      <c r="AI272" s="20"/>
      <c r="AJ272" s="20"/>
      <c r="AK272" s="20"/>
      <c r="AL272" s="20"/>
      <c r="AM272" s="20"/>
      <c r="AN272" s="20"/>
      <c r="AO272" s="20"/>
      <c r="AP272" s="20"/>
      <c r="AQ272" s="20"/>
      <c r="AR272" s="20"/>
      <c r="AS272" s="20"/>
      <c r="AT272" s="20"/>
    </row>
    <row r="273">
      <c r="A273" s="20">
        <v>271.0</v>
      </c>
      <c r="B273" s="29" t="s">
        <v>346</v>
      </c>
      <c r="C273" s="30"/>
      <c r="D273" s="20"/>
      <c r="E273" s="20"/>
      <c r="F273" s="20"/>
      <c r="G273" s="20"/>
      <c r="H273" s="33" t="s">
        <v>65</v>
      </c>
      <c r="I273" s="33" t="s">
        <v>66</v>
      </c>
      <c r="J273" s="21"/>
      <c r="K273" s="20" t="str">
        <f t="shared" si="1"/>
        <v>ROADS,TRANSPORT AND PUBLIC WORKS</v>
      </c>
      <c r="L273" s="20" t="s">
        <v>107</v>
      </c>
      <c r="M273" s="20" t="str">
        <f t="shared" si="2"/>
        <v>ROADS,TRANSPORT AND PUBLIC WORKS</v>
      </c>
      <c r="N273" s="22" t="s">
        <v>119</v>
      </c>
      <c r="O273" s="22" t="s">
        <v>120</v>
      </c>
      <c r="P273" s="20" t="s">
        <v>121</v>
      </c>
      <c r="Q273" s="20" t="s">
        <v>121</v>
      </c>
      <c r="R273" s="30">
        <v>570000.0</v>
      </c>
      <c r="S273" s="30">
        <v>570000.0</v>
      </c>
      <c r="T273" s="30">
        <v>570000.0</v>
      </c>
      <c r="U273" s="20" t="s">
        <v>71</v>
      </c>
      <c r="V273" s="20"/>
      <c r="W273" s="30">
        <v>570000.0</v>
      </c>
      <c r="X273" s="20"/>
      <c r="Y273" s="30">
        <v>570000.0</v>
      </c>
      <c r="Z273" s="24">
        <f t="shared" si="3"/>
        <v>1</v>
      </c>
      <c r="AA273" s="23">
        <f t="shared" si="5"/>
        <v>570000</v>
      </c>
      <c r="AB273" s="20"/>
      <c r="AC273" s="25">
        <f t="shared" si="4"/>
        <v>0</v>
      </c>
      <c r="AD273" s="20" t="s">
        <v>72</v>
      </c>
      <c r="AE273" s="20"/>
      <c r="AF273" s="20"/>
      <c r="AG273" s="20"/>
      <c r="AH273" s="20"/>
      <c r="AI273" s="20"/>
      <c r="AJ273" s="20"/>
      <c r="AK273" s="20"/>
      <c r="AL273" s="20"/>
      <c r="AM273" s="20"/>
      <c r="AN273" s="20"/>
      <c r="AO273" s="20"/>
      <c r="AP273" s="20"/>
      <c r="AQ273" s="20"/>
      <c r="AR273" s="20"/>
      <c r="AS273" s="20"/>
      <c r="AT273" s="20"/>
    </row>
    <row r="274">
      <c r="A274" s="20">
        <v>272.0</v>
      </c>
      <c r="B274" s="29" t="s">
        <v>312</v>
      </c>
      <c r="C274" s="30"/>
      <c r="D274" s="20"/>
      <c r="E274" s="20"/>
      <c r="F274" s="20"/>
      <c r="G274" s="20"/>
      <c r="H274" s="33" t="s">
        <v>65</v>
      </c>
      <c r="I274" s="33" t="s">
        <v>66</v>
      </c>
      <c r="J274" s="21"/>
      <c r="K274" s="20" t="str">
        <f t="shared" si="1"/>
        <v>ROADS,TRANSPORT AND PUBLIC WORKS</v>
      </c>
      <c r="L274" s="20" t="s">
        <v>107</v>
      </c>
      <c r="M274" s="20" t="str">
        <f t="shared" si="2"/>
        <v>ROADS,TRANSPORT AND PUBLIC WORKS</v>
      </c>
      <c r="N274" s="22" t="s">
        <v>119</v>
      </c>
      <c r="O274" s="22" t="s">
        <v>120</v>
      </c>
      <c r="P274" s="20" t="s">
        <v>121</v>
      </c>
      <c r="Q274" s="20" t="s">
        <v>121</v>
      </c>
      <c r="R274" s="30">
        <v>855000.0</v>
      </c>
      <c r="S274" s="30">
        <v>855000.0</v>
      </c>
      <c r="T274" s="30">
        <v>855000.0</v>
      </c>
      <c r="U274" s="20" t="s">
        <v>71</v>
      </c>
      <c r="V274" s="20"/>
      <c r="W274" s="30">
        <v>855000.0</v>
      </c>
      <c r="X274" s="20"/>
      <c r="Y274" s="30">
        <v>855000.0</v>
      </c>
      <c r="Z274" s="24">
        <f t="shared" si="3"/>
        <v>1</v>
      </c>
      <c r="AA274" s="23">
        <f t="shared" si="5"/>
        <v>855000</v>
      </c>
      <c r="AB274" s="20"/>
      <c r="AC274" s="25">
        <f t="shared" si="4"/>
        <v>0</v>
      </c>
      <c r="AD274" s="20" t="s">
        <v>72</v>
      </c>
      <c r="AE274" s="20"/>
      <c r="AF274" s="20"/>
      <c r="AG274" s="20"/>
      <c r="AH274" s="20"/>
      <c r="AI274" s="20"/>
      <c r="AJ274" s="20"/>
      <c r="AK274" s="20"/>
      <c r="AL274" s="20"/>
      <c r="AM274" s="20"/>
      <c r="AN274" s="20"/>
      <c r="AO274" s="20"/>
      <c r="AP274" s="20"/>
      <c r="AQ274" s="20"/>
      <c r="AR274" s="20"/>
      <c r="AS274" s="20"/>
      <c r="AT274" s="20"/>
    </row>
    <row r="275">
      <c r="A275" s="20">
        <v>273.0</v>
      </c>
      <c r="B275" s="29" t="s">
        <v>347</v>
      </c>
      <c r="C275" s="30"/>
      <c r="D275" s="20"/>
      <c r="E275" s="20"/>
      <c r="F275" s="20"/>
      <c r="G275" s="20"/>
      <c r="H275" s="33" t="s">
        <v>113</v>
      </c>
      <c r="I275" s="33" t="s">
        <v>348</v>
      </c>
      <c r="J275" s="21"/>
      <c r="K275" s="20" t="str">
        <f t="shared" si="1"/>
        <v>ROADS,TRANSPORT AND PUBLIC WORKS</v>
      </c>
      <c r="L275" s="20" t="s">
        <v>107</v>
      </c>
      <c r="M275" s="20" t="str">
        <f t="shared" si="2"/>
        <v>ROADS,TRANSPORT AND PUBLIC WORKS</v>
      </c>
      <c r="N275" s="22" t="s">
        <v>119</v>
      </c>
      <c r="O275" s="22" t="s">
        <v>120</v>
      </c>
      <c r="P275" s="20" t="s">
        <v>121</v>
      </c>
      <c r="Q275" s="20" t="s">
        <v>121</v>
      </c>
      <c r="R275" s="30">
        <v>855000.0</v>
      </c>
      <c r="S275" s="30">
        <v>855000.0</v>
      </c>
      <c r="T275" s="30">
        <v>855000.0</v>
      </c>
      <c r="U275" s="20" t="s">
        <v>71</v>
      </c>
      <c r="V275" s="20"/>
      <c r="W275" s="30">
        <v>855000.0</v>
      </c>
      <c r="X275" s="20"/>
      <c r="Y275" s="30">
        <v>855000.0</v>
      </c>
      <c r="Z275" s="24">
        <f t="shared" si="3"/>
        <v>1</v>
      </c>
      <c r="AA275" s="23">
        <f t="shared" si="5"/>
        <v>855000</v>
      </c>
      <c r="AB275" s="20"/>
      <c r="AC275" s="25">
        <f t="shared" si="4"/>
        <v>0</v>
      </c>
      <c r="AD275" s="20" t="s">
        <v>72</v>
      </c>
      <c r="AE275" s="20"/>
      <c r="AF275" s="20"/>
      <c r="AG275" s="20"/>
      <c r="AH275" s="20"/>
      <c r="AI275" s="20"/>
      <c r="AJ275" s="20"/>
      <c r="AK275" s="20"/>
      <c r="AL275" s="20"/>
      <c r="AM275" s="20"/>
      <c r="AN275" s="20"/>
      <c r="AO275" s="20"/>
      <c r="AP275" s="20"/>
      <c r="AQ275" s="20"/>
      <c r="AR275" s="20"/>
      <c r="AS275" s="20"/>
      <c r="AT275" s="20"/>
    </row>
    <row r="276">
      <c r="A276" s="20">
        <v>274.0</v>
      </c>
      <c r="B276" s="29" t="s">
        <v>349</v>
      </c>
      <c r="C276" s="30"/>
      <c r="D276" s="20"/>
      <c r="E276" s="20"/>
      <c r="F276" s="20"/>
      <c r="G276" s="20"/>
      <c r="H276" s="33" t="s">
        <v>77</v>
      </c>
      <c r="I276" s="33" t="s">
        <v>66</v>
      </c>
      <c r="J276" s="21"/>
      <c r="K276" s="20" t="str">
        <f t="shared" si="1"/>
        <v>ROADS,TRANSPORT AND PUBLIC WORKS</v>
      </c>
      <c r="L276" s="20" t="s">
        <v>107</v>
      </c>
      <c r="M276" s="20" t="str">
        <f t="shared" si="2"/>
        <v>ROADS,TRANSPORT AND PUBLIC WORKS</v>
      </c>
      <c r="N276" s="22" t="s">
        <v>119</v>
      </c>
      <c r="O276" s="22" t="s">
        <v>120</v>
      </c>
      <c r="P276" s="20" t="s">
        <v>121</v>
      </c>
      <c r="Q276" s="20" t="s">
        <v>121</v>
      </c>
      <c r="R276" s="30">
        <v>855000.0</v>
      </c>
      <c r="S276" s="30">
        <v>855000.0</v>
      </c>
      <c r="T276" s="30">
        <v>855000.0</v>
      </c>
      <c r="U276" s="20" t="s">
        <v>71</v>
      </c>
      <c r="V276" s="20"/>
      <c r="W276" s="30">
        <v>855000.0</v>
      </c>
      <c r="X276" s="20"/>
      <c r="Y276" s="30">
        <v>855000.0</v>
      </c>
      <c r="Z276" s="24">
        <f t="shared" si="3"/>
        <v>1</v>
      </c>
      <c r="AA276" s="23">
        <f t="shared" si="5"/>
        <v>855000</v>
      </c>
      <c r="AB276" s="20"/>
      <c r="AC276" s="25">
        <f t="shared" si="4"/>
        <v>0</v>
      </c>
      <c r="AD276" s="20" t="s">
        <v>72</v>
      </c>
      <c r="AE276" s="20"/>
      <c r="AF276" s="20"/>
      <c r="AG276" s="20"/>
      <c r="AH276" s="20"/>
      <c r="AI276" s="20"/>
      <c r="AJ276" s="20"/>
      <c r="AK276" s="20"/>
      <c r="AL276" s="20"/>
      <c r="AM276" s="20"/>
      <c r="AN276" s="20"/>
      <c r="AO276" s="20"/>
      <c r="AP276" s="20"/>
      <c r="AQ276" s="20"/>
      <c r="AR276" s="20"/>
      <c r="AS276" s="20"/>
      <c r="AT276" s="20"/>
    </row>
    <row r="277">
      <c r="A277" s="20">
        <v>275.0</v>
      </c>
      <c r="B277" s="29" t="s">
        <v>350</v>
      </c>
      <c r="C277" s="30"/>
      <c r="D277" s="20"/>
      <c r="E277" s="20"/>
      <c r="F277" s="20"/>
      <c r="G277" s="20"/>
      <c r="H277" s="33" t="s">
        <v>77</v>
      </c>
      <c r="I277" s="33" t="s">
        <v>77</v>
      </c>
      <c r="J277" s="21"/>
      <c r="K277" s="20" t="str">
        <f t="shared" si="1"/>
        <v>ROADS,TRANSPORT AND PUBLIC WORKS</v>
      </c>
      <c r="L277" s="20" t="s">
        <v>107</v>
      </c>
      <c r="M277" s="20" t="str">
        <f t="shared" si="2"/>
        <v>ROADS,TRANSPORT AND PUBLIC WORKS</v>
      </c>
      <c r="N277" s="22" t="s">
        <v>119</v>
      </c>
      <c r="O277" s="22" t="s">
        <v>120</v>
      </c>
      <c r="P277" s="20" t="s">
        <v>121</v>
      </c>
      <c r="Q277" s="20" t="s">
        <v>121</v>
      </c>
      <c r="R277" s="30">
        <v>855000.0</v>
      </c>
      <c r="S277" s="30">
        <v>855000.0</v>
      </c>
      <c r="T277" s="30">
        <v>855000.0</v>
      </c>
      <c r="U277" s="20" t="s">
        <v>71</v>
      </c>
      <c r="V277" s="20"/>
      <c r="W277" s="30">
        <v>855000.0</v>
      </c>
      <c r="X277" s="20"/>
      <c r="Y277" s="30">
        <v>855000.0</v>
      </c>
      <c r="Z277" s="24">
        <f t="shared" si="3"/>
        <v>1</v>
      </c>
      <c r="AA277" s="23">
        <f t="shared" si="5"/>
        <v>855000</v>
      </c>
      <c r="AB277" s="20"/>
      <c r="AC277" s="25">
        <f t="shared" si="4"/>
        <v>0</v>
      </c>
      <c r="AD277" s="20" t="s">
        <v>72</v>
      </c>
      <c r="AE277" s="20"/>
      <c r="AF277" s="20"/>
      <c r="AG277" s="20"/>
      <c r="AH277" s="20"/>
      <c r="AI277" s="20"/>
      <c r="AJ277" s="20"/>
      <c r="AK277" s="20"/>
      <c r="AL277" s="20"/>
      <c r="AM277" s="20"/>
      <c r="AN277" s="20"/>
      <c r="AO277" s="20"/>
      <c r="AP277" s="20"/>
      <c r="AQ277" s="20"/>
      <c r="AR277" s="20"/>
      <c r="AS277" s="20"/>
      <c r="AT277" s="20"/>
    </row>
    <row r="278">
      <c r="A278" s="20">
        <v>276.0</v>
      </c>
      <c r="B278" s="29" t="s">
        <v>351</v>
      </c>
      <c r="C278" s="30"/>
      <c r="D278" s="20"/>
      <c r="E278" s="20"/>
      <c r="F278" s="20"/>
      <c r="G278" s="20"/>
      <c r="H278" s="33" t="s">
        <v>81</v>
      </c>
      <c r="I278" s="33" t="s">
        <v>151</v>
      </c>
      <c r="J278" s="21"/>
      <c r="K278" s="20" t="str">
        <f t="shared" si="1"/>
        <v>ROADS,TRANSPORT AND PUBLIC WORKS</v>
      </c>
      <c r="L278" s="20" t="s">
        <v>107</v>
      </c>
      <c r="M278" s="20" t="str">
        <f t="shared" si="2"/>
        <v>ROADS,TRANSPORT AND PUBLIC WORKS</v>
      </c>
      <c r="N278" s="22" t="s">
        <v>119</v>
      </c>
      <c r="O278" s="22" t="s">
        <v>120</v>
      </c>
      <c r="P278" s="20" t="s">
        <v>121</v>
      </c>
      <c r="Q278" s="20" t="s">
        <v>121</v>
      </c>
      <c r="R278" s="30">
        <v>855000.0</v>
      </c>
      <c r="S278" s="30">
        <v>855000.0</v>
      </c>
      <c r="T278" s="30">
        <v>855000.0</v>
      </c>
      <c r="U278" s="20" t="s">
        <v>71</v>
      </c>
      <c r="V278" s="20"/>
      <c r="W278" s="30">
        <v>855000.0</v>
      </c>
      <c r="X278" s="20"/>
      <c r="Y278" s="30">
        <v>855000.0</v>
      </c>
      <c r="Z278" s="24">
        <f t="shared" si="3"/>
        <v>1</v>
      </c>
      <c r="AA278" s="23">
        <f t="shared" si="5"/>
        <v>855000</v>
      </c>
      <c r="AB278" s="20"/>
      <c r="AC278" s="25">
        <f t="shared" si="4"/>
        <v>0</v>
      </c>
      <c r="AD278" s="20" t="s">
        <v>72</v>
      </c>
      <c r="AE278" s="20"/>
      <c r="AF278" s="20"/>
      <c r="AG278" s="20"/>
      <c r="AH278" s="20"/>
      <c r="AI278" s="20"/>
      <c r="AJ278" s="20"/>
      <c r="AK278" s="20"/>
      <c r="AL278" s="20"/>
      <c r="AM278" s="20"/>
      <c r="AN278" s="20"/>
      <c r="AO278" s="20"/>
      <c r="AP278" s="20"/>
      <c r="AQ278" s="20"/>
      <c r="AR278" s="20"/>
      <c r="AS278" s="20"/>
      <c r="AT278" s="20"/>
    </row>
    <row r="279">
      <c r="A279" s="20">
        <v>277.0</v>
      </c>
      <c r="B279" s="29" t="s">
        <v>352</v>
      </c>
      <c r="C279" s="30"/>
      <c r="D279" s="20"/>
      <c r="E279" s="20"/>
      <c r="F279" s="20"/>
      <c r="G279" s="20"/>
      <c r="H279" s="33" t="s">
        <v>113</v>
      </c>
      <c r="I279" s="33" t="s">
        <v>353</v>
      </c>
      <c r="J279" s="21"/>
      <c r="K279" s="20" t="str">
        <f t="shared" si="1"/>
        <v>ROADS,TRANSPORT AND PUBLIC WORKS</v>
      </c>
      <c r="L279" s="20" t="s">
        <v>107</v>
      </c>
      <c r="M279" s="20" t="str">
        <f t="shared" si="2"/>
        <v>ROADS,TRANSPORT AND PUBLIC WORKS</v>
      </c>
      <c r="N279" s="22" t="s">
        <v>119</v>
      </c>
      <c r="O279" s="22" t="s">
        <v>120</v>
      </c>
      <c r="P279" s="20" t="s">
        <v>121</v>
      </c>
      <c r="Q279" s="20" t="s">
        <v>121</v>
      </c>
      <c r="R279" s="30">
        <v>855000.0</v>
      </c>
      <c r="S279" s="30">
        <v>855000.0</v>
      </c>
      <c r="T279" s="30">
        <v>855000.0</v>
      </c>
      <c r="U279" s="20" t="s">
        <v>71</v>
      </c>
      <c r="V279" s="20"/>
      <c r="W279" s="30">
        <v>855000.0</v>
      </c>
      <c r="X279" s="20"/>
      <c r="Y279" s="30">
        <v>855000.0</v>
      </c>
      <c r="Z279" s="24">
        <f t="shared" si="3"/>
        <v>1</v>
      </c>
      <c r="AA279" s="23">
        <f t="shared" si="5"/>
        <v>855000</v>
      </c>
      <c r="AB279" s="20"/>
      <c r="AC279" s="25">
        <f t="shared" si="4"/>
        <v>0</v>
      </c>
      <c r="AD279" s="20" t="s">
        <v>72</v>
      </c>
      <c r="AE279" s="20"/>
      <c r="AF279" s="20"/>
      <c r="AG279" s="20"/>
      <c r="AH279" s="20"/>
      <c r="AI279" s="20"/>
      <c r="AJ279" s="20"/>
      <c r="AK279" s="20"/>
      <c r="AL279" s="20"/>
      <c r="AM279" s="20"/>
      <c r="AN279" s="20"/>
      <c r="AO279" s="20"/>
      <c r="AP279" s="20"/>
      <c r="AQ279" s="20"/>
      <c r="AR279" s="20"/>
      <c r="AS279" s="20"/>
      <c r="AT279" s="20"/>
    </row>
    <row r="280">
      <c r="A280" s="20">
        <v>278.0</v>
      </c>
      <c r="B280" s="29" t="s">
        <v>354</v>
      </c>
      <c r="C280" s="30"/>
      <c r="D280" s="20"/>
      <c r="E280" s="20"/>
      <c r="F280" s="20"/>
      <c r="G280" s="20"/>
      <c r="H280" s="33" t="s">
        <v>104</v>
      </c>
      <c r="I280" s="33" t="s">
        <v>199</v>
      </c>
      <c r="J280" s="21"/>
      <c r="K280" s="20" t="str">
        <f t="shared" si="1"/>
        <v>ROADS,TRANSPORT AND PUBLIC WORKS</v>
      </c>
      <c r="L280" s="20" t="s">
        <v>107</v>
      </c>
      <c r="M280" s="20" t="str">
        <f t="shared" si="2"/>
        <v>ROADS,TRANSPORT AND PUBLIC WORKS</v>
      </c>
      <c r="N280" s="22" t="s">
        <v>119</v>
      </c>
      <c r="O280" s="22" t="s">
        <v>120</v>
      </c>
      <c r="P280" s="20" t="s">
        <v>121</v>
      </c>
      <c r="Q280" s="20" t="s">
        <v>121</v>
      </c>
      <c r="R280" s="30">
        <v>950000.0</v>
      </c>
      <c r="S280" s="30">
        <v>950000.0</v>
      </c>
      <c r="T280" s="30">
        <v>950000.0</v>
      </c>
      <c r="U280" s="20" t="s">
        <v>71</v>
      </c>
      <c r="V280" s="20"/>
      <c r="W280" s="30">
        <v>950000.0</v>
      </c>
      <c r="X280" s="20"/>
      <c r="Y280" s="30">
        <v>950000.0</v>
      </c>
      <c r="Z280" s="24">
        <f t="shared" si="3"/>
        <v>1</v>
      </c>
      <c r="AA280" s="23">
        <f t="shared" si="5"/>
        <v>950000</v>
      </c>
      <c r="AB280" s="20"/>
      <c r="AC280" s="25">
        <f t="shared" si="4"/>
        <v>0</v>
      </c>
      <c r="AD280" s="20" t="s">
        <v>72</v>
      </c>
      <c r="AE280" s="20"/>
      <c r="AF280" s="20"/>
      <c r="AG280" s="20"/>
      <c r="AH280" s="20"/>
      <c r="AI280" s="20"/>
      <c r="AJ280" s="20"/>
      <c r="AK280" s="20"/>
      <c r="AL280" s="20"/>
      <c r="AM280" s="20"/>
      <c r="AN280" s="20"/>
      <c r="AO280" s="20"/>
      <c r="AP280" s="20"/>
      <c r="AQ280" s="20"/>
      <c r="AR280" s="20"/>
      <c r="AS280" s="20"/>
      <c r="AT280" s="20"/>
    </row>
    <row r="281">
      <c r="A281" s="20">
        <v>279.0</v>
      </c>
      <c r="B281" s="29" t="s">
        <v>355</v>
      </c>
      <c r="C281" s="30"/>
      <c r="D281" s="20"/>
      <c r="E281" s="20"/>
      <c r="F281" s="20"/>
      <c r="G281" s="20"/>
      <c r="H281" s="33" t="s">
        <v>160</v>
      </c>
      <c r="I281" s="33" t="s">
        <v>356</v>
      </c>
      <c r="J281" s="21"/>
      <c r="K281" s="20" t="str">
        <f t="shared" si="1"/>
        <v>ROADS,TRANSPORT AND PUBLIC WORKS</v>
      </c>
      <c r="L281" s="20" t="s">
        <v>107</v>
      </c>
      <c r="M281" s="20" t="str">
        <f t="shared" si="2"/>
        <v>ROADS,TRANSPORT AND PUBLIC WORKS</v>
      </c>
      <c r="N281" s="22" t="s">
        <v>119</v>
      </c>
      <c r="O281" s="22" t="s">
        <v>120</v>
      </c>
      <c r="P281" s="20" t="s">
        <v>121</v>
      </c>
      <c r="Q281" s="20" t="s">
        <v>121</v>
      </c>
      <c r="R281" s="30">
        <v>1140000.0</v>
      </c>
      <c r="S281" s="30">
        <v>1140000.0</v>
      </c>
      <c r="T281" s="30">
        <v>1140000.0</v>
      </c>
      <c r="U281" s="20" t="s">
        <v>71</v>
      </c>
      <c r="V281" s="20"/>
      <c r="W281" s="30">
        <v>1140000.0</v>
      </c>
      <c r="X281" s="20"/>
      <c r="Y281" s="30">
        <v>1140000.0</v>
      </c>
      <c r="Z281" s="24">
        <f t="shared" si="3"/>
        <v>1</v>
      </c>
      <c r="AA281" s="23">
        <f t="shared" si="5"/>
        <v>1140000</v>
      </c>
      <c r="AB281" s="20"/>
      <c r="AC281" s="25">
        <f t="shared" si="4"/>
        <v>0</v>
      </c>
      <c r="AD281" s="20" t="s">
        <v>72</v>
      </c>
      <c r="AE281" s="20"/>
      <c r="AF281" s="20"/>
      <c r="AG281" s="20"/>
      <c r="AH281" s="20"/>
      <c r="AI281" s="20"/>
      <c r="AJ281" s="20"/>
      <c r="AK281" s="20"/>
      <c r="AL281" s="20"/>
      <c r="AM281" s="20"/>
      <c r="AN281" s="20"/>
      <c r="AO281" s="20"/>
      <c r="AP281" s="20"/>
      <c r="AQ281" s="20"/>
      <c r="AR281" s="20"/>
      <c r="AS281" s="20"/>
      <c r="AT281" s="20"/>
    </row>
    <row r="282">
      <c r="A282" s="20">
        <v>280.0</v>
      </c>
      <c r="B282" s="29" t="s">
        <v>357</v>
      </c>
      <c r="C282" s="30"/>
      <c r="D282" s="20"/>
      <c r="E282" s="20"/>
      <c r="F282" s="20"/>
      <c r="G282" s="20"/>
      <c r="H282" s="33" t="s">
        <v>160</v>
      </c>
      <c r="I282" s="33" t="s">
        <v>191</v>
      </c>
      <c r="J282" s="21"/>
      <c r="K282" s="20" t="str">
        <f t="shared" si="1"/>
        <v>ROADS,TRANSPORT AND PUBLIC WORKS</v>
      </c>
      <c r="L282" s="20" t="s">
        <v>107</v>
      </c>
      <c r="M282" s="20" t="str">
        <f t="shared" si="2"/>
        <v>ROADS,TRANSPORT AND PUBLIC WORKS</v>
      </c>
      <c r="N282" s="22" t="s">
        <v>119</v>
      </c>
      <c r="O282" s="22" t="s">
        <v>120</v>
      </c>
      <c r="P282" s="20" t="s">
        <v>121</v>
      </c>
      <c r="Q282" s="20" t="s">
        <v>121</v>
      </c>
      <c r="R282" s="30">
        <v>1140000.0</v>
      </c>
      <c r="S282" s="30">
        <v>1140000.0</v>
      </c>
      <c r="T282" s="30">
        <v>1140000.0</v>
      </c>
      <c r="U282" s="20" t="s">
        <v>71</v>
      </c>
      <c r="V282" s="20"/>
      <c r="W282" s="30">
        <v>1140000.0</v>
      </c>
      <c r="X282" s="20"/>
      <c r="Y282" s="30">
        <v>1140000.0</v>
      </c>
      <c r="Z282" s="24">
        <f t="shared" si="3"/>
        <v>1</v>
      </c>
      <c r="AA282" s="23">
        <f t="shared" si="5"/>
        <v>1140000</v>
      </c>
      <c r="AB282" s="20"/>
      <c r="AC282" s="25">
        <f t="shared" si="4"/>
        <v>0</v>
      </c>
      <c r="AD282" s="20" t="s">
        <v>72</v>
      </c>
      <c r="AE282" s="20"/>
      <c r="AF282" s="20"/>
      <c r="AG282" s="20"/>
      <c r="AH282" s="20"/>
      <c r="AI282" s="20"/>
      <c r="AJ282" s="20"/>
      <c r="AK282" s="20"/>
      <c r="AL282" s="20"/>
      <c r="AM282" s="20"/>
      <c r="AN282" s="20"/>
      <c r="AO282" s="20"/>
      <c r="AP282" s="20"/>
      <c r="AQ282" s="20"/>
      <c r="AR282" s="20"/>
      <c r="AS282" s="20"/>
      <c r="AT282" s="20"/>
    </row>
    <row r="283">
      <c r="A283" s="20">
        <v>281.0</v>
      </c>
      <c r="B283" s="29" t="s">
        <v>358</v>
      </c>
      <c r="C283" s="30"/>
      <c r="D283" s="20"/>
      <c r="E283" s="20"/>
      <c r="F283" s="20"/>
      <c r="G283" s="20"/>
      <c r="H283" s="33" t="s">
        <v>104</v>
      </c>
      <c r="I283" s="33" t="s">
        <v>165</v>
      </c>
      <c r="J283" s="21"/>
      <c r="K283" s="20" t="str">
        <f t="shared" si="1"/>
        <v>ROADS,TRANSPORT AND PUBLIC WORKS</v>
      </c>
      <c r="L283" s="20" t="s">
        <v>107</v>
      </c>
      <c r="M283" s="20" t="str">
        <f t="shared" si="2"/>
        <v>ROADS,TRANSPORT AND PUBLIC WORKS</v>
      </c>
      <c r="N283" s="22" t="s">
        <v>119</v>
      </c>
      <c r="O283" s="22" t="s">
        <v>120</v>
      </c>
      <c r="P283" s="20" t="s">
        <v>121</v>
      </c>
      <c r="Q283" s="20" t="s">
        <v>121</v>
      </c>
      <c r="R283" s="30">
        <v>1425000.0</v>
      </c>
      <c r="S283" s="30">
        <v>1425000.0</v>
      </c>
      <c r="T283" s="30">
        <v>1425000.0</v>
      </c>
      <c r="U283" s="20" t="s">
        <v>71</v>
      </c>
      <c r="V283" s="20"/>
      <c r="W283" s="30">
        <v>1425000.0</v>
      </c>
      <c r="X283" s="20"/>
      <c r="Y283" s="30">
        <v>1425000.0</v>
      </c>
      <c r="Z283" s="24">
        <f t="shared" si="3"/>
        <v>1</v>
      </c>
      <c r="AA283" s="23">
        <f t="shared" si="5"/>
        <v>1425000</v>
      </c>
      <c r="AB283" s="20"/>
      <c r="AC283" s="25">
        <f t="shared" si="4"/>
        <v>0</v>
      </c>
      <c r="AD283" s="20" t="s">
        <v>72</v>
      </c>
      <c r="AE283" s="20"/>
      <c r="AF283" s="20"/>
      <c r="AG283" s="20"/>
      <c r="AH283" s="20"/>
      <c r="AI283" s="20"/>
      <c r="AJ283" s="20"/>
      <c r="AK283" s="20"/>
      <c r="AL283" s="20"/>
      <c r="AM283" s="20"/>
      <c r="AN283" s="20"/>
      <c r="AO283" s="20"/>
      <c r="AP283" s="20"/>
      <c r="AQ283" s="20"/>
      <c r="AR283" s="20"/>
      <c r="AS283" s="20"/>
      <c r="AT283" s="20"/>
    </row>
    <row r="284">
      <c r="A284" s="20">
        <v>282.0</v>
      </c>
      <c r="B284" s="29" t="s">
        <v>328</v>
      </c>
      <c r="C284" s="30"/>
      <c r="D284" s="20"/>
      <c r="E284" s="20"/>
      <c r="F284" s="20"/>
      <c r="G284" s="20"/>
      <c r="H284" s="33" t="s">
        <v>65</v>
      </c>
      <c r="I284" s="33" t="s">
        <v>66</v>
      </c>
      <c r="J284" s="21"/>
      <c r="K284" s="20" t="str">
        <f t="shared" si="1"/>
        <v>ROADS,TRANSPORT AND PUBLIC WORKS</v>
      </c>
      <c r="L284" s="20" t="s">
        <v>107</v>
      </c>
      <c r="M284" s="20" t="str">
        <f t="shared" si="2"/>
        <v>ROADS,TRANSPORT AND PUBLIC WORKS</v>
      </c>
      <c r="N284" s="22" t="s">
        <v>119</v>
      </c>
      <c r="O284" s="22" t="s">
        <v>120</v>
      </c>
      <c r="P284" s="20" t="s">
        <v>121</v>
      </c>
      <c r="Q284" s="20" t="s">
        <v>121</v>
      </c>
      <c r="R284" s="30">
        <v>1900000.0</v>
      </c>
      <c r="S284" s="30">
        <v>1900000.0</v>
      </c>
      <c r="T284" s="30">
        <v>1900000.0</v>
      </c>
      <c r="U284" s="20" t="s">
        <v>71</v>
      </c>
      <c r="V284" s="20"/>
      <c r="W284" s="30">
        <v>1900000.0</v>
      </c>
      <c r="X284" s="20"/>
      <c r="Y284" s="30">
        <v>1900000.0</v>
      </c>
      <c r="Z284" s="24">
        <f t="shared" si="3"/>
        <v>1</v>
      </c>
      <c r="AA284" s="23">
        <f t="shared" si="5"/>
        <v>1900000</v>
      </c>
      <c r="AB284" s="20"/>
      <c r="AC284" s="25">
        <f t="shared" si="4"/>
        <v>0</v>
      </c>
      <c r="AD284" s="20" t="s">
        <v>72</v>
      </c>
      <c r="AE284" s="20"/>
      <c r="AF284" s="20"/>
      <c r="AG284" s="20"/>
      <c r="AH284" s="20"/>
      <c r="AI284" s="20"/>
      <c r="AJ284" s="20"/>
      <c r="AK284" s="20"/>
      <c r="AL284" s="20"/>
      <c r="AM284" s="20"/>
      <c r="AN284" s="20"/>
      <c r="AO284" s="20"/>
      <c r="AP284" s="20"/>
      <c r="AQ284" s="20"/>
      <c r="AR284" s="20"/>
      <c r="AS284" s="20"/>
      <c r="AT284" s="20"/>
    </row>
    <row r="285">
      <c r="A285" s="20">
        <v>283.0</v>
      </c>
      <c r="B285" s="29" t="s">
        <v>359</v>
      </c>
      <c r="C285" s="30"/>
      <c r="D285" s="20"/>
      <c r="E285" s="20"/>
      <c r="F285" s="20"/>
      <c r="G285" s="20"/>
      <c r="H285" s="33" t="s">
        <v>65</v>
      </c>
      <c r="I285" s="33" t="s">
        <v>74</v>
      </c>
      <c r="J285" s="21"/>
      <c r="K285" s="20" t="str">
        <f t="shared" si="1"/>
        <v>EDUCATION,INFORMATION AND ICT</v>
      </c>
      <c r="L285" s="20" t="s">
        <v>84</v>
      </c>
      <c r="M285" s="20" t="str">
        <f t="shared" si="2"/>
        <v>EDUCATION,INFORMATION AND ICT</v>
      </c>
      <c r="N285" s="22" t="s">
        <v>119</v>
      </c>
      <c r="O285" s="22" t="s">
        <v>120</v>
      </c>
      <c r="P285" s="20" t="s">
        <v>121</v>
      </c>
      <c r="Q285" s="20" t="s">
        <v>121</v>
      </c>
      <c r="R285" s="30">
        <v>1900000.0</v>
      </c>
      <c r="S285" s="30">
        <v>1900000.0</v>
      </c>
      <c r="T285" s="30">
        <v>1900000.0</v>
      </c>
      <c r="U285" s="20" t="s">
        <v>71</v>
      </c>
      <c r="V285" s="20"/>
      <c r="W285" s="30">
        <v>1900000.0</v>
      </c>
      <c r="X285" s="20"/>
      <c r="Y285" s="30">
        <v>1900000.0</v>
      </c>
      <c r="Z285" s="24">
        <f t="shared" si="3"/>
        <v>1</v>
      </c>
      <c r="AA285" s="23">
        <f t="shared" si="5"/>
        <v>1900000</v>
      </c>
      <c r="AB285" s="20"/>
      <c r="AC285" s="25">
        <f t="shared" si="4"/>
        <v>0</v>
      </c>
      <c r="AD285" s="20" t="s">
        <v>72</v>
      </c>
      <c r="AE285" s="20"/>
      <c r="AF285" s="20"/>
      <c r="AG285" s="20"/>
      <c r="AH285" s="20"/>
      <c r="AI285" s="20"/>
      <c r="AJ285" s="20"/>
      <c r="AK285" s="20"/>
      <c r="AL285" s="20"/>
      <c r="AM285" s="20"/>
      <c r="AN285" s="20"/>
      <c r="AO285" s="20"/>
      <c r="AP285" s="20"/>
      <c r="AQ285" s="20"/>
      <c r="AR285" s="20"/>
      <c r="AS285" s="20"/>
      <c r="AT285" s="20"/>
    </row>
    <row r="286">
      <c r="A286" s="20">
        <v>284.0</v>
      </c>
      <c r="B286" s="29" t="s">
        <v>360</v>
      </c>
      <c r="C286" s="30"/>
      <c r="D286" s="20"/>
      <c r="E286" s="20"/>
      <c r="F286" s="20"/>
      <c r="G286" s="20"/>
      <c r="H286" s="33" t="s">
        <v>81</v>
      </c>
      <c r="I286" s="33" t="s">
        <v>151</v>
      </c>
      <c r="J286" s="21"/>
      <c r="K286" s="20" t="str">
        <f t="shared" si="1"/>
        <v>ROADS,TRANSPORT AND PUBLIC WORKS</v>
      </c>
      <c r="L286" s="20" t="s">
        <v>107</v>
      </c>
      <c r="M286" s="20" t="str">
        <f t="shared" si="2"/>
        <v>ROADS,TRANSPORT AND PUBLIC WORKS</v>
      </c>
      <c r="N286" s="22" t="s">
        <v>119</v>
      </c>
      <c r="O286" s="22" t="s">
        <v>120</v>
      </c>
      <c r="P286" s="20" t="s">
        <v>121</v>
      </c>
      <c r="Q286" s="20" t="s">
        <v>121</v>
      </c>
      <c r="R286" s="30">
        <v>1900000.0</v>
      </c>
      <c r="S286" s="30">
        <v>1900000.0</v>
      </c>
      <c r="T286" s="30">
        <v>1900000.0</v>
      </c>
      <c r="U286" s="20" t="s">
        <v>71</v>
      </c>
      <c r="V286" s="20"/>
      <c r="W286" s="30">
        <v>1900000.0</v>
      </c>
      <c r="X286" s="20"/>
      <c r="Y286" s="30">
        <v>1900000.0</v>
      </c>
      <c r="Z286" s="24">
        <f t="shared" si="3"/>
        <v>1</v>
      </c>
      <c r="AA286" s="23">
        <f t="shared" si="5"/>
        <v>1900000</v>
      </c>
      <c r="AB286" s="20"/>
      <c r="AC286" s="25">
        <f t="shared" si="4"/>
        <v>0</v>
      </c>
      <c r="AD286" s="20" t="s">
        <v>72</v>
      </c>
      <c r="AE286" s="20"/>
      <c r="AF286" s="20"/>
      <c r="AG286" s="20"/>
      <c r="AH286" s="20"/>
      <c r="AI286" s="20"/>
      <c r="AJ286" s="20"/>
      <c r="AK286" s="20"/>
      <c r="AL286" s="20"/>
      <c r="AM286" s="20"/>
      <c r="AN286" s="20"/>
      <c r="AO286" s="20"/>
      <c r="AP286" s="20"/>
      <c r="AQ286" s="20"/>
      <c r="AR286" s="20"/>
      <c r="AS286" s="20"/>
      <c r="AT286" s="20"/>
    </row>
    <row r="287">
      <c r="A287" s="20">
        <v>285.0</v>
      </c>
      <c r="B287" s="29" t="s">
        <v>361</v>
      </c>
      <c r="C287" s="30"/>
      <c r="D287" s="20"/>
      <c r="E287" s="20"/>
      <c r="F287" s="20"/>
      <c r="G287" s="20"/>
      <c r="H287" s="33" t="s">
        <v>160</v>
      </c>
      <c r="I287" s="33" t="s">
        <v>207</v>
      </c>
      <c r="J287" s="21"/>
      <c r="K287" s="20" t="str">
        <f t="shared" si="1"/>
        <v>ROADS,TRANSPORT AND PUBLIC WORKS</v>
      </c>
      <c r="L287" s="20" t="s">
        <v>107</v>
      </c>
      <c r="M287" s="20" t="str">
        <f t="shared" si="2"/>
        <v>ROADS,TRANSPORT AND PUBLIC WORKS</v>
      </c>
      <c r="N287" s="22" t="s">
        <v>119</v>
      </c>
      <c r="O287" s="22" t="s">
        <v>120</v>
      </c>
      <c r="P287" s="20" t="s">
        <v>121</v>
      </c>
      <c r="Q287" s="20" t="s">
        <v>121</v>
      </c>
      <c r="R287" s="30">
        <v>2090000.0</v>
      </c>
      <c r="S287" s="30">
        <v>2090000.0</v>
      </c>
      <c r="T287" s="30">
        <v>2090000.0</v>
      </c>
      <c r="U287" s="20" t="s">
        <v>71</v>
      </c>
      <c r="V287" s="20"/>
      <c r="W287" s="30">
        <v>2090000.0</v>
      </c>
      <c r="X287" s="20"/>
      <c r="Y287" s="30">
        <v>2090000.0</v>
      </c>
      <c r="Z287" s="24">
        <f t="shared" si="3"/>
        <v>1</v>
      </c>
      <c r="AA287" s="23">
        <f t="shared" si="5"/>
        <v>2090000</v>
      </c>
      <c r="AB287" s="20"/>
      <c r="AC287" s="25">
        <f t="shared" si="4"/>
        <v>0</v>
      </c>
      <c r="AD287" s="20" t="s">
        <v>72</v>
      </c>
      <c r="AE287" s="20"/>
      <c r="AF287" s="20"/>
      <c r="AG287" s="20"/>
      <c r="AH287" s="20"/>
      <c r="AI287" s="20"/>
      <c r="AJ287" s="20"/>
      <c r="AK287" s="20"/>
      <c r="AL287" s="20"/>
      <c r="AM287" s="20"/>
      <c r="AN287" s="20"/>
      <c r="AO287" s="20"/>
      <c r="AP287" s="20"/>
      <c r="AQ287" s="20"/>
      <c r="AR287" s="20"/>
      <c r="AS287" s="20"/>
      <c r="AT287" s="20"/>
    </row>
    <row r="288">
      <c r="A288" s="20">
        <v>286.0</v>
      </c>
      <c r="B288" s="29" t="s">
        <v>305</v>
      </c>
      <c r="C288" s="30"/>
      <c r="D288" s="20"/>
      <c r="E288" s="20"/>
      <c r="F288" s="20"/>
      <c r="G288" s="20"/>
      <c r="H288" s="33" t="s">
        <v>65</v>
      </c>
      <c r="I288" s="33" t="s">
        <v>66</v>
      </c>
      <c r="J288" s="21"/>
      <c r="K288" s="20" t="str">
        <f t="shared" si="1"/>
        <v>ROADS,TRANSPORT AND PUBLIC WORKS</v>
      </c>
      <c r="L288" s="20" t="s">
        <v>107</v>
      </c>
      <c r="M288" s="20" t="str">
        <f t="shared" si="2"/>
        <v>ROADS,TRANSPORT AND PUBLIC WORKS</v>
      </c>
      <c r="N288" s="22" t="s">
        <v>119</v>
      </c>
      <c r="O288" s="22" t="s">
        <v>120</v>
      </c>
      <c r="P288" s="20" t="s">
        <v>121</v>
      </c>
      <c r="Q288" s="20" t="s">
        <v>121</v>
      </c>
      <c r="R288" s="30">
        <v>2090000.0</v>
      </c>
      <c r="S288" s="30">
        <v>2090000.0</v>
      </c>
      <c r="T288" s="30">
        <v>2090000.0</v>
      </c>
      <c r="U288" s="20" t="s">
        <v>71</v>
      </c>
      <c r="V288" s="20"/>
      <c r="W288" s="30">
        <v>2090000.0</v>
      </c>
      <c r="X288" s="20"/>
      <c r="Y288" s="30">
        <v>2090000.0</v>
      </c>
      <c r="Z288" s="24">
        <f t="shared" si="3"/>
        <v>1</v>
      </c>
      <c r="AA288" s="23">
        <f t="shared" si="5"/>
        <v>2090000</v>
      </c>
      <c r="AB288" s="20"/>
      <c r="AC288" s="25">
        <f t="shared" si="4"/>
        <v>0</v>
      </c>
      <c r="AD288" s="20" t="s">
        <v>72</v>
      </c>
      <c r="AE288" s="20"/>
      <c r="AF288" s="20"/>
      <c r="AG288" s="20"/>
      <c r="AH288" s="20"/>
      <c r="AI288" s="20"/>
      <c r="AJ288" s="20"/>
      <c r="AK288" s="20"/>
      <c r="AL288" s="20"/>
      <c r="AM288" s="20"/>
      <c r="AN288" s="20"/>
      <c r="AO288" s="20"/>
      <c r="AP288" s="20"/>
      <c r="AQ288" s="20"/>
      <c r="AR288" s="20"/>
      <c r="AS288" s="20"/>
      <c r="AT288" s="20"/>
    </row>
    <row r="289">
      <c r="A289" s="20">
        <v>287.0</v>
      </c>
      <c r="B289" s="29" t="s">
        <v>362</v>
      </c>
      <c r="C289" s="30"/>
      <c r="D289" s="20"/>
      <c r="E289" s="20"/>
      <c r="F289" s="20"/>
      <c r="G289" s="20"/>
      <c r="H289" s="33" t="s">
        <v>65</v>
      </c>
      <c r="I289" s="33" t="s">
        <v>66</v>
      </c>
      <c r="J289" s="21"/>
      <c r="K289" s="20" t="str">
        <f t="shared" si="1"/>
        <v>ROADS,TRANSPORT AND PUBLIC WORKS</v>
      </c>
      <c r="L289" s="20" t="s">
        <v>107</v>
      </c>
      <c r="M289" s="20" t="str">
        <f t="shared" si="2"/>
        <v>ROADS,TRANSPORT AND PUBLIC WORKS</v>
      </c>
      <c r="N289" s="22" t="s">
        <v>119</v>
      </c>
      <c r="O289" s="22" t="s">
        <v>120</v>
      </c>
      <c r="P289" s="20" t="s">
        <v>121</v>
      </c>
      <c r="Q289" s="20" t="s">
        <v>121</v>
      </c>
      <c r="R289" s="30">
        <v>2090000.0</v>
      </c>
      <c r="S289" s="30">
        <v>2090000.0</v>
      </c>
      <c r="T289" s="30">
        <v>2090000.0</v>
      </c>
      <c r="U289" s="20" t="s">
        <v>71</v>
      </c>
      <c r="V289" s="20"/>
      <c r="W289" s="30">
        <v>2090000.0</v>
      </c>
      <c r="X289" s="20"/>
      <c r="Y289" s="30">
        <v>2090000.0</v>
      </c>
      <c r="Z289" s="24">
        <f t="shared" si="3"/>
        <v>1</v>
      </c>
      <c r="AA289" s="23">
        <f t="shared" si="5"/>
        <v>2090000</v>
      </c>
      <c r="AB289" s="20"/>
      <c r="AC289" s="25">
        <f t="shared" si="4"/>
        <v>0</v>
      </c>
      <c r="AD289" s="20" t="s">
        <v>72</v>
      </c>
      <c r="AE289" s="20"/>
      <c r="AF289" s="20"/>
      <c r="AG289" s="20"/>
      <c r="AH289" s="20"/>
      <c r="AI289" s="20"/>
      <c r="AJ289" s="20"/>
      <c r="AK289" s="20"/>
      <c r="AL289" s="20"/>
      <c r="AM289" s="20"/>
      <c r="AN289" s="20"/>
      <c r="AO289" s="20"/>
      <c r="AP289" s="20"/>
      <c r="AQ289" s="20"/>
      <c r="AR289" s="20"/>
      <c r="AS289" s="20"/>
      <c r="AT289" s="20"/>
    </row>
    <row r="290">
      <c r="A290" s="20">
        <v>288.0</v>
      </c>
      <c r="B290" s="29" t="s">
        <v>363</v>
      </c>
      <c r="C290" s="30"/>
      <c r="D290" s="20"/>
      <c r="E290" s="20"/>
      <c r="F290" s="20"/>
      <c r="G290" s="20"/>
      <c r="H290" s="33" t="s">
        <v>104</v>
      </c>
      <c r="I290" s="33" t="s">
        <v>182</v>
      </c>
      <c r="J290" s="21"/>
      <c r="K290" s="20" t="str">
        <f t="shared" si="1"/>
        <v>ROADS,TRANSPORT AND PUBLIC WORKS</v>
      </c>
      <c r="L290" s="20" t="s">
        <v>107</v>
      </c>
      <c r="M290" s="20" t="str">
        <f t="shared" si="2"/>
        <v>ROADS,TRANSPORT AND PUBLIC WORKS</v>
      </c>
      <c r="N290" s="22" t="s">
        <v>119</v>
      </c>
      <c r="O290" s="22" t="s">
        <v>120</v>
      </c>
      <c r="P290" s="20" t="s">
        <v>121</v>
      </c>
      <c r="Q290" s="20" t="s">
        <v>121</v>
      </c>
      <c r="R290" s="30">
        <v>2090000.0</v>
      </c>
      <c r="S290" s="30">
        <v>2090000.0</v>
      </c>
      <c r="T290" s="30">
        <v>2090000.0</v>
      </c>
      <c r="U290" s="20" t="s">
        <v>71</v>
      </c>
      <c r="V290" s="20"/>
      <c r="W290" s="30">
        <v>2090000.0</v>
      </c>
      <c r="X290" s="20"/>
      <c r="Y290" s="30">
        <v>2090000.0</v>
      </c>
      <c r="Z290" s="24">
        <f t="shared" si="3"/>
        <v>1</v>
      </c>
      <c r="AA290" s="23">
        <f t="shared" si="5"/>
        <v>2090000</v>
      </c>
      <c r="AB290" s="20"/>
      <c r="AC290" s="25">
        <f t="shared" si="4"/>
        <v>0</v>
      </c>
      <c r="AD290" s="20" t="s">
        <v>72</v>
      </c>
      <c r="AE290" s="20"/>
      <c r="AF290" s="20"/>
      <c r="AG290" s="20"/>
      <c r="AH290" s="20"/>
      <c r="AI290" s="20"/>
      <c r="AJ290" s="20"/>
      <c r="AK290" s="20"/>
      <c r="AL290" s="20"/>
      <c r="AM290" s="20"/>
      <c r="AN290" s="20"/>
      <c r="AO290" s="20"/>
      <c r="AP290" s="20"/>
      <c r="AQ290" s="20"/>
      <c r="AR290" s="20"/>
      <c r="AS290" s="20"/>
      <c r="AT290" s="20"/>
    </row>
    <row r="291">
      <c r="A291" s="20">
        <v>289.0</v>
      </c>
      <c r="B291" s="29" t="s">
        <v>364</v>
      </c>
      <c r="C291" s="30"/>
      <c r="D291" s="20"/>
      <c r="E291" s="20"/>
      <c r="F291" s="20"/>
      <c r="G291" s="20"/>
      <c r="H291" s="33" t="s">
        <v>104</v>
      </c>
      <c r="I291" s="33" t="s">
        <v>104</v>
      </c>
      <c r="J291" s="21"/>
      <c r="K291" s="20" t="str">
        <f t="shared" si="1"/>
        <v>ROADS,TRANSPORT AND PUBLIC WORKS</v>
      </c>
      <c r="L291" s="20" t="s">
        <v>107</v>
      </c>
      <c r="M291" s="20" t="str">
        <f t="shared" si="2"/>
        <v>ROADS,TRANSPORT AND PUBLIC WORKS</v>
      </c>
      <c r="N291" s="22" t="s">
        <v>119</v>
      </c>
      <c r="O291" s="22" t="s">
        <v>120</v>
      </c>
      <c r="P291" s="20" t="s">
        <v>121</v>
      </c>
      <c r="Q291" s="20" t="s">
        <v>121</v>
      </c>
      <c r="R291" s="30">
        <v>2090000.0</v>
      </c>
      <c r="S291" s="30">
        <v>2090000.0</v>
      </c>
      <c r="T291" s="30">
        <v>2090000.0</v>
      </c>
      <c r="U291" s="20" t="s">
        <v>71</v>
      </c>
      <c r="V291" s="20"/>
      <c r="W291" s="30">
        <v>2090000.0</v>
      </c>
      <c r="X291" s="20"/>
      <c r="Y291" s="30">
        <v>2090000.0</v>
      </c>
      <c r="Z291" s="24">
        <f t="shared" si="3"/>
        <v>1</v>
      </c>
      <c r="AA291" s="23">
        <f t="shared" si="5"/>
        <v>2090000</v>
      </c>
      <c r="AB291" s="20"/>
      <c r="AC291" s="25">
        <f t="shared" si="4"/>
        <v>0</v>
      </c>
      <c r="AD291" s="20" t="s">
        <v>72</v>
      </c>
      <c r="AE291" s="20"/>
      <c r="AF291" s="20"/>
      <c r="AG291" s="20"/>
      <c r="AH291" s="20"/>
      <c r="AI291" s="20"/>
      <c r="AJ291" s="20"/>
      <c r="AK291" s="20"/>
      <c r="AL291" s="20"/>
      <c r="AM291" s="20"/>
      <c r="AN291" s="20"/>
      <c r="AO291" s="20"/>
      <c r="AP291" s="20"/>
      <c r="AQ291" s="20"/>
      <c r="AR291" s="20"/>
      <c r="AS291" s="20"/>
      <c r="AT291" s="20"/>
    </row>
    <row r="292">
      <c r="A292" s="20">
        <v>290.0</v>
      </c>
      <c r="B292" s="29" t="s">
        <v>365</v>
      </c>
      <c r="C292" s="30"/>
      <c r="D292" s="20"/>
      <c r="E292" s="20"/>
      <c r="F292" s="20"/>
      <c r="G292" s="20"/>
      <c r="H292" s="33" t="s">
        <v>65</v>
      </c>
      <c r="I292" s="33" t="s">
        <v>66</v>
      </c>
      <c r="J292" s="21"/>
      <c r="K292" s="20" t="str">
        <f t="shared" si="1"/>
        <v>ROADS,TRANSPORT AND PUBLIC WORKS</v>
      </c>
      <c r="L292" s="20" t="s">
        <v>107</v>
      </c>
      <c r="M292" s="20" t="str">
        <f t="shared" si="2"/>
        <v>ROADS,TRANSPORT AND PUBLIC WORKS</v>
      </c>
      <c r="N292" s="22" t="s">
        <v>119</v>
      </c>
      <c r="O292" s="22" t="s">
        <v>120</v>
      </c>
      <c r="P292" s="20" t="s">
        <v>121</v>
      </c>
      <c r="Q292" s="20" t="s">
        <v>121</v>
      </c>
      <c r="R292" s="30">
        <v>2090000.0</v>
      </c>
      <c r="S292" s="30">
        <v>2090000.0</v>
      </c>
      <c r="T292" s="30">
        <v>2090000.0</v>
      </c>
      <c r="U292" s="20" t="s">
        <v>71</v>
      </c>
      <c r="V292" s="20"/>
      <c r="W292" s="30">
        <v>2090000.0</v>
      </c>
      <c r="X292" s="20"/>
      <c r="Y292" s="30">
        <v>2090000.0</v>
      </c>
      <c r="Z292" s="24">
        <f t="shared" si="3"/>
        <v>1</v>
      </c>
      <c r="AA292" s="23">
        <f t="shared" si="5"/>
        <v>2090000</v>
      </c>
      <c r="AB292" s="20"/>
      <c r="AC292" s="25">
        <f t="shared" si="4"/>
        <v>0</v>
      </c>
      <c r="AD292" s="20" t="s">
        <v>72</v>
      </c>
      <c r="AE292" s="20"/>
      <c r="AF292" s="20"/>
      <c r="AG292" s="20"/>
      <c r="AH292" s="20"/>
      <c r="AI292" s="20"/>
      <c r="AJ292" s="20"/>
      <c r="AK292" s="20"/>
      <c r="AL292" s="20"/>
      <c r="AM292" s="20"/>
      <c r="AN292" s="20"/>
      <c r="AO292" s="20"/>
      <c r="AP292" s="20"/>
      <c r="AQ292" s="20"/>
      <c r="AR292" s="20"/>
      <c r="AS292" s="20"/>
      <c r="AT292" s="20"/>
    </row>
    <row r="293">
      <c r="A293" s="20">
        <v>291.0</v>
      </c>
      <c r="B293" s="29" t="s">
        <v>366</v>
      </c>
      <c r="C293" s="30"/>
      <c r="D293" s="20"/>
      <c r="E293" s="20"/>
      <c r="F293" s="20"/>
      <c r="G293" s="20"/>
      <c r="H293" s="33" t="s">
        <v>77</v>
      </c>
      <c r="I293" s="33" t="s">
        <v>77</v>
      </c>
      <c r="J293" s="21"/>
      <c r="K293" s="20" t="str">
        <f t="shared" si="1"/>
        <v>EDUCATION,INFORMATION AND ICT</v>
      </c>
      <c r="L293" s="20" t="s">
        <v>84</v>
      </c>
      <c r="M293" s="20" t="str">
        <f t="shared" si="2"/>
        <v>EDUCATION,INFORMATION AND ICT</v>
      </c>
      <c r="N293" s="22" t="s">
        <v>119</v>
      </c>
      <c r="O293" s="22" t="s">
        <v>120</v>
      </c>
      <c r="P293" s="20" t="s">
        <v>121</v>
      </c>
      <c r="Q293" s="20" t="s">
        <v>121</v>
      </c>
      <c r="R293" s="30">
        <v>234000.0</v>
      </c>
      <c r="S293" s="30">
        <v>234000.0</v>
      </c>
      <c r="T293" s="30">
        <v>234000.0</v>
      </c>
      <c r="U293" s="20" t="s">
        <v>71</v>
      </c>
      <c r="V293" s="20"/>
      <c r="W293" s="30">
        <v>234000.0</v>
      </c>
      <c r="X293" s="20"/>
      <c r="Y293" s="30">
        <v>234000.0</v>
      </c>
      <c r="Z293" s="24">
        <f t="shared" si="3"/>
        <v>1</v>
      </c>
      <c r="AA293" s="23">
        <f t="shared" si="5"/>
        <v>234000</v>
      </c>
      <c r="AB293" s="20"/>
      <c r="AC293" s="25">
        <f t="shared" si="4"/>
        <v>0</v>
      </c>
      <c r="AD293" s="20" t="s">
        <v>72</v>
      </c>
      <c r="AE293" s="20"/>
      <c r="AF293" s="20"/>
      <c r="AG293" s="20"/>
      <c r="AH293" s="20"/>
      <c r="AI293" s="20"/>
      <c r="AJ293" s="20"/>
      <c r="AK293" s="20"/>
      <c r="AL293" s="20"/>
      <c r="AM293" s="20"/>
      <c r="AN293" s="20"/>
      <c r="AO293" s="20"/>
      <c r="AP293" s="20"/>
      <c r="AQ293" s="20"/>
      <c r="AR293" s="20"/>
      <c r="AS293" s="20"/>
      <c r="AT293" s="20"/>
    </row>
    <row r="294">
      <c r="A294" s="20">
        <v>292.0</v>
      </c>
      <c r="B294" s="29" t="s">
        <v>367</v>
      </c>
      <c r="C294" s="30"/>
      <c r="D294" s="20"/>
      <c r="E294" s="20"/>
      <c r="F294" s="20"/>
      <c r="G294" s="20"/>
      <c r="H294" s="33" t="s">
        <v>65</v>
      </c>
      <c r="I294" s="33" t="s">
        <v>66</v>
      </c>
      <c r="J294" s="21"/>
      <c r="K294" s="20" t="str">
        <f t="shared" si="1"/>
        <v>ROADS,TRANSPORT AND PUBLIC WORKS</v>
      </c>
      <c r="L294" s="20" t="s">
        <v>107</v>
      </c>
      <c r="M294" s="20" t="str">
        <f t="shared" si="2"/>
        <v>ROADS,TRANSPORT AND PUBLIC WORKS</v>
      </c>
      <c r="N294" s="22" t="s">
        <v>119</v>
      </c>
      <c r="O294" s="22" t="s">
        <v>120</v>
      </c>
      <c r="P294" s="20" t="s">
        <v>121</v>
      </c>
      <c r="Q294" s="20" t="s">
        <v>121</v>
      </c>
      <c r="R294" s="30">
        <v>237900.0</v>
      </c>
      <c r="S294" s="30">
        <v>237900.0</v>
      </c>
      <c r="T294" s="30">
        <v>237900.0</v>
      </c>
      <c r="U294" s="20" t="s">
        <v>71</v>
      </c>
      <c r="V294" s="20"/>
      <c r="W294" s="30">
        <v>237900.0</v>
      </c>
      <c r="X294" s="20"/>
      <c r="Y294" s="30">
        <v>237900.0</v>
      </c>
      <c r="Z294" s="24">
        <f t="shared" si="3"/>
        <v>1</v>
      </c>
      <c r="AA294" s="23">
        <f t="shared" si="5"/>
        <v>237900</v>
      </c>
      <c r="AB294" s="20"/>
      <c r="AC294" s="25">
        <f t="shared" si="4"/>
        <v>0</v>
      </c>
      <c r="AD294" s="20" t="s">
        <v>72</v>
      </c>
      <c r="AE294" s="20"/>
      <c r="AF294" s="20"/>
      <c r="AG294" s="20"/>
      <c r="AH294" s="20"/>
      <c r="AI294" s="20"/>
      <c r="AJ294" s="20"/>
      <c r="AK294" s="20"/>
      <c r="AL294" s="20"/>
      <c r="AM294" s="20"/>
      <c r="AN294" s="20"/>
      <c r="AO294" s="20"/>
      <c r="AP294" s="20"/>
      <c r="AQ294" s="20"/>
      <c r="AR294" s="20"/>
      <c r="AS294" s="20"/>
      <c r="AT294" s="20"/>
    </row>
    <row r="295">
      <c r="A295" s="20">
        <v>293.0</v>
      </c>
      <c r="B295" s="29" t="s">
        <v>368</v>
      </c>
      <c r="C295" s="30"/>
      <c r="D295" s="20"/>
      <c r="E295" s="20"/>
      <c r="F295" s="20"/>
      <c r="G295" s="20"/>
      <c r="H295" s="33" t="s">
        <v>65</v>
      </c>
      <c r="I295" s="33" t="s">
        <v>66</v>
      </c>
      <c r="J295" s="21"/>
      <c r="K295" s="20" t="str">
        <f t="shared" si="1"/>
        <v>ROADS,TRANSPORT AND PUBLIC WORKS</v>
      </c>
      <c r="L295" s="20" t="s">
        <v>107</v>
      </c>
      <c r="M295" s="20" t="str">
        <f t="shared" si="2"/>
        <v>ROADS,TRANSPORT AND PUBLIC WORKS</v>
      </c>
      <c r="N295" s="22" t="s">
        <v>119</v>
      </c>
      <c r="O295" s="22" t="s">
        <v>120</v>
      </c>
      <c r="P295" s="20" t="s">
        <v>121</v>
      </c>
      <c r="Q295" s="20" t="s">
        <v>121</v>
      </c>
      <c r="R295" s="30">
        <v>238000.0</v>
      </c>
      <c r="S295" s="30">
        <v>238000.0</v>
      </c>
      <c r="T295" s="30">
        <v>238000.0</v>
      </c>
      <c r="U295" s="20" t="s">
        <v>71</v>
      </c>
      <c r="V295" s="20"/>
      <c r="W295" s="30">
        <v>238000.0</v>
      </c>
      <c r="X295" s="20"/>
      <c r="Y295" s="30">
        <v>238000.0</v>
      </c>
      <c r="Z295" s="24">
        <f t="shared" si="3"/>
        <v>1</v>
      </c>
      <c r="AA295" s="23">
        <f t="shared" si="5"/>
        <v>238000</v>
      </c>
      <c r="AB295" s="20"/>
      <c r="AC295" s="25">
        <f t="shared" si="4"/>
        <v>0</v>
      </c>
      <c r="AD295" s="20" t="s">
        <v>72</v>
      </c>
      <c r="AE295" s="20"/>
      <c r="AF295" s="20"/>
      <c r="AG295" s="20"/>
      <c r="AH295" s="20"/>
      <c r="AI295" s="20"/>
      <c r="AJ295" s="20"/>
      <c r="AK295" s="20"/>
      <c r="AL295" s="20"/>
      <c r="AM295" s="20"/>
      <c r="AN295" s="20"/>
      <c r="AO295" s="20"/>
      <c r="AP295" s="20"/>
      <c r="AQ295" s="20"/>
      <c r="AR295" s="20"/>
      <c r="AS295" s="20"/>
      <c r="AT295" s="20"/>
    </row>
    <row r="296">
      <c r="A296" s="20">
        <v>294.0</v>
      </c>
      <c r="B296" s="29" t="s">
        <v>369</v>
      </c>
      <c r="C296" s="30"/>
      <c r="D296" s="20"/>
      <c r="E296" s="20"/>
      <c r="F296" s="20"/>
      <c r="G296" s="20"/>
      <c r="H296" s="33" t="s">
        <v>65</v>
      </c>
      <c r="I296" s="33" t="s">
        <v>66</v>
      </c>
      <c r="J296" s="21"/>
      <c r="K296" s="20" t="str">
        <f t="shared" si="1"/>
        <v>ROADS,TRANSPORT AND PUBLIC WORKS</v>
      </c>
      <c r="L296" s="20" t="s">
        <v>107</v>
      </c>
      <c r="M296" s="20" t="str">
        <f t="shared" si="2"/>
        <v>ROADS,TRANSPORT AND PUBLIC WORKS</v>
      </c>
      <c r="N296" s="22" t="s">
        <v>119</v>
      </c>
      <c r="O296" s="22" t="s">
        <v>120</v>
      </c>
      <c r="P296" s="20" t="s">
        <v>121</v>
      </c>
      <c r="Q296" s="20" t="s">
        <v>121</v>
      </c>
      <c r="R296" s="30">
        <v>239000.0</v>
      </c>
      <c r="S296" s="30">
        <v>239000.0</v>
      </c>
      <c r="T296" s="30">
        <v>239000.0</v>
      </c>
      <c r="U296" s="20" t="s">
        <v>71</v>
      </c>
      <c r="V296" s="20"/>
      <c r="W296" s="30">
        <v>239000.0</v>
      </c>
      <c r="X296" s="20"/>
      <c r="Y296" s="30">
        <v>239000.0</v>
      </c>
      <c r="Z296" s="24">
        <f t="shared" si="3"/>
        <v>1</v>
      </c>
      <c r="AA296" s="23">
        <f t="shared" si="5"/>
        <v>239000</v>
      </c>
      <c r="AB296" s="20"/>
      <c r="AC296" s="25">
        <f t="shared" si="4"/>
        <v>0</v>
      </c>
      <c r="AD296" s="20" t="s">
        <v>72</v>
      </c>
      <c r="AE296" s="20"/>
      <c r="AF296" s="20"/>
      <c r="AG296" s="20"/>
      <c r="AH296" s="20"/>
      <c r="AI296" s="20"/>
      <c r="AJ296" s="20"/>
      <c r="AK296" s="20"/>
      <c r="AL296" s="20"/>
      <c r="AM296" s="20"/>
      <c r="AN296" s="20"/>
      <c r="AO296" s="20"/>
      <c r="AP296" s="20"/>
      <c r="AQ296" s="20"/>
      <c r="AR296" s="20"/>
      <c r="AS296" s="20"/>
      <c r="AT296" s="20"/>
    </row>
    <row r="297">
      <c r="A297" s="20">
        <v>295.0</v>
      </c>
      <c r="B297" s="29" t="s">
        <v>370</v>
      </c>
      <c r="C297" s="30"/>
      <c r="D297" s="20"/>
      <c r="E297" s="20"/>
      <c r="F297" s="20"/>
      <c r="G297" s="20"/>
      <c r="H297" s="33" t="s">
        <v>81</v>
      </c>
      <c r="I297" s="33" t="s">
        <v>83</v>
      </c>
      <c r="J297" s="21"/>
      <c r="K297" s="20" t="str">
        <f t="shared" si="1"/>
        <v>ROADS,TRANSPORT AND PUBLIC WORKS</v>
      </c>
      <c r="L297" s="20" t="s">
        <v>107</v>
      </c>
      <c r="M297" s="20" t="str">
        <f t="shared" si="2"/>
        <v>ROADS,TRANSPORT AND PUBLIC WORKS</v>
      </c>
      <c r="N297" s="22" t="s">
        <v>119</v>
      </c>
      <c r="O297" s="22" t="s">
        <v>120</v>
      </c>
      <c r="P297" s="20" t="s">
        <v>121</v>
      </c>
      <c r="Q297" s="20" t="s">
        <v>121</v>
      </c>
      <c r="R297" s="30">
        <v>239000.0</v>
      </c>
      <c r="S297" s="30">
        <v>239000.0</v>
      </c>
      <c r="T297" s="30">
        <v>239000.0</v>
      </c>
      <c r="U297" s="20" t="s">
        <v>71</v>
      </c>
      <c r="V297" s="20"/>
      <c r="W297" s="30">
        <v>239000.0</v>
      </c>
      <c r="X297" s="20"/>
      <c r="Y297" s="30">
        <v>239000.0</v>
      </c>
      <c r="Z297" s="24">
        <f t="shared" si="3"/>
        <v>1</v>
      </c>
      <c r="AA297" s="23">
        <f t="shared" si="5"/>
        <v>239000</v>
      </c>
      <c r="AB297" s="20"/>
      <c r="AC297" s="25">
        <f t="shared" si="4"/>
        <v>0</v>
      </c>
      <c r="AD297" s="20" t="s">
        <v>72</v>
      </c>
      <c r="AE297" s="20"/>
      <c r="AF297" s="20"/>
      <c r="AG297" s="20"/>
      <c r="AH297" s="20"/>
      <c r="AI297" s="20"/>
      <c r="AJ297" s="20"/>
      <c r="AK297" s="20"/>
      <c r="AL297" s="20"/>
      <c r="AM297" s="20"/>
      <c r="AN297" s="20"/>
      <c r="AO297" s="20"/>
      <c r="AP297" s="20"/>
      <c r="AQ297" s="20"/>
      <c r="AR297" s="20"/>
      <c r="AS297" s="20"/>
      <c r="AT297" s="20"/>
    </row>
    <row r="298">
      <c r="A298" s="20">
        <v>296.0</v>
      </c>
      <c r="B298" s="29" t="s">
        <v>371</v>
      </c>
      <c r="C298" s="30"/>
      <c r="D298" s="20"/>
      <c r="E298" s="20"/>
      <c r="F298" s="20"/>
      <c r="G298" s="20"/>
      <c r="H298" s="33" t="s">
        <v>65</v>
      </c>
      <c r="I298" s="33" t="s">
        <v>66</v>
      </c>
      <c r="J298" s="21"/>
      <c r="K298" s="20" t="str">
        <f t="shared" si="1"/>
        <v>WATER,ENVIRONMENT,CLIMATE CHANGE AND NATURAL RESOURCES</v>
      </c>
      <c r="L298" s="20" t="s">
        <v>75</v>
      </c>
      <c r="M298" s="20" t="str">
        <f t="shared" si="2"/>
        <v>WATER,ENVIRONMENT,CLIMATE CHANGE AND NATURAL RESOURCES</v>
      </c>
      <c r="N298" s="22" t="s">
        <v>119</v>
      </c>
      <c r="O298" s="22" t="s">
        <v>120</v>
      </c>
      <c r="P298" s="20" t="s">
        <v>121</v>
      </c>
      <c r="Q298" s="20" t="s">
        <v>121</v>
      </c>
      <c r="R298" s="30">
        <v>239000.0</v>
      </c>
      <c r="S298" s="30">
        <v>239000.0</v>
      </c>
      <c r="T298" s="30">
        <v>239000.0</v>
      </c>
      <c r="U298" s="20" t="s">
        <v>71</v>
      </c>
      <c r="V298" s="20"/>
      <c r="W298" s="30">
        <v>239000.0</v>
      </c>
      <c r="X298" s="20"/>
      <c r="Y298" s="30">
        <v>239000.0</v>
      </c>
      <c r="Z298" s="24">
        <f t="shared" si="3"/>
        <v>1</v>
      </c>
      <c r="AA298" s="23">
        <f t="shared" si="5"/>
        <v>239000</v>
      </c>
      <c r="AB298" s="20"/>
      <c r="AC298" s="25">
        <f t="shared" si="4"/>
        <v>0</v>
      </c>
      <c r="AD298" s="20" t="s">
        <v>72</v>
      </c>
      <c r="AE298" s="20"/>
      <c r="AF298" s="20"/>
      <c r="AG298" s="20"/>
      <c r="AH298" s="20"/>
      <c r="AI298" s="20"/>
      <c r="AJ298" s="20"/>
      <c r="AK298" s="20"/>
      <c r="AL298" s="20"/>
      <c r="AM298" s="20"/>
      <c r="AN298" s="20"/>
      <c r="AO298" s="20"/>
      <c r="AP298" s="20"/>
      <c r="AQ298" s="20"/>
      <c r="AR298" s="20"/>
      <c r="AS298" s="20"/>
      <c r="AT298" s="20"/>
    </row>
    <row r="299">
      <c r="A299" s="20">
        <v>297.0</v>
      </c>
      <c r="B299" s="29" t="s">
        <v>372</v>
      </c>
      <c r="C299" s="30"/>
      <c r="D299" s="20"/>
      <c r="E299" s="20"/>
      <c r="F299" s="20"/>
      <c r="G299" s="20"/>
      <c r="H299" s="33" t="s">
        <v>65</v>
      </c>
      <c r="I299" s="33" t="s">
        <v>66</v>
      </c>
      <c r="J299" s="21"/>
      <c r="K299" s="20" t="str">
        <f t="shared" si="1"/>
        <v>WATER,ENVIRONMENT,CLIMATE CHANGE AND NATURAL RESOURCES</v>
      </c>
      <c r="L299" s="20" t="s">
        <v>75</v>
      </c>
      <c r="M299" s="20" t="str">
        <f t="shared" si="2"/>
        <v>WATER,ENVIRONMENT,CLIMATE CHANGE AND NATURAL RESOURCES</v>
      </c>
      <c r="N299" s="22" t="s">
        <v>119</v>
      </c>
      <c r="O299" s="22" t="s">
        <v>120</v>
      </c>
      <c r="P299" s="20" t="s">
        <v>121</v>
      </c>
      <c r="Q299" s="20" t="s">
        <v>121</v>
      </c>
      <c r="R299" s="30">
        <v>239000.0</v>
      </c>
      <c r="S299" s="30">
        <v>239000.0</v>
      </c>
      <c r="T299" s="30">
        <v>239000.0</v>
      </c>
      <c r="U299" s="20" t="s">
        <v>71</v>
      </c>
      <c r="V299" s="20"/>
      <c r="W299" s="30">
        <v>239000.0</v>
      </c>
      <c r="X299" s="20"/>
      <c r="Y299" s="30">
        <v>239000.0</v>
      </c>
      <c r="Z299" s="24">
        <f t="shared" si="3"/>
        <v>1</v>
      </c>
      <c r="AA299" s="23">
        <f t="shared" si="5"/>
        <v>239000</v>
      </c>
      <c r="AB299" s="20"/>
      <c r="AC299" s="25">
        <f t="shared" si="4"/>
        <v>0</v>
      </c>
      <c r="AD299" s="20" t="s">
        <v>72</v>
      </c>
      <c r="AE299" s="20"/>
      <c r="AF299" s="20"/>
      <c r="AG299" s="20"/>
      <c r="AH299" s="20"/>
      <c r="AI299" s="20"/>
      <c r="AJ299" s="20"/>
      <c r="AK299" s="20"/>
      <c r="AL299" s="20"/>
      <c r="AM299" s="20"/>
      <c r="AN299" s="20"/>
      <c r="AO299" s="20"/>
      <c r="AP299" s="20"/>
      <c r="AQ299" s="20"/>
      <c r="AR299" s="20"/>
      <c r="AS299" s="20"/>
      <c r="AT299" s="20"/>
    </row>
    <row r="300">
      <c r="A300" s="20">
        <v>298.0</v>
      </c>
      <c r="B300" s="29" t="s">
        <v>373</v>
      </c>
      <c r="C300" s="30"/>
      <c r="D300" s="20"/>
      <c r="E300" s="20"/>
      <c r="F300" s="20"/>
      <c r="G300" s="20"/>
      <c r="H300" s="33" t="s">
        <v>65</v>
      </c>
      <c r="I300" s="33" t="s">
        <v>66</v>
      </c>
      <c r="J300" s="21"/>
      <c r="K300" s="20" t="str">
        <f t="shared" si="1"/>
        <v>ROADS,TRANSPORT AND PUBLIC WORKS</v>
      </c>
      <c r="L300" s="20" t="s">
        <v>107</v>
      </c>
      <c r="M300" s="20" t="str">
        <f t="shared" si="2"/>
        <v>ROADS,TRANSPORT AND PUBLIC WORKS</v>
      </c>
      <c r="N300" s="22" t="s">
        <v>119</v>
      </c>
      <c r="O300" s="22" t="s">
        <v>120</v>
      </c>
      <c r="P300" s="20" t="s">
        <v>121</v>
      </c>
      <c r="Q300" s="20" t="s">
        <v>121</v>
      </c>
      <c r="R300" s="30">
        <v>239800.0</v>
      </c>
      <c r="S300" s="30">
        <v>239800.0</v>
      </c>
      <c r="T300" s="30">
        <v>239800.0</v>
      </c>
      <c r="U300" s="20" t="s">
        <v>71</v>
      </c>
      <c r="V300" s="20"/>
      <c r="W300" s="30">
        <v>239800.0</v>
      </c>
      <c r="X300" s="20"/>
      <c r="Y300" s="30">
        <v>239800.0</v>
      </c>
      <c r="Z300" s="24">
        <f t="shared" si="3"/>
        <v>1</v>
      </c>
      <c r="AA300" s="23">
        <f t="shared" si="5"/>
        <v>239800</v>
      </c>
      <c r="AB300" s="20"/>
      <c r="AC300" s="25">
        <f t="shared" si="4"/>
        <v>0</v>
      </c>
      <c r="AD300" s="20" t="s">
        <v>72</v>
      </c>
      <c r="AE300" s="20"/>
      <c r="AF300" s="20"/>
      <c r="AG300" s="20"/>
      <c r="AH300" s="20"/>
      <c r="AI300" s="20"/>
      <c r="AJ300" s="20"/>
      <c r="AK300" s="20"/>
      <c r="AL300" s="20"/>
      <c r="AM300" s="20"/>
      <c r="AN300" s="20"/>
      <c r="AO300" s="20"/>
      <c r="AP300" s="20"/>
      <c r="AQ300" s="20"/>
      <c r="AR300" s="20"/>
      <c r="AS300" s="20"/>
      <c r="AT300" s="20"/>
    </row>
    <row r="301">
      <c r="A301" s="20">
        <v>299.0</v>
      </c>
      <c r="B301" s="29" t="s">
        <v>374</v>
      </c>
      <c r="C301" s="30"/>
      <c r="D301" s="20"/>
      <c r="E301" s="20"/>
      <c r="F301" s="20"/>
      <c r="G301" s="20"/>
      <c r="H301" s="33" t="s">
        <v>77</v>
      </c>
      <c r="I301" s="33" t="s">
        <v>77</v>
      </c>
      <c r="J301" s="21"/>
      <c r="K301" s="20" t="str">
        <f t="shared" si="1"/>
        <v>WATER,ENVIRONMENT,CLIMATE CHANGE AND NATURAL RESOURCES</v>
      </c>
      <c r="L301" s="20" t="s">
        <v>75</v>
      </c>
      <c r="M301" s="20" t="str">
        <f t="shared" si="2"/>
        <v>WATER,ENVIRONMENT,CLIMATE CHANGE AND NATURAL RESOURCES</v>
      </c>
      <c r="N301" s="22" t="s">
        <v>119</v>
      </c>
      <c r="O301" s="22" t="s">
        <v>120</v>
      </c>
      <c r="P301" s="20" t="s">
        <v>121</v>
      </c>
      <c r="Q301" s="20" t="s">
        <v>121</v>
      </c>
      <c r="R301" s="30">
        <v>240000.0</v>
      </c>
      <c r="S301" s="30">
        <v>240000.0</v>
      </c>
      <c r="T301" s="30">
        <v>240000.0</v>
      </c>
      <c r="U301" s="20" t="s">
        <v>71</v>
      </c>
      <c r="V301" s="20"/>
      <c r="W301" s="30">
        <v>240000.0</v>
      </c>
      <c r="X301" s="20"/>
      <c r="Y301" s="30">
        <v>240000.0</v>
      </c>
      <c r="Z301" s="24">
        <f t="shared" si="3"/>
        <v>1</v>
      </c>
      <c r="AA301" s="23">
        <f t="shared" si="5"/>
        <v>240000</v>
      </c>
      <c r="AB301" s="20"/>
      <c r="AC301" s="25">
        <f t="shared" si="4"/>
        <v>0</v>
      </c>
      <c r="AD301" s="20" t="s">
        <v>72</v>
      </c>
      <c r="AE301" s="20"/>
      <c r="AF301" s="20"/>
      <c r="AG301" s="20"/>
      <c r="AH301" s="20"/>
      <c r="AI301" s="20"/>
      <c r="AJ301" s="20"/>
      <c r="AK301" s="20"/>
      <c r="AL301" s="20"/>
      <c r="AM301" s="20"/>
      <c r="AN301" s="20"/>
      <c r="AO301" s="20"/>
      <c r="AP301" s="20"/>
      <c r="AQ301" s="20"/>
      <c r="AR301" s="20"/>
      <c r="AS301" s="20"/>
      <c r="AT301" s="20"/>
    </row>
    <row r="302">
      <c r="A302" s="20">
        <v>300.0</v>
      </c>
      <c r="B302" s="29" t="s">
        <v>375</v>
      </c>
      <c r="C302" s="30"/>
      <c r="D302" s="20"/>
      <c r="E302" s="20"/>
      <c r="F302" s="20"/>
      <c r="G302" s="20"/>
      <c r="H302" s="33" t="s">
        <v>65</v>
      </c>
      <c r="I302" s="33" t="s">
        <v>66</v>
      </c>
      <c r="J302" s="21"/>
      <c r="K302" s="20" t="str">
        <f t="shared" si="1"/>
        <v>WATER,ENVIRONMENT,CLIMATE CHANGE AND NATURAL RESOURCES</v>
      </c>
      <c r="L302" s="20" t="s">
        <v>75</v>
      </c>
      <c r="M302" s="20" t="str">
        <f t="shared" si="2"/>
        <v>WATER,ENVIRONMENT,CLIMATE CHANGE AND NATURAL RESOURCES</v>
      </c>
      <c r="N302" s="22" t="s">
        <v>119</v>
      </c>
      <c r="O302" s="22" t="s">
        <v>120</v>
      </c>
      <c r="P302" s="20" t="s">
        <v>121</v>
      </c>
      <c r="Q302" s="20" t="s">
        <v>121</v>
      </c>
      <c r="R302" s="30">
        <v>240000.0</v>
      </c>
      <c r="S302" s="30">
        <v>240000.0</v>
      </c>
      <c r="T302" s="30">
        <v>240000.0</v>
      </c>
      <c r="U302" s="20" t="s">
        <v>71</v>
      </c>
      <c r="V302" s="20"/>
      <c r="W302" s="30">
        <v>240000.0</v>
      </c>
      <c r="X302" s="20"/>
      <c r="Y302" s="30">
        <v>240000.0</v>
      </c>
      <c r="Z302" s="24">
        <f t="shared" si="3"/>
        <v>1</v>
      </c>
      <c r="AA302" s="23">
        <f t="shared" si="5"/>
        <v>240000</v>
      </c>
      <c r="AB302" s="20"/>
      <c r="AC302" s="25">
        <f t="shared" si="4"/>
        <v>0</v>
      </c>
      <c r="AD302" s="20" t="s">
        <v>72</v>
      </c>
      <c r="AE302" s="20"/>
      <c r="AF302" s="20"/>
      <c r="AG302" s="20"/>
      <c r="AH302" s="20"/>
      <c r="AI302" s="20"/>
      <c r="AJ302" s="20"/>
      <c r="AK302" s="20"/>
      <c r="AL302" s="20"/>
      <c r="AM302" s="20"/>
      <c r="AN302" s="20"/>
      <c r="AO302" s="20"/>
      <c r="AP302" s="20"/>
      <c r="AQ302" s="20"/>
      <c r="AR302" s="20"/>
      <c r="AS302" s="20"/>
      <c r="AT302" s="20"/>
    </row>
    <row r="303">
      <c r="A303" s="20">
        <v>301.0</v>
      </c>
      <c r="B303" s="29" t="s">
        <v>376</v>
      </c>
      <c r="C303" s="30"/>
      <c r="D303" s="20"/>
      <c r="E303" s="20"/>
      <c r="F303" s="20"/>
      <c r="G303" s="20"/>
      <c r="H303" s="33" t="s">
        <v>65</v>
      </c>
      <c r="I303" s="33" t="s">
        <v>66</v>
      </c>
      <c r="J303" s="21"/>
      <c r="K303" s="20" t="str">
        <f t="shared" si="1"/>
        <v>WATER,ENVIRONMENT,CLIMATE CHANGE AND NATURAL RESOURCES</v>
      </c>
      <c r="L303" s="20" t="s">
        <v>75</v>
      </c>
      <c r="M303" s="20" t="str">
        <f t="shared" si="2"/>
        <v>WATER,ENVIRONMENT,CLIMATE CHANGE AND NATURAL RESOURCES</v>
      </c>
      <c r="N303" s="22" t="s">
        <v>119</v>
      </c>
      <c r="O303" s="22" t="s">
        <v>120</v>
      </c>
      <c r="P303" s="20" t="s">
        <v>121</v>
      </c>
      <c r="Q303" s="20" t="s">
        <v>121</v>
      </c>
      <c r="R303" s="30">
        <v>240000.0</v>
      </c>
      <c r="S303" s="30">
        <v>240000.0</v>
      </c>
      <c r="T303" s="30">
        <v>240000.0</v>
      </c>
      <c r="U303" s="20" t="s">
        <v>71</v>
      </c>
      <c r="V303" s="20"/>
      <c r="W303" s="30">
        <v>240000.0</v>
      </c>
      <c r="X303" s="20"/>
      <c r="Y303" s="30">
        <v>240000.0</v>
      </c>
      <c r="Z303" s="24">
        <f t="shared" si="3"/>
        <v>1</v>
      </c>
      <c r="AA303" s="23">
        <f t="shared" si="5"/>
        <v>240000</v>
      </c>
      <c r="AB303" s="20"/>
      <c r="AC303" s="25">
        <f t="shared" si="4"/>
        <v>0</v>
      </c>
      <c r="AD303" s="20" t="s">
        <v>72</v>
      </c>
      <c r="AE303" s="20"/>
      <c r="AF303" s="20"/>
      <c r="AG303" s="20"/>
      <c r="AH303" s="20"/>
      <c r="AI303" s="20"/>
      <c r="AJ303" s="20"/>
      <c r="AK303" s="20"/>
      <c r="AL303" s="20"/>
      <c r="AM303" s="20"/>
      <c r="AN303" s="20"/>
      <c r="AO303" s="20"/>
      <c r="AP303" s="20"/>
      <c r="AQ303" s="20"/>
      <c r="AR303" s="20"/>
      <c r="AS303" s="20"/>
      <c r="AT303" s="20"/>
    </row>
    <row r="304">
      <c r="A304" s="20">
        <v>302.0</v>
      </c>
      <c r="B304" s="29" t="s">
        <v>377</v>
      </c>
      <c r="C304" s="30"/>
      <c r="D304" s="20"/>
      <c r="E304" s="20"/>
      <c r="F304" s="20"/>
      <c r="G304" s="20"/>
      <c r="H304" s="33" t="s">
        <v>65</v>
      </c>
      <c r="I304" s="33" t="s">
        <v>66</v>
      </c>
      <c r="J304" s="21"/>
      <c r="K304" s="20" t="str">
        <f t="shared" si="1"/>
        <v>ROADS,TRANSPORT AND PUBLIC WORKS</v>
      </c>
      <c r="L304" s="20" t="s">
        <v>107</v>
      </c>
      <c r="M304" s="20" t="str">
        <f t="shared" si="2"/>
        <v>ROADS,TRANSPORT AND PUBLIC WORKS</v>
      </c>
      <c r="N304" s="22" t="s">
        <v>119</v>
      </c>
      <c r="O304" s="22" t="s">
        <v>120</v>
      </c>
      <c r="P304" s="20" t="s">
        <v>121</v>
      </c>
      <c r="Q304" s="20" t="s">
        <v>121</v>
      </c>
      <c r="R304" s="30">
        <v>241000.0</v>
      </c>
      <c r="S304" s="30">
        <v>241000.0</v>
      </c>
      <c r="T304" s="30">
        <v>241000.0</v>
      </c>
      <c r="U304" s="20" t="s">
        <v>71</v>
      </c>
      <c r="V304" s="20"/>
      <c r="W304" s="30">
        <v>241000.0</v>
      </c>
      <c r="X304" s="20"/>
      <c r="Y304" s="30">
        <v>241000.0</v>
      </c>
      <c r="Z304" s="24">
        <f t="shared" si="3"/>
        <v>1</v>
      </c>
      <c r="AA304" s="23">
        <f t="shared" si="5"/>
        <v>241000</v>
      </c>
      <c r="AB304" s="20"/>
      <c r="AC304" s="25">
        <f t="shared" si="4"/>
        <v>0</v>
      </c>
      <c r="AD304" s="20" t="s">
        <v>72</v>
      </c>
      <c r="AE304" s="20"/>
      <c r="AF304" s="20"/>
      <c r="AG304" s="20"/>
      <c r="AH304" s="20"/>
      <c r="AI304" s="20"/>
      <c r="AJ304" s="20"/>
      <c r="AK304" s="20"/>
      <c r="AL304" s="20"/>
      <c r="AM304" s="20"/>
      <c r="AN304" s="20"/>
      <c r="AO304" s="20"/>
      <c r="AP304" s="20"/>
      <c r="AQ304" s="20"/>
      <c r="AR304" s="20"/>
      <c r="AS304" s="20"/>
      <c r="AT304" s="20"/>
    </row>
    <row r="305">
      <c r="A305" s="20">
        <v>303.0</v>
      </c>
      <c r="B305" s="29" t="s">
        <v>378</v>
      </c>
      <c r="C305" s="30"/>
      <c r="D305" s="20"/>
      <c r="E305" s="20"/>
      <c r="F305" s="20"/>
      <c r="G305" s="20"/>
      <c r="H305" s="33" t="s">
        <v>77</v>
      </c>
      <c r="I305" s="33" t="s">
        <v>128</v>
      </c>
      <c r="J305" s="21"/>
      <c r="K305" s="20" t="str">
        <f t="shared" si="1"/>
        <v>EDUCATION,INFORMATION AND ICT</v>
      </c>
      <c r="L305" s="20" t="s">
        <v>84</v>
      </c>
      <c r="M305" s="20" t="str">
        <f t="shared" si="2"/>
        <v>EDUCATION,INFORMATION AND ICT</v>
      </c>
      <c r="N305" s="22" t="s">
        <v>119</v>
      </c>
      <c r="O305" s="22" t="s">
        <v>120</v>
      </c>
      <c r="P305" s="20" t="s">
        <v>121</v>
      </c>
      <c r="Q305" s="20" t="s">
        <v>121</v>
      </c>
      <c r="R305" s="30">
        <v>241000.0</v>
      </c>
      <c r="S305" s="30">
        <v>241000.0</v>
      </c>
      <c r="T305" s="30">
        <v>241000.0</v>
      </c>
      <c r="U305" s="20" t="s">
        <v>71</v>
      </c>
      <c r="V305" s="20"/>
      <c r="W305" s="30">
        <v>241000.0</v>
      </c>
      <c r="X305" s="20"/>
      <c r="Y305" s="30">
        <v>241000.0</v>
      </c>
      <c r="Z305" s="24">
        <f t="shared" si="3"/>
        <v>1</v>
      </c>
      <c r="AA305" s="23">
        <f t="shared" si="5"/>
        <v>241000</v>
      </c>
      <c r="AB305" s="20"/>
      <c r="AC305" s="25">
        <f t="shared" si="4"/>
        <v>0</v>
      </c>
      <c r="AD305" s="20" t="s">
        <v>72</v>
      </c>
      <c r="AE305" s="20"/>
      <c r="AF305" s="20"/>
      <c r="AG305" s="20"/>
      <c r="AH305" s="20"/>
      <c r="AI305" s="20"/>
      <c r="AJ305" s="20"/>
      <c r="AK305" s="20"/>
      <c r="AL305" s="20"/>
      <c r="AM305" s="20"/>
      <c r="AN305" s="20"/>
      <c r="AO305" s="20"/>
      <c r="AP305" s="20"/>
      <c r="AQ305" s="20"/>
      <c r="AR305" s="20"/>
      <c r="AS305" s="20"/>
      <c r="AT305" s="20"/>
    </row>
    <row r="306">
      <c r="A306" s="20">
        <v>304.0</v>
      </c>
      <c r="B306" s="29" t="s">
        <v>379</v>
      </c>
      <c r="C306" s="30"/>
      <c r="D306" s="20"/>
      <c r="E306" s="20"/>
      <c r="F306" s="20"/>
      <c r="G306" s="20"/>
      <c r="H306" s="33" t="s">
        <v>113</v>
      </c>
      <c r="I306" s="33" t="s">
        <v>114</v>
      </c>
      <c r="J306" s="21"/>
      <c r="K306" s="20" t="str">
        <f t="shared" si="1"/>
        <v>ROADS,TRANSPORT AND PUBLIC WORKS</v>
      </c>
      <c r="L306" s="20" t="s">
        <v>107</v>
      </c>
      <c r="M306" s="20" t="str">
        <f t="shared" si="2"/>
        <v>ROADS,TRANSPORT AND PUBLIC WORKS</v>
      </c>
      <c r="N306" s="22" t="s">
        <v>119</v>
      </c>
      <c r="O306" s="22" t="s">
        <v>120</v>
      </c>
      <c r="P306" s="20" t="s">
        <v>121</v>
      </c>
      <c r="Q306" s="20" t="s">
        <v>121</v>
      </c>
      <c r="R306" s="30">
        <v>241500.0</v>
      </c>
      <c r="S306" s="30">
        <v>241500.0</v>
      </c>
      <c r="T306" s="30">
        <v>241500.0</v>
      </c>
      <c r="U306" s="20" t="s">
        <v>71</v>
      </c>
      <c r="V306" s="20"/>
      <c r="W306" s="30">
        <v>241500.0</v>
      </c>
      <c r="X306" s="20"/>
      <c r="Y306" s="30">
        <v>241500.0</v>
      </c>
      <c r="Z306" s="24">
        <f t="shared" si="3"/>
        <v>1</v>
      </c>
      <c r="AA306" s="23">
        <f t="shared" si="5"/>
        <v>241500</v>
      </c>
      <c r="AB306" s="20"/>
      <c r="AC306" s="25">
        <f t="shared" si="4"/>
        <v>0</v>
      </c>
      <c r="AD306" s="20" t="s">
        <v>72</v>
      </c>
      <c r="AE306" s="20"/>
      <c r="AF306" s="20"/>
      <c r="AG306" s="20"/>
      <c r="AH306" s="20"/>
      <c r="AI306" s="20"/>
      <c r="AJ306" s="20"/>
      <c r="AK306" s="20"/>
      <c r="AL306" s="20"/>
      <c r="AM306" s="20"/>
      <c r="AN306" s="20"/>
      <c r="AO306" s="20"/>
      <c r="AP306" s="20"/>
      <c r="AQ306" s="20"/>
      <c r="AR306" s="20"/>
      <c r="AS306" s="20"/>
      <c r="AT306" s="20"/>
    </row>
    <row r="307">
      <c r="A307" s="20">
        <v>305.0</v>
      </c>
      <c r="B307" s="29" t="s">
        <v>380</v>
      </c>
      <c r="C307" s="30"/>
      <c r="D307" s="20"/>
      <c r="E307" s="20"/>
      <c r="F307" s="20"/>
      <c r="G307" s="20"/>
      <c r="H307" s="33" t="s">
        <v>65</v>
      </c>
      <c r="I307" s="33" t="s">
        <v>66</v>
      </c>
      <c r="J307" s="21"/>
      <c r="K307" s="20" t="str">
        <f t="shared" si="1"/>
        <v>LANDS,PHYSICAL PLANNING AND URBAN DEVELOPMENT</v>
      </c>
      <c r="L307" s="20" t="s">
        <v>98</v>
      </c>
      <c r="M307" s="20" t="str">
        <f t="shared" si="2"/>
        <v>LANDS,PHYSICAL PLANNING AND URBAN DEVELOPMENT</v>
      </c>
      <c r="N307" s="22" t="s">
        <v>119</v>
      </c>
      <c r="O307" s="22" t="s">
        <v>120</v>
      </c>
      <c r="P307" s="20" t="s">
        <v>121</v>
      </c>
      <c r="Q307" s="20" t="s">
        <v>121</v>
      </c>
      <c r="R307" s="30">
        <v>242000.0</v>
      </c>
      <c r="S307" s="30">
        <v>242000.0</v>
      </c>
      <c r="T307" s="30">
        <v>242000.0</v>
      </c>
      <c r="U307" s="20" t="s">
        <v>71</v>
      </c>
      <c r="V307" s="20"/>
      <c r="W307" s="30">
        <v>242000.0</v>
      </c>
      <c r="X307" s="20"/>
      <c r="Y307" s="30">
        <v>242000.0</v>
      </c>
      <c r="Z307" s="24">
        <f t="shared" si="3"/>
        <v>1</v>
      </c>
      <c r="AA307" s="23">
        <f t="shared" si="5"/>
        <v>242000</v>
      </c>
      <c r="AB307" s="20"/>
      <c r="AC307" s="25">
        <f t="shared" si="4"/>
        <v>0</v>
      </c>
      <c r="AD307" s="20" t="s">
        <v>72</v>
      </c>
      <c r="AE307" s="20"/>
      <c r="AF307" s="20"/>
      <c r="AG307" s="20"/>
      <c r="AH307" s="20"/>
      <c r="AI307" s="20"/>
      <c r="AJ307" s="20"/>
      <c r="AK307" s="20"/>
      <c r="AL307" s="20"/>
      <c r="AM307" s="20"/>
      <c r="AN307" s="20"/>
      <c r="AO307" s="20"/>
      <c r="AP307" s="20"/>
      <c r="AQ307" s="20"/>
      <c r="AR307" s="20"/>
      <c r="AS307" s="20"/>
      <c r="AT307" s="20"/>
    </row>
    <row r="308">
      <c r="A308" s="20">
        <v>306.0</v>
      </c>
      <c r="B308" s="29" t="s">
        <v>381</v>
      </c>
      <c r="C308" s="30"/>
      <c r="D308" s="20"/>
      <c r="E308" s="20"/>
      <c r="F308" s="20"/>
      <c r="G308" s="20"/>
      <c r="H308" s="33" t="s">
        <v>77</v>
      </c>
      <c r="I308" s="33" t="s">
        <v>77</v>
      </c>
      <c r="J308" s="21"/>
      <c r="K308" s="20" t="str">
        <f t="shared" si="1"/>
        <v>WATER,ENVIRONMENT,CLIMATE CHANGE AND NATURAL RESOURCES</v>
      </c>
      <c r="L308" s="20" t="s">
        <v>75</v>
      </c>
      <c r="M308" s="20" t="str">
        <f t="shared" si="2"/>
        <v>WATER,ENVIRONMENT,CLIMATE CHANGE AND NATURAL RESOURCES</v>
      </c>
      <c r="N308" s="22" t="s">
        <v>119</v>
      </c>
      <c r="O308" s="22" t="s">
        <v>120</v>
      </c>
      <c r="P308" s="20" t="s">
        <v>121</v>
      </c>
      <c r="Q308" s="20" t="s">
        <v>121</v>
      </c>
      <c r="R308" s="30">
        <v>242000.0</v>
      </c>
      <c r="S308" s="30">
        <v>242000.0</v>
      </c>
      <c r="T308" s="30">
        <v>242000.0</v>
      </c>
      <c r="U308" s="20" t="s">
        <v>71</v>
      </c>
      <c r="V308" s="20"/>
      <c r="W308" s="30">
        <v>242000.0</v>
      </c>
      <c r="X308" s="20"/>
      <c r="Y308" s="30">
        <v>242000.0</v>
      </c>
      <c r="Z308" s="24">
        <f t="shared" si="3"/>
        <v>1</v>
      </c>
      <c r="AA308" s="23">
        <f t="shared" si="5"/>
        <v>242000</v>
      </c>
      <c r="AB308" s="20"/>
      <c r="AC308" s="25">
        <f t="shared" si="4"/>
        <v>0</v>
      </c>
      <c r="AD308" s="20" t="s">
        <v>72</v>
      </c>
      <c r="AE308" s="20"/>
      <c r="AF308" s="20"/>
      <c r="AG308" s="20"/>
      <c r="AH308" s="20"/>
      <c r="AI308" s="20"/>
      <c r="AJ308" s="20"/>
      <c r="AK308" s="20"/>
      <c r="AL308" s="20"/>
      <c r="AM308" s="20"/>
      <c r="AN308" s="20"/>
      <c r="AO308" s="20"/>
      <c r="AP308" s="20"/>
      <c r="AQ308" s="20"/>
      <c r="AR308" s="20"/>
      <c r="AS308" s="20"/>
      <c r="AT308" s="20"/>
    </row>
    <row r="309">
      <c r="A309" s="20">
        <v>307.0</v>
      </c>
      <c r="B309" s="29" t="s">
        <v>382</v>
      </c>
      <c r="C309" s="30"/>
      <c r="D309" s="20"/>
      <c r="E309" s="20"/>
      <c r="F309" s="20"/>
      <c r="G309" s="20"/>
      <c r="H309" s="33" t="s">
        <v>104</v>
      </c>
      <c r="I309" s="33" t="s">
        <v>165</v>
      </c>
      <c r="J309" s="21"/>
      <c r="K309" s="20" t="str">
        <f t="shared" si="1"/>
        <v>EDUCATION,INFORMATION AND ICT</v>
      </c>
      <c r="L309" s="20" t="s">
        <v>84</v>
      </c>
      <c r="M309" s="20" t="str">
        <f t="shared" si="2"/>
        <v>EDUCATION,INFORMATION AND ICT</v>
      </c>
      <c r="N309" s="22" t="s">
        <v>119</v>
      </c>
      <c r="O309" s="22" t="s">
        <v>120</v>
      </c>
      <c r="P309" s="20" t="s">
        <v>121</v>
      </c>
      <c r="Q309" s="20" t="s">
        <v>121</v>
      </c>
      <c r="R309" s="30">
        <v>243000.0</v>
      </c>
      <c r="S309" s="30">
        <v>243000.0</v>
      </c>
      <c r="T309" s="30">
        <v>243000.0</v>
      </c>
      <c r="U309" s="20" t="s">
        <v>71</v>
      </c>
      <c r="V309" s="20"/>
      <c r="W309" s="30">
        <v>243000.0</v>
      </c>
      <c r="X309" s="20"/>
      <c r="Y309" s="30">
        <v>243000.0</v>
      </c>
      <c r="Z309" s="24">
        <f t="shared" si="3"/>
        <v>1</v>
      </c>
      <c r="AA309" s="23">
        <f t="shared" si="5"/>
        <v>243000</v>
      </c>
      <c r="AB309" s="20"/>
      <c r="AC309" s="25">
        <f t="shared" si="4"/>
        <v>0</v>
      </c>
      <c r="AD309" s="20" t="s">
        <v>72</v>
      </c>
      <c r="AE309" s="20"/>
      <c r="AF309" s="20"/>
      <c r="AG309" s="20"/>
      <c r="AH309" s="20"/>
      <c r="AI309" s="20"/>
      <c r="AJ309" s="20"/>
      <c r="AK309" s="20"/>
      <c r="AL309" s="20"/>
      <c r="AM309" s="20"/>
      <c r="AN309" s="20"/>
      <c r="AO309" s="20"/>
      <c r="AP309" s="20"/>
      <c r="AQ309" s="20"/>
      <c r="AR309" s="20"/>
      <c r="AS309" s="20"/>
      <c r="AT309" s="20"/>
    </row>
    <row r="310">
      <c r="A310" s="20">
        <v>308.0</v>
      </c>
      <c r="B310" s="29" t="s">
        <v>383</v>
      </c>
      <c r="C310" s="30"/>
      <c r="D310" s="20"/>
      <c r="E310" s="20"/>
      <c r="F310" s="20"/>
      <c r="G310" s="20"/>
      <c r="H310" s="33" t="s">
        <v>81</v>
      </c>
      <c r="I310" s="33" t="s">
        <v>151</v>
      </c>
      <c r="J310" s="21"/>
      <c r="K310" s="20" t="str">
        <f t="shared" si="1"/>
        <v>ROADS,TRANSPORT AND PUBLIC WORKS</v>
      </c>
      <c r="L310" s="20" t="s">
        <v>107</v>
      </c>
      <c r="M310" s="20" t="str">
        <f t="shared" si="2"/>
        <v>ROADS,TRANSPORT AND PUBLIC WORKS</v>
      </c>
      <c r="N310" s="22" t="s">
        <v>119</v>
      </c>
      <c r="O310" s="22" t="s">
        <v>120</v>
      </c>
      <c r="P310" s="20" t="s">
        <v>121</v>
      </c>
      <c r="Q310" s="20" t="s">
        <v>121</v>
      </c>
      <c r="R310" s="30">
        <v>243000.0</v>
      </c>
      <c r="S310" s="30">
        <v>243000.0</v>
      </c>
      <c r="T310" s="30">
        <v>243000.0</v>
      </c>
      <c r="U310" s="20" t="s">
        <v>71</v>
      </c>
      <c r="V310" s="20"/>
      <c r="W310" s="30">
        <v>243000.0</v>
      </c>
      <c r="X310" s="20"/>
      <c r="Y310" s="30">
        <v>243000.0</v>
      </c>
      <c r="Z310" s="24">
        <f t="shared" si="3"/>
        <v>1</v>
      </c>
      <c r="AA310" s="23">
        <f t="shared" si="5"/>
        <v>243000</v>
      </c>
      <c r="AB310" s="20"/>
      <c r="AC310" s="25">
        <f t="shared" si="4"/>
        <v>0</v>
      </c>
      <c r="AD310" s="20" t="s">
        <v>72</v>
      </c>
      <c r="AE310" s="20"/>
      <c r="AF310" s="20"/>
      <c r="AG310" s="20"/>
      <c r="AH310" s="20"/>
      <c r="AI310" s="20"/>
      <c r="AJ310" s="20"/>
      <c r="AK310" s="20"/>
      <c r="AL310" s="20"/>
      <c r="AM310" s="20"/>
      <c r="AN310" s="20"/>
      <c r="AO310" s="20"/>
      <c r="AP310" s="20"/>
      <c r="AQ310" s="20"/>
      <c r="AR310" s="20"/>
      <c r="AS310" s="20"/>
      <c r="AT310" s="20"/>
    </row>
    <row r="311">
      <c r="A311" s="20">
        <v>309.0</v>
      </c>
      <c r="B311" s="29" t="s">
        <v>384</v>
      </c>
      <c r="C311" s="30"/>
      <c r="D311" s="20"/>
      <c r="E311" s="20"/>
      <c r="F311" s="20"/>
      <c r="G311" s="20"/>
      <c r="H311" s="33" t="s">
        <v>113</v>
      </c>
      <c r="I311" s="33" t="s">
        <v>353</v>
      </c>
      <c r="J311" s="21"/>
      <c r="K311" s="20" t="str">
        <f t="shared" si="1"/>
        <v>ROADS,TRANSPORT AND PUBLIC WORKS</v>
      </c>
      <c r="L311" s="20" t="s">
        <v>107</v>
      </c>
      <c r="M311" s="20" t="str">
        <f t="shared" si="2"/>
        <v>ROADS,TRANSPORT AND PUBLIC WORKS</v>
      </c>
      <c r="N311" s="22" t="s">
        <v>119</v>
      </c>
      <c r="O311" s="22" t="s">
        <v>120</v>
      </c>
      <c r="P311" s="20" t="s">
        <v>121</v>
      </c>
      <c r="Q311" s="20" t="s">
        <v>121</v>
      </c>
      <c r="R311" s="30">
        <v>243000.0</v>
      </c>
      <c r="S311" s="30">
        <v>243000.0</v>
      </c>
      <c r="T311" s="30">
        <v>243000.0</v>
      </c>
      <c r="U311" s="20" t="s">
        <v>71</v>
      </c>
      <c r="V311" s="20"/>
      <c r="W311" s="30">
        <v>243000.0</v>
      </c>
      <c r="X311" s="20"/>
      <c r="Y311" s="30">
        <v>243000.0</v>
      </c>
      <c r="Z311" s="24">
        <f t="shared" si="3"/>
        <v>1</v>
      </c>
      <c r="AA311" s="23">
        <f t="shared" si="5"/>
        <v>243000</v>
      </c>
      <c r="AB311" s="20"/>
      <c r="AC311" s="25">
        <f t="shared" si="4"/>
        <v>0</v>
      </c>
      <c r="AD311" s="20" t="s">
        <v>72</v>
      </c>
      <c r="AE311" s="20"/>
      <c r="AF311" s="20"/>
      <c r="AG311" s="20"/>
      <c r="AH311" s="20"/>
      <c r="AI311" s="20"/>
      <c r="AJ311" s="20"/>
      <c r="AK311" s="20"/>
      <c r="AL311" s="20"/>
      <c r="AM311" s="20"/>
      <c r="AN311" s="20"/>
      <c r="AO311" s="20"/>
      <c r="AP311" s="20"/>
      <c r="AQ311" s="20"/>
      <c r="AR311" s="20"/>
      <c r="AS311" s="20"/>
      <c r="AT311" s="20"/>
    </row>
    <row r="312">
      <c r="A312" s="20">
        <v>310.0</v>
      </c>
      <c r="B312" s="29" t="s">
        <v>385</v>
      </c>
      <c r="C312" s="30"/>
      <c r="D312" s="20"/>
      <c r="E312" s="20"/>
      <c r="F312" s="20"/>
      <c r="G312" s="20"/>
      <c r="H312" s="33" t="s">
        <v>113</v>
      </c>
      <c r="I312" s="33" t="s">
        <v>348</v>
      </c>
      <c r="J312" s="21"/>
      <c r="K312" s="20" t="str">
        <f t="shared" si="1"/>
        <v>ROADS,TRANSPORT AND PUBLIC WORKS</v>
      </c>
      <c r="L312" s="20" t="s">
        <v>107</v>
      </c>
      <c r="M312" s="20" t="str">
        <f t="shared" si="2"/>
        <v>ROADS,TRANSPORT AND PUBLIC WORKS</v>
      </c>
      <c r="N312" s="22" t="s">
        <v>119</v>
      </c>
      <c r="O312" s="22" t="s">
        <v>120</v>
      </c>
      <c r="P312" s="20" t="s">
        <v>121</v>
      </c>
      <c r="Q312" s="20" t="s">
        <v>121</v>
      </c>
      <c r="R312" s="30">
        <v>245000.0</v>
      </c>
      <c r="S312" s="30">
        <v>245000.0</v>
      </c>
      <c r="T312" s="30">
        <v>245000.0</v>
      </c>
      <c r="U312" s="20" t="s">
        <v>71</v>
      </c>
      <c r="V312" s="20"/>
      <c r="W312" s="30">
        <v>245000.0</v>
      </c>
      <c r="X312" s="20"/>
      <c r="Y312" s="30">
        <v>245000.0</v>
      </c>
      <c r="Z312" s="24">
        <f t="shared" si="3"/>
        <v>1</v>
      </c>
      <c r="AA312" s="23">
        <f t="shared" si="5"/>
        <v>245000</v>
      </c>
      <c r="AB312" s="20"/>
      <c r="AC312" s="25">
        <f t="shared" si="4"/>
        <v>0</v>
      </c>
      <c r="AD312" s="20" t="s">
        <v>72</v>
      </c>
      <c r="AE312" s="20"/>
      <c r="AF312" s="20"/>
      <c r="AG312" s="20"/>
      <c r="AH312" s="20"/>
      <c r="AI312" s="20"/>
      <c r="AJ312" s="20"/>
      <c r="AK312" s="20"/>
      <c r="AL312" s="20"/>
      <c r="AM312" s="20"/>
      <c r="AN312" s="20"/>
      <c r="AO312" s="20"/>
      <c r="AP312" s="20"/>
      <c r="AQ312" s="20"/>
      <c r="AR312" s="20"/>
      <c r="AS312" s="20"/>
      <c r="AT312" s="20"/>
    </row>
    <row r="313">
      <c r="A313" s="20">
        <v>311.0</v>
      </c>
      <c r="B313" s="29" t="s">
        <v>386</v>
      </c>
      <c r="C313" s="30"/>
      <c r="D313" s="20"/>
      <c r="E313" s="20"/>
      <c r="F313" s="20"/>
      <c r="G313" s="20"/>
      <c r="H313" s="33" t="s">
        <v>160</v>
      </c>
      <c r="I313" s="33" t="s">
        <v>160</v>
      </c>
      <c r="J313" s="21"/>
      <c r="K313" s="20" t="str">
        <f t="shared" si="1"/>
        <v>ROADS,TRANSPORT AND PUBLIC WORKS</v>
      </c>
      <c r="L313" s="20" t="s">
        <v>107</v>
      </c>
      <c r="M313" s="20" t="str">
        <f t="shared" si="2"/>
        <v>ROADS,TRANSPORT AND PUBLIC WORKS</v>
      </c>
      <c r="N313" s="22" t="s">
        <v>119</v>
      </c>
      <c r="O313" s="22" t="s">
        <v>120</v>
      </c>
      <c r="P313" s="20" t="s">
        <v>121</v>
      </c>
      <c r="Q313" s="20" t="s">
        <v>121</v>
      </c>
      <c r="R313" s="30">
        <v>245000.0</v>
      </c>
      <c r="S313" s="30">
        <v>245000.0</v>
      </c>
      <c r="T313" s="30">
        <v>245000.0</v>
      </c>
      <c r="U313" s="20" t="s">
        <v>71</v>
      </c>
      <c r="V313" s="20"/>
      <c r="W313" s="30">
        <v>245000.0</v>
      </c>
      <c r="X313" s="20"/>
      <c r="Y313" s="30">
        <v>245000.0</v>
      </c>
      <c r="Z313" s="24">
        <f t="shared" si="3"/>
        <v>1</v>
      </c>
      <c r="AA313" s="23">
        <f t="shared" si="5"/>
        <v>245000</v>
      </c>
      <c r="AB313" s="20"/>
      <c r="AC313" s="25">
        <f t="shared" si="4"/>
        <v>0</v>
      </c>
      <c r="AD313" s="20" t="s">
        <v>72</v>
      </c>
      <c r="AE313" s="20"/>
      <c r="AF313" s="20"/>
      <c r="AG313" s="20"/>
      <c r="AH313" s="20"/>
      <c r="AI313" s="20"/>
      <c r="AJ313" s="20"/>
      <c r="AK313" s="20"/>
      <c r="AL313" s="20"/>
      <c r="AM313" s="20"/>
      <c r="AN313" s="20"/>
      <c r="AO313" s="20"/>
      <c r="AP313" s="20"/>
      <c r="AQ313" s="20"/>
      <c r="AR313" s="20"/>
      <c r="AS313" s="20"/>
      <c r="AT313" s="20"/>
    </row>
    <row r="314">
      <c r="A314" s="20">
        <v>312.0</v>
      </c>
      <c r="B314" s="29" t="s">
        <v>387</v>
      </c>
      <c r="C314" s="30"/>
      <c r="D314" s="20"/>
      <c r="E314" s="20"/>
      <c r="F314" s="20"/>
      <c r="G314" s="20"/>
      <c r="H314" s="33" t="s">
        <v>65</v>
      </c>
      <c r="I314" s="33" t="s">
        <v>66</v>
      </c>
      <c r="J314" s="21"/>
      <c r="K314" s="20" t="str">
        <f t="shared" si="1"/>
        <v>WATER,ENVIRONMENT,CLIMATE CHANGE AND NATURAL RESOURCES</v>
      </c>
      <c r="L314" s="20" t="s">
        <v>75</v>
      </c>
      <c r="M314" s="20" t="str">
        <f t="shared" si="2"/>
        <v>WATER,ENVIRONMENT,CLIMATE CHANGE AND NATURAL RESOURCES</v>
      </c>
      <c r="N314" s="22" t="s">
        <v>119</v>
      </c>
      <c r="O314" s="22" t="s">
        <v>120</v>
      </c>
      <c r="P314" s="20" t="s">
        <v>121</v>
      </c>
      <c r="Q314" s="20" t="s">
        <v>121</v>
      </c>
      <c r="R314" s="30">
        <v>246000.0</v>
      </c>
      <c r="S314" s="30">
        <v>246000.0</v>
      </c>
      <c r="T314" s="30">
        <v>246000.0</v>
      </c>
      <c r="U314" s="20" t="s">
        <v>71</v>
      </c>
      <c r="V314" s="20"/>
      <c r="W314" s="30">
        <v>246000.0</v>
      </c>
      <c r="X314" s="20"/>
      <c r="Y314" s="30">
        <v>246000.0</v>
      </c>
      <c r="Z314" s="24">
        <f t="shared" si="3"/>
        <v>1</v>
      </c>
      <c r="AA314" s="23">
        <f t="shared" si="5"/>
        <v>246000</v>
      </c>
      <c r="AB314" s="20"/>
      <c r="AC314" s="25">
        <f t="shared" si="4"/>
        <v>0</v>
      </c>
      <c r="AD314" s="20" t="s">
        <v>72</v>
      </c>
      <c r="AE314" s="20"/>
      <c r="AF314" s="20"/>
      <c r="AG314" s="20"/>
      <c r="AH314" s="20"/>
      <c r="AI314" s="20"/>
      <c r="AJ314" s="20"/>
      <c r="AK314" s="20"/>
      <c r="AL314" s="20"/>
      <c r="AM314" s="20"/>
      <c r="AN314" s="20"/>
      <c r="AO314" s="20"/>
      <c r="AP314" s="20"/>
      <c r="AQ314" s="20"/>
      <c r="AR314" s="20"/>
      <c r="AS314" s="20"/>
      <c r="AT314" s="20"/>
    </row>
    <row r="315">
      <c r="A315" s="20">
        <v>313.0</v>
      </c>
      <c r="B315" s="29" t="s">
        <v>388</v>
      </c>
      <c r="C315" s="30"/>
      <c r="D315" s="20"/>
      <c r="E315" s="20"/>
      <c r="F315" s="20"/>
      <c r="G315" s="20"/>
      <c r="H315" s="33" t="s">
        <v>65</v>
      </c>
      <c r="I315" s="33" t="s">
        <v>66</v>
      </c>
      <c r="J315" s="21"/>
      <c r="K315" s="20" t="str">
        <f t="shared" si="1"/>
        <v>Health services</v>
      </c>
      <c r="L315" s="20" t="s">
        <v>67</v>
      </c>
      <c r="M315" s="20" t="str">
        <f t="shared" si="2"/>
        <v>Health services</v>
      </c>
      <c r="N315" s="22" t="s">
        <v>119</v>
      </c>
      <c r="O315" s="22" t="s">
        <v>120</v>
      </c>
      <c r="P315" s="20" t="s">
        <v>121</v>
      </c>
      <c r="Q315" s="20" t="s">
        <v>121</v>
      </c>
      <c r="R315" s="30">
        <v>247000.0</v>
      </c>
      <c r="S315" s="30">
        <v>247000.0</v>
      </c>
      <c r="T315" s="30">
        <v>247000.0</v>
      </c>
      <c r="U315" s="20" t="s">
        <v>71</v>
      </c>
      <c r="V315" s="20"/>
      <c r="W315" s="30">
        <v>247000.0</v>
      </c>
      <c r="X315" s="20"/>
      <c r="Y315" s="30">
        <v>247000.0</v>
      </c>
      <c r="Z315" s="24">
        <f t="shared" si="3"/>
        <v>1</v>
      </c>
      <c r="AA315" s="23">
        <f t="shared" si="5"/>
        <v>247000</v>
      </c>
      <c r="AB315" s="20"/>
      <c r="AC315" s="25">
        <f t="shared" si="4"/>
        <v>0</v>
      </c>
      <c r="AD315" s="20" t="s">
        <v>72</v>
      </c>
      <c r="AE315" s="20"/>
      <c r="AF315" s="20"/>
      <c r="AG315" s="20"/>
      <c r="AH315" s="20"/>
      <c r="AI315" s="20"/>
      <c r="AJ315" s="20"/>
      <c r="AK315" s="20"/>
      <c r="AL315" s="20"/>
      <c r="AM315" s="20"/>
      <c r="AN315" s="20"/>
      <c r="AO315" s="20"/>
      <c r="AP315" s="20"/>
      <c r="AQ315" s="20"/>
      <c r="AR315" s="20"/>
      <c r="AS315" s="20"/>
      <c r="AT315" s="20"/>
    </row>
    <row r="316">
      <c r="A316" s="20">
        <v>314.0</v>
      </c>
      <c r="B316" s="29" t="s">
        <v>389</v>
      </c>
      <c r="C316" s="30"/>
      <c r="D316" s="20"/>
      <c r="E316" s="20"/>
      <c r="F316" s="20"/>
      <c r="G316" s="20"/>
      <c r="H316" s="33" t="s">
        <v>113</v>
      </c>
      <c r="I316" s="33" t="s">
        <v>74</v>
      </c>
      <c r="J316" s="21"/>
      <c r="K316" s="20" t="str">
        <f t="shared" si="1"/>
        <v>ROADS,TRANSPORT AND PUBLIC WORKS</v>
      </c>
      <c r="L316" s="20" t="s">
        <v>107</v>
      </c>
      <c r="M316" s="20" t="str">
        <f t="shared" si="2"/>
        <v>ROADS,TRANSPORT AND PUBLIC WORKS</v>
      </c>
      <c r="N316" s="22" t="s">
        <v>119</v>
      </c>
      <c r="O316" s="22" t="s">
        <v>120</v>
      </c>
      <c r="P316" s="20" t="s">
        <v>121</v>
      </c>
      <c r="Q316" s="20" t="s">
        <v>121</v>
      </c>
      <c r="R316" s="30">
        <v>248000.0</v>
      </c>
      <c r="S316" s="30">
        <v>248000.0</v>
      </c>
      <c r="T316" s="30">
        <v>248000.0</v>
      </c>
      <c r="U316" s="20" t="s">
        <v>71</v>
      </c>
      <c r="V316" s="20"/>
      <c r="W316" s="30">
        <v>248000.0</v>
      </c>
      <c r="X316" s="20"/>
      <c r="Y316" s="30">
        <v>248000.0</v>
      </c>
      <c r="Z316" s="24">
        <f t="shared" si="3"/>
        <v>1</v>
      </c>
      <c r="AA316" s="23">
        <f t="shared" si="5"/>
        <v>248000</v>
      </c>
      <c r="AB316" s="20"/>
      <c r="AC316" s="25">
        <f t="shared" si="4"/>
        <v>0</v>
      </c>
      <c r="AD316" s="20" t="s">
        <v>72</v>
      </c>
      <c r="AE316" s="20"/>
      <c r="AF316" s="20"/>
      <c r="AG316" s="20"/>
      <c r="AH316" s="20"/>
      <c r="AI316" s="20"/>
      <c r="AJ316" s="20"/>
      <c r="AK316" s="20"/>
      <c r="AL316" s="20"/>
      <c r="AM316" s="20"/>
      <c r="AN316" s="20"/>
      <c r="AO316" s="20"/>
      <c r="AP316" s="20"/>
      <c r="AQ316" s="20"/>
      <c r="AR316" s="20"/>
      <c r="AS316" s="20"/>
      <c r="AT316" s="20"/>
    </row>
    <row r="317">
      <c r="A317" s="20">
        <v>315.0</v>
      </c>
      <c r="B317" s="29" t="s">
        <v>372</v>
      </c>
      <c r="C317" s="30"/>
      <c r="D317" s="20"/>
      <c r="E317" s="20"/>
      <c r="F317" s="20"/>
      <c r="G317" s="20"/>
      <c r="H317" s="33" t="s">
        <v>65</v>
      </c>
      <c r="I317" s="33" t="s">
        <v>66</v>
      </c>
      <c r="J317" s="21"/>
      <c r="K317" s="20" t="str">
        <f t="shared" si="1"/>
        <v>WATER,ENVIRONMENT,CLIMATE CHANGE AND NATURAL RESOURCES</v>
      </c>
      <c r="L317" s="20" t="s">
        <v>75</v>
      </c>
      <c r="M317" s="20" t="str">
        <f t="shared" si="2"/>
        <v>WATER,ENVIRONMENT,CLIMATE CHANGE AND NATURAL RESOURCES</v>
      </c>
      <c r="N317" s="22" t="s">
        <v>119</v>
      </c>
      <c r="O317" s="22" t="s">
        <v>120</v>
      </c>
      <c r="P317" s="20" t="s">
        <v>121</v>
      </c>
      <c r="Q317" s="20" t="s">
        <v>121</v>
      </c>
      <c r="R317" s="30">
        <v>248000.0</v>
      </c>
      <c r="S317" s="30">
        <v>248000.0</v>
      </c>
      <c r="T317" s="30">
        <v>248000.0</v>
      </c>
      <c r="U317" s="20" t="s">
        <v>71</v>
      </c>
      <c r="V317" s="20"/>
      <c r="W317" s="30">
        <v>248000.0</v>
      </c>
      <c r="X317" s="20"/>
      <c r="Y317" s="30">
        <v>248000.0</v>
      </c>
      <c r="Z317" s="24">
        <f t="shared" si="3"/>
        <v>1</v>
      </c>
      <c r="AA317" s="23">
        <f t="shared" si="5"/>
        <v>248000</v>
      </c>
      <c r="AB317" s="20"/>
      <c r="AC317" s="25">
        <f t="shared" si="4"/>
        <v>0</v>
      </c>
      <c r="AD317" s="20" t="s">
        <v>72</v>
      </c>
      <c r="AE317" s="20"/>
      <c r="AF317" s="20"/>
      <c r="AG317" s="20"/>
      <c r="AH317" s="20"/>
      <c r="AI317" s="20"/>
      <c r="AJ317" s="20"/>
      <c r="AK317" s="20"/>
      <c r="AL317" s="20"/>
      <c r="AM317" s="20"/>
      <c r="AN317" s="20"/>
      <c r="AO317" s="20"/>
      <c r="AP317" s="20"/>
      <c r="AQ317" s="20"/>
      <c r="AR317" s="20"/>
      <c r="AS317" s="20"/>
      <c r="AT317" s="20"/>
    </row>
    <row r="318">
      <c r="A318" s="20">
        <v>316.0</v>
      </c>
      <c r="B318" s="29" t="s">
        <v>390</v>
      </c>
      <c r="C318" s="30"/>
      <c r="D318" s="20"/>
      <c r="E318" s="20"/>
      <c r="F318" s="20"/>
      <c r="G318" s="20"/>
      <c r="H318" s="33" t="s">
        <v>160</v>
      </c>
      <c r="I318" s="33" t="s">
        <v>356</v>
      </c>
      <c r="J318" s="21"/>
      <c r="K318" s="20" t="str">
        <f t="shared" si="1"/>
        <v>Health services</v>
      </c>
      <c r="L318" s="20" t="s">
        <v>67</v>
      </c>
      <c r="M318" s="20" t="str">
        <f t="shared" si="2"/>
        <v>Health services</v>
      </c>
      <c r="N318" s="22" t="s">
        <v>119</v>
      </c>
      <c r="O318" s="22" t="s">
        <v>120</v>
      </c>
      <c r="P318" s="20" t="s">
        <v>121</v>
      </c>
      <c r="Q318" s="20" t="s">
        <v>121</v>
      </c>
      <c r="R318" s="30">
        <v>249000.0</v>
      </c>
      <c r="S318" s="30">
        <v>249000.0</v>
      </c>
      <c r="T318" s="30">
        <v>249000.0</v>
      </c>
      <c r="U318" s="20" t="s">
        <v>71</v>
      </c>
      <c r="V318" s="20"/>
      <c r="W318" s="30">
        <v>249000.0</v>
      </c>
      <c r="X318" s="20"/>
      <c r="Y318" s="30">
        <v>249000.0</v>
      </c>
      <c r="Z318" s="24">
        <f t="shared" si="3"/>
        <v>1</v>
      </c>
      <c r="AA318" s="23">
        <f t="shared" si="5"/>
        <v>249000</v>
      </c>
      <c r="AB318" s="20"/>
      <c r="AC318" s="25">
        <f t="shared" si="4"/>
        <v>0</v>
      </c>
      <c r="AD318" s="20" t="s">
        <v>72</v>
      </c>
      <c r="AE318" s="20"/>
      <c r="AF318" s="20"/>
      <c r="AG318" s="20"/>
      <c r="AH318" s="20"/>
      <c r="AI318" s="20"/>
      <c r="AJ318" s="20"/>
      <c r="AK318" s="20"/>
      <c r="AL318" s="20"/>
      <c r="AM318" s="20"/>
      <c r="AN318" s="20"/>
      <c r="AO318" s="20"/>
      <c r="AP318" s="20"/>
      <c r="AQ318" s="20"/>
      <c r="AR318" s="20"/>
      <c r="AS318" s="20"/>
      <c r="AT318" s="20"/>
    </row>
    <row r="319">
      <c r="A319" s="20">
        <v>317.0</v>
      </c>
      <c r="B319" s="29" t="s">
        <v>391</v>
      </c>
      <c r="C319" s="30"/>
      <c r="D319" s="20"/>
      <c r="E319" s="20"/>
      <c r="F319" s="20"/>
      <c r="G319" s="20"/>
      <c r="H319" s="33" t="s">
        <v>160</v>
      </c>
      <c r="I319" s="33" t="s">
        <v>160</v>
      </c>
      <c r="J319" s="21"/>
      <c r="K319" s="20" t="str">
        <f t="shared" si="1"/>
        <v>ROADS,TRANSPORT AND PUBLIC WORKS</v>
      </c>
      <c r="L319" s="20" t="s">
        <v>107</v>
      </c>
      <c r="M319" s="20" t="str">
        <f t="shared" si="2"/>
        <v>ROADS,TRANSPORT AND PUBLIC WORKS</v>
      </c>
      <c r="N319" s="22" t="s">
        <v>119</v>
      </c>
      <c r="O319" s="22" t="s">
        <v>120</v>
      </c>
      <c r="P319" s="20" t="s">
        <v>121</v>
      </c>
      <c r="Q319" s="20" t="s">
        <v>121</v>
      </c>
      <c r="R319" s="30">
        <v>249000.0</v>
      </c>
      <c r="S319" s="30">
        <v>249000.0</v>
      </c>
      <c r="T319" s="30">
        <v>249000.0</v>
      </c>
      <c r="U319" s="20" t="s">
        <v>71</v>
      </c>
      <c r="V319" s="20"/>
      <c r="W319" s="30">
        <v>249000.0</v>
      </c>
      <c r="X319" s="20"/>
      <c r="Y319" s="30">
        <v>249000.0</v>
      </c>
      <c r="Z319" s="24">
        <f t="shared" si="3"/>
        <v>1</v>
      </c>
      <c r="AA319" s="23">
        <f t="shared" si="5"/>
        <v>249000</v>
      </c>
      <c r="AB319" s="20"/>
      <c r="AC319" s="25">
        <f t="shared" si="4"/>
        <v>0</v>
      </c>
      <c r="AD319" s="20" t="s">
        <v>72</v>
      </c>
      <c r="AE319" s="20"/>
      <c r="AF319" s="20"/>
      <c r="AG319" s="20"/>
      <c r="AH319" s="20"/>
      <c r="AI319" s="20"/>
      <c r="AJ319" s="20"/>
      <c r="AK319" s="20"/>
      <c r="AL319" s="20"/>
      <c r="AM319" s="20"/>
      <c r="AN319" s="20"/>
      <c r="AO319" s="20"/>
      <c r="AP319" s="20"/>
      <c r="AQ319" s="20"/>
      <c r="AR319" s="20"/>
      <c r="AS319" s="20"/>
      <c r="AT319" s="20"/>
    </row>
    <row r="320">
      <c r="A320" s="20">
        <v>318.0</v>
      </c>
      <c r="B320" s="29" t="s">
        <v>392</v>
      </c>
      <c r="C320" s="30"/>
      <c r="D320" s="20"/>
      <c r="E320" s="20"/>
      <c r="F320" s="20"/>
      <c r="G320" s="20"/>
      <c r="H320" s="33" t="s">
        <v>113</v>
      </c>
      <c r="I320" s="33" t="s">
        <v>66</v>
      </c>
      <c r="J320" s="21"/>
      <c r="K320" s="20" t="str">
        <f t="shared" si="1"/>
        <v>ROADS,TRANSPORT AND PUBLIC WORKS</v>
      </c>
      <c r="L320" s="20" t="s">
        <v>107</v>
      </c>
      <c r="M320" s="20" t="str">
        <f t="shared" si="2"/>
        <v>ROADS,TRANSPORT AND PUBLIC WORKS</v>
      </c>
      <c r="N320" s="22" t="s">
        <v>119</v>
      </c>
      <c r="O320" s="22" t="s">
        <v>120</v>
      </c>
      <c r="P320" s="20" t="s">
        <v>121</v>
      </c>
      <c r="Q320" s="20" t="s">
        <v>121</v>
      </c>
      <c r="R320" s="30">
        <v>250000.0</v>
      </c>
      <c r="S320" s="30">
        <v>250000.0</v>
      </c>
      <c r="T320" s="30">
        <v>250000.0</v>
      </c>
      <c r="U320" s="20" t="s">
        <v>71</v>
      </c>
      <c r="V320" s="20"/>
      <c r="W320" s="30">
        <v>250000.0</v>
      </c>
      <c r="X320" s="20"/>
      <c r="Y320" s="30">
        <v>250000.0</v>
      </c>
      <c r="Z320" s="24">
        <f t="shared" si="3"/>
        <v>1</v>
      </c>
      <c r="AA320" s="23">
        <f t="shared" si="5"/>
        <v>250000</v>
      </c>
      <c r="AB320" s="20"/>
      <c r="AC320" s="25">
        <f t="shared" si="4"/>
        <v>0</v>
      </c>
      <c r="AD320" s="20" t="s">
        <v>72</v>
      </c>
      <c r="AE320" s="20"/>
      <c r="AF320" s="20"/>
      <c r="AG320" s="20"/>
      <c r="AH320" s="20"/>
      <c r="AI320" s="20"/>
      <c r="AJ320" s="20"/>
      <c r="AK320" s="20"/>
      <c r="AL320" s="20"/>
      <c r="AM320" s="20"/>
      <c r="AN320" s="20"/>
      <c r="AO320" s="20"/>
      <c r="AP320" s="20"/>
      <c r="AQ320" s="20"/>
      <c r="AR320" s="20"/>
      <c r="AS320" s="20"/>
      <c r="AT320" s="20"/>
    </row>
    <row r="321">
      <c r="A321" s="20">
        <v>319.0</v>
      </c>
      <c r="B321" s="29" t="s">
        <v>393</v>
      </c>
      <c r="C321" s="30"/>
      <c r="D321" s="20"/>
      <c r="E321" s="20"/>
      <c r="F321" s="20"/>
      <c r="G321" s="20"/>
      <c r="H321" s="33" t="s">
        <v>65</v>
      </c>
      <c r="I321" s="33" t="s">
        <v>90</v>
      </c>
      <c r="J321" s="21"/>
      <c r="K321" s="20" t="str">
        <f t="shared" si="1"/>
        <v>ROADS,TRANSPORT AND PUBLIC WORKS</v>
      </c>
      <c r="L321" s="20" t="s">
        <v>107</v>
      </c>
      <c r="M321" s="20" t="str">
        <f t="shared" si="2"/>
        <v>ROADS,TRANSPORT AND PUBLIC WORKS</v>
      </c>
      <c r="N321" s="22" t="s">
        <v>119</v>
      </c>
      <c r="O321" s="22" t="s">
        <v>120</v>
      </c>
      <c r="P321" s="20" t="s">
        <v>121</v>
      </c>
      <c r="Q321" s="20" t="s">
        <v>121</v>
      </c>
      <c r="R321" s="30">
        <v>250000.0</v>
      </c>
      <c r="S321" s="30">
        <v>250000.0</v>
      </c>
      <c r="T321" s="30">
        <v>250000.0</v>
      </c>
      <c r="U321" s="20" t="s">
        <v>71</v>
      </c>
      <c r="V321" s="20"/>
      <c r="W321" s="30">
        <v>250000.0</v>
      </c>
      <c r="X321" s="20"/>
      <c r="Y321" s="30">
        <v>250000.0</v>
      </c>
      <c r="Z321" s="24">
        <f t="shared" si="3"/>
        <v>1</v>
      </c>
      <c r="AA321" s="23">
        <f t="shared" si="5"/>
        <v>250000</v>
      </c>
      <c r="AB321" s="20"/>
      <c r="AC321" s="25">
        <f t="shared" si="4"/>
        <v>0</v>
      </c>
      <c r="AD321" s="20" t="s">
        <v>72</v>
      </c>
      <c r="AE321" s="20"/>
      <c r="AF321" s="20"/>
      <c r="AG321" s="20"/>
      <c r="AH321" s="20"/>
      <c r="AI321" s="20"/>
      <c r="AJ321" s="20"/>
      <c r="AK321" s="20"/>
      <c r="AL321" s="20"/>
      <c r="AM321" s="20"/>
      <c r="AN321" s="20"/>
      <c r="AO321" s="20"/>
      <c r="AP321" s="20"/>
      <c r="AQ321" s="20"/>
      <c r="AR321" s="20"/>
      <c r="AS321" s="20"/>
      <c r="AT321" s="20"/>
    </row>
    <row r="322">
      <c r="A322" s="20">
        <v>320.0</v>
      </c>
      <c r="B322" s="29" t="s">
        <v>394</v>
      </c>
      <c r="C322" s="30"/>
      <c r="D322" s="20"/>
      <c r="E322" s="20"/>
      <c r="F322" s="20"/>
      <c r="G322" s="20"/>
      <c r="H322" s="33" t="s">
        <v>65</v>
      </c>
      <c r="I322" s="33" t="s">
        <v>66</v>
      </c>
      <c r="J322" s="21"/>
      <c r="K322" s="20" t="str">
        <f t="shared" si="1"/>
        <v>WATER,ENVIRONMENT,CLIMATE CHANGE AND NATURAL RESOURCES</v>
      </c>
      <c r="L322" s="20" t="s">
        <v>75</v>
      </c>
      <c r="M322" s="20" t="str">
        <f t="shared" si="2"/>
        <v>WATER,ENVIRONMENT,CLIMATE CHANGE AND NATURAL RESOURCES</v>
      </c>
      <c r="N322" s="22" t="s">
        <v>119</v>
      </c>
      <c r="O322" s="22" t="s">
        <v>120</v>
      </c>
      <c r="P322" s="20" t="s">
        <v>121</v>
      </c>
      <c r="Q322" s="20" t="s">
        <v>121</v>
      </c>
      <c r="R322" s="30">
        <v>250000.0</v>
      </c>
      <c r="S322" s="30">
        <v>250000.0</v>
      </c>
      <c r="T322" s="30">
        <v>250000.0</v>
      </c>
      <c r="U322" s="20" t="s">
        <v>71</v>
      </c>
      <c r="V322" s="20"/>
      <c r="W322" s="30">
        <v>250000.0</v>
      </c>
      <c r="X322" s="20"/>
      <c r="Y322" s="30">
        <v>250000.0</v>
      </c>
      <c r="Z322" s="24">
        <f t="shared" si="3"/>
        <v>1</v>
      </c>
      <c r="AA322" s="23">
        <f t="shared" si="5"/>
        <v>250000</v>
      </c>
      <c r="AB322" s="20"/>
      <c r="AC322" s="25">
        <f t="shared" si="4"/>
        <v>0</v>
      </c>
      <c r="AD322" s="20" t="s">
        <v>72</v>
      </c>
      <c r="AE322" s="20"/>
      <c r="AF322" s="20"/>
      <c r="AG322" s="20"/>
      <c r="AH322" s="20"/>
      <c r="AI322" s="20"/>
      <c r="AJ322" s="20"/>
      <c r="AK322" s="20"/>
      <c r="AL322" s="20"/>
      <c r="AM322" s="20"/>
      <c r="AN322" s="20"/>
      <c r="AO322" s="20"/>
      <c r="AP322" s="20"/>
      <c r="AQ322" s="20"/>
      <c r="AR322" s="20"/>
      <c r="AS322" s="20"/>
      <c r="AT322" s="20"/>
    </row>
    <row r="323">
      <c r="A323" s="20">
        <v>321.0</v>
      </c>
      <c r="B323" s="29" t="s">
        <v>395</v>
      </c>
      <c r="C323" s="30"/>
      <c r="D323" s="20"/>
      <c r="E323" s="20"/>
      <c r="F323" s="20"/>
      <c r="G323" s="20"/>
      <c r="H323" s="33" t="s">
        <v>65</v>
      </c>
      <c r="I323" s="33" t="s">
        <v>66</v>
      </c>
      <c r="J323" s="21"/>
      <c r="K323" s="20" t="str">
        <f t="shared" si="1"/>
        <v>Health services</v>
      </c>
      <c r="L323" s="20" t="s">
        <v>67</v>
      </c>
      <c r="M323" s="20" t="str">
        <f t="shared" si="2"/>
        <v>Health services</v>
      </c>
      <c r="N323" s="22" t="s">
        <v>119</v>
      </c>
      <c r="O323" s="22" t="s">
        <v>120</v>
      </c>
      <c r="P323" s="20" t="s">
        <v>121</v>
      </c>
      <c r="Q323" s="20" t="s">
        <v>121</v>
      </c>
      <c r="R323" s="30">
        <v>252000.0</v>
      </c>
      <c r="S323" s="30">
        <v>252000.0</v>
      </c>
      <c r="T323" s="30">
        <v>252000.0</v>
      </c>
      <c r="U323" s="20" t="s">
        <v>71</v>
      </c>
      <c r="V323" s="20"/>
      <c r="W323" s="30">
        <v>252000.0</v>
      </c>
      <c r="X323" s="20"/>
      <c r="Y323" s="30">
        <v>252000.0</v>
      </c>
      <c r="Z323" s="24">
        <f t="shared" si="3"/>
        <v>1</v>
      </c>
      <c r="AA323" s="23">
        <f t="shared" si="5"/>
        <v>252000</v>
      </c>
      <c r="AB323" s="20"/>
      <c r="AC323" s="25">
        <f t="shared" si="4"/>
        <v>0</v>
      </c>
      <c r="AD323" s="20" t="s">
        <v>72</v>
      </c>
      <c r="AE323" s="20"/>
      <c r="AF323" s="20"/>
      <c r="AG323" s="20"/>
      <c r="AH323" s="20"/>
      <c r="AI323" s="20"/>
      <c r="AJ323" s="20"/>
      <c r="AK323" s="20"/>
      <c r="AL323" s="20"/>
      <c r="AM323" s="20"/>
      <c r="AN323" s="20"/>
      <c r="AO323" s="20"/>
      <c r="AP323" s="20"/>
      <c r="AQ323" s="20"/>
      <c r="AR323" s="20"/>
      <c r="AS323" s="20"/>
      <c r="AT323" s="20"/>
    </row>
    <row r="324">
      <c r="A324" s="20">
        <v>322.0</v>
      </c>
      <c r="B324" s="29" t="s">
        <v>396</v>
      </c>
      <c r="C324" s="30"/>
      <c r="D324" s="20"/>
      <c r="E324" s="20"/>
      <c r="F324" s="20"/>
      <c r="G324" s="20"/>
      <c r="H324" s="33" t="s">
        <v>113</v>
      </c>
      <c r="I324" s="33" t="s">
        <v>397</v>
      </c>
      <c r="J324" s="21"/>
      <c r="K324" s="20" t="str">
        <f t="shared" si="1"/>
        <v>ROADS,TRANSPORT AND PUBLIC WORKS</v>
      </c>
      <c r="L324" s="20" t="s">
        <v>107</v>
      </c>
      <c r="M324" s="20" t="str">
        <f t="shared" si="2"/>
        <v>ROADS,TRANSPORT AND PUBLIC WORKS</v>
      </c>
      <c r="N324" s="22" t="s">
        <v>119</v>
      </c>
      <c r="O324" s="22" t="s">
        <v>120</v>
      </c>
      <c r="P324" s="20" t="s">
        <v>121</v>
      </c>
      <c r="Q324" s="20" t="s">
        <v>121</v>
      </c>
      <c r="R324" s="30">
        <v>252000.0</v>
      </c>
      <c r="S324" s="30">
        <v>252000.0</v>
      </c>
      <c r="T324" s="30">
        <v>252000.0</v>
      </c>
      <c r="U324" s="20" t="s">
        <v>71</v>
      </c>
      <c r="V324" s="20"/>
      <c r="W324" s="30">
        <v>252000.0</v>
      </c>
      <c r="X324" s="20"/>
      <c r="Y324" s="30">
        <v>252000.0</v>
      </c>
      <c r="Z324" s="24">
        <f t="shared" si="3"/>
        <v>1</v>
      </c>
      <c r="AA324" s="23">
        <f t="shared" si="5"/>
        <v>252000</v>
      </c>
      <c r="AB324" s="20"/>
      <c r="AC324" s="25">
        <f t="shared" si="4"/>
        <v>0</v>
      </c>
      <c r="AD324" s="20" t="s">
        <v>72</v>
      </c>
      <c r="AE324" s="20"/>
      <c r="AF324" s="20"/>
      <c r="AG324" s="20"/>
      <c r="AH324" s="20"/>
      <c r="AI324" s="20"/>
      <c r="AJ324" s="20"/>
      <c r="AK324" s="20"/>
      <c r="AL324" s="20"/>
      <c r="AM324" s="20"/>
      <c r="AN324" s="20"/>
      <c r="AO324" s="20"/>
      <c r="AP324" s="20"/>
      <c r="AQ324" s="20"/>
      <c r="AR324" s="20"/>
      <c r="AS324" s="20"/>
      <c r="AT324" s="20"/>
    </row>
    <row r="325">
      <c r="A325" s="20">
        <v>323.0</v>
      </c>
      <c r="B325" s="29" t="s">
        <v>398</v>
      </c>
      <c r="C325" s="30"/>
      <c r="D325" s="20"/>
      <c r="E325" s="20"/>
      <c r="F325" s="20"/>
      <c r="G325" s="20"/>
      <c r="H325" s="33" t="s">
        <v>77</v>
      </c>
      <c r="I325" s="33" t="s">
        <v>128</v>
      </c>
      <c r="J325" s="21"/>
      <c r="K325" s="20" t="str">
        <f t="shared" si="1"/>
        <v>EDUCATION,INFORMATION AND ICT</v>
      </c>
      <c r="L325" s="20" t="s">
        <v>84</v>
      </c>
      <c r="M325" s="20" t="str">
        <f t="shared" si="2"/>
        <v>EDUCATION,INFORMATION AND ICT</v>
      </c>
      <c r="N325" s="22" t="s">
        <v>119</v>
      </c>
      <c r="O325" s="22" t="s">
        <v>120</v>
      </c>
      <c r="P325" s="20" t="s">
        <v>121</v>
      </c>
      <c r="Q325" s="20" t="s">
        <v>121</v>
      </c>
      <c r="R325" s="30">
        <v>255000.0</v>
      </c>
      <c r="S325" s="30">
        <v>255000.0</v>
      </c>
      <c r="T325" s="30">
        <v>255000.0</v>
      </c>
      <c r="U325" s="20" t="s">
        <v>71</v>
      </c>
      <c r="V325" s="20"/>
      <c r="W325" s="30">
        <v>255000.0</v>
      </c>
      <c r="X325" s="20"/>
      <c r="Y325" s="30">
        <v>255000.0</v>
      </c>
      <c r="Z325" s="24">
        <f t="shared" si="3"/>
        <v>1</v>
      </c>
      <c r="AA325" s="23">
        <f t="shared" si="5"/>
        <v>255000</v>
      </c>
      <c r="AB325" s="20"/>
      <c r="AC325" s="25">
        <f t="shared" si="4"/>
        <v>0</v>
      </c>
      <c r="AD325" s="20" t="s">
        <v>72</v>
      </c>
      <c r="AE325" s="20"/>
      <c r="AF325" s="20"/>
      <c r="AG325" s="20"/>
      <c r="AH325" s="20"/>
      <c r="AI325" s="20"/>
      <c r="AJ325" s="20"/>
      <c r="AK325" s="20"/>
      <c r="AL325" s="20"/>
      <c r="AM325" s="20"/>
      <c r="AN325" s="20"/>
      <c r="AO325" s="20"/>
      <c r="AP325" s="20"/>
      <c r="AQ325" s="20"/>
      <c r="AR325" s="20"/>
      <c r="AS325" s="20"/>
      <c r="AT325" s="20"/>
    </row>
    <row r="326">
      <c r="A326" s="20">
        <v>324.0</v>
      </c>
      <c r="B326" s="37" t="s">
        <v>399</v>
      </c>
      <c r="C326" s="30"/>
      <c r="D326" s="20"/>
      <c r="E326" s="20"/>
      <c r="F326" s="20"/>
      <c r="G326" s="20"/>
      <c r="H326" s="33" t="s">
        <v>65</v>
      </c>
      <c r="I326" s="33" t="s">
        <v>66</v>
      </c>
      <c r="J326" s="21"/>
      <c r="K326" s="20" t="str">
        <f t="shared" si="1"/>
        <v>ROADS,TRANSPORT AND PUBLIC WORKS</v>
      </c>
      <c r="L326" s="20" t="s">
        <v>107</v>
      </c>
      <c r="M326" s="20" t="str">
        <f t="shared" si="2"/>
        <v>ROADS,TRANSPORT AND PUBLIC WORKS</v>
      </c>
      <c r="N326" s="22" t="s">
        <v>119</v>
      </c>
      <c r="O326" s="22" t="s">
        <v>120</v>
      </c>
      <c r="P326" s="20" t="s">
        <v>121</v>
      </c>
      <c r="Q326" s="20" t="s">
        <v>121</v>
      </c>
      <c r="R326" s="30">
        <v>255000.0</v>
      </c>
      <c r="S326" s="30">
        <v>255000.0</v>
      </c>
      <c r="T326" s="30">
        <v>255000.0</v>
      </c>
      <c r="U326" s="20" t="s">
        <v>71</v>
      </c>
      <c r="V326" s="20"/>
      <c r="W326" s="30">
        <v>255000.0</v>
      </c>
      <c r="X326" s="20"/>
      <c r="Y326" s="30">
        <v>255000.0</v>
      </c>
      <c r="Z326" s="24">
        <f t="shared" si="3"/>
        <v>1</v>
      </c>
      <c r="AA326" s="23">
        <f t="shared" si="5"/>
        <v>255000</v>
      </c>
      <c r="AB326" s="20"/>
      <c r="AC326" s="25">
        <f t="shared" si="4"/>
        <v>0</v>
      </c>
      <c r="AD326" s="20" t="s">
        <v>72</v>
      </c>
      <c r="AE326" s="20"/>
      <c r="AF326" s="20"/>
      <c r="AG326" s="20"/>
      <c r="AH326" s="20"/>
      <c r="AI326" s="20"/>
      <c r="AJ326" s="20"/>
      <c r="AK326" s="20"/>
      <c r="AL326" s="20"/>
      <c r="AM326" s="20"/>
      <c r="AN326" s="20"/>
      <c r="AO326" s="20"/>
      <c r="AP326" s="20"/>
      <c r="AQ326" s="20"/>
      <c r="AR326" s="20"/>
      <c r="AS326" s="20"/>
      <c r="AT326" s="20"/>
    </row>
    <row r="327">
      <c r="A327" s="20">
        <v>325.0</v>
      </c>
      <c r="B327" s="29" t="s">
        <v>400</v>
      </c>
      <c r="C327" s="30"/>
      <c r="D327" s="20"/>
      <c r="E327" s="20"/>
      <c r="F327" s="20"/>
      <c r="G327" s="20"/>
      <c r="H327" s="33" t="s">
        <v>65</v>
      </c>
      <c r="I327" s="33" t="s">
        <v>90</v>
      </c>
      <c r="J327" s="21"/>
      <c r="K327" s="20" t="str">
        <f t="shared" si="1"/>
        <v>ROADS,TRANSPORT AND PUBLIC WORKS</v>
      </c>
      <c r="L327" s="20" t="s">
        <v>107</v>
      </c>
      <c r="M327" s="20" t="str">
        <f t="shared" si="2"/>
        <v>ROADS,TRANSPORT AND PUBLIC WORKS</v>
      </c>
      <c r="N327" s="22" t="s">
        <v>119</v>
      </c>
      <c r="O327" s="22" t="s">
        <v>120</v>
      </c>
      <c r="P327" s="20" t="s">
        <v>121</v>
      </c>
      <c r="Q327" s="20" t="s">
        <v>121</v>
      </c>
      <c r="R327" s="30">
        <v>256000.0</v>
      </c>
      <c r="S327" s="30">
        <v>256000.0</v>
      </c>
      <c r="T327" s="30">
        <v>256000.0</v>
      </c>
      <c r="U327" s="20" t="s">
        <v>71</v>
      </c>
      <c r="V327" s="20"/>
      <c r="W327" s="30">
        <v>256000.0</v>
      </c>
      <c r="X327" s="20"/>
      <c r="Y327" s="30">
        <v>256000.0</v>
      </c>
      <c r="Z327" s="24">
        <f t="shared" si="3"/>
        <v>1</v>
      </c>
      <c r="AA327" s="23">
        <f t="shared" si="5"/>
        <v>256000</v>
      </c>
      <c r="AB327" s="20"/>
      <c r="AC327" s="25">
        <f t="shared" si="4"/>
        <v>0</v>
      </c>
      <c r="AD327" s="20" t="s">
        <v>72</v>
      </c>
      <c r="AE327" s="20"/>
      <c r="AF327" s="20"/>
      <c r="AG327" s="20"/>
      <c r="AH327" s="20"/>
      <c r="AI327" s="20"/>
      <c r="AJ327" s="20"/>
      <c r="AK327" s="20"/>
      <c r="AL327" s="20"/>
      <c r="AM327" s="20"/>
      <c r="AN327" s="20"/>
      <c r="AO327" s="20"/>
      <c r="AP327" s="20"/>
      <c r="AQ327" s="20"/>
      <c r="AR327" s="20"/>
      <c r="AS327" s="20"/>
      <c r="AT327" s="20"/>
    </row>
    <row r="328">
      <c r="A328" s="20">
        <v>326.0</v>
      </c>
      <c r="B328" s="29" t="s">
        <v>401</v>
      </c>
      <c r="C328" s="30"/>
      <c r="D328" s="20"/>
      <c r="E328" s="20"/>
      <c r="F328" s="20"/>
      <c r="G328" s="20"/>
      <c r="H328" s="33" t="s">
        <v>81</v>
      </c>
      <c r="I328" s="33" t="s">
        <v>81</v>
      </c>
      <c r="J328" s="21"/>
      <c r="K328" s="20" t="str">
        <f t="shared" si="1"/>
        <v>WATER,ENVIRONMENT,CLIMATE CHANGE AND NATURAL RESOURCES</v>
      </c>
      <c r="L328" s="20" t="s">
        <v>75</v>
      </c>
      <c r="M328" s="20" t="str">
        <f t="shared" si="2"/>
        <v>WATER,ENVIRONMENT,CLIMATE CHANGE AND NATURAL RESOURCES</v>
      </c>
      <c r="N328" s="22" t="s">
        <v>119</v>
      </c>
      <c r="O328" s="22" t="s">
        <v>120</v>
      </c>
      <c r="P328" s="20" t="s">
        <v>121</v>
      </c>
      <c r="Q328" s="20" t="s">
        <v>121</v>
      </c>
      <c r="R328" s="30">
        <v>257000.0</v>
      </c>
      <c r="S328" s="30">
        <v>257000.0</v>
      </c>
      <c r="T328" s="30">
        <v>257000.0</v>
      </c>
      <c r="U328" s="20" t="s">
        <v>71</v>
      </c>
      <c r="V328" s="20"/>
      <c r="W328" s="30">
        <v>257000.0</v>
      </c>
      <c r="X328" s="20"/>
      <c r="Y328" s="30">
        <v>257000.0</v>
      </c>
      <c r="Z328" s="24">
        <f t="shared" si="3"/>
        <v>1</v>
      </c>
      <c r="AA328" s="23">
        <f t="shared" si="5"/>
        <v>257000</v>
      </c>
      <c r="AB328" s="20"/>
      <c r="AC328" s="25">
        <f t="shared" si="4"/>
        <v>0</v>
      </c>
      <c r="AD328" s="20" t="s">
        <v>72</v>
      </c>
      <c r="AE328" s="20"/>
      <c r="AF328" s="20"/>
      <c r="AG328" s="20"/>
      <c r="AH328" s="20"/>
      <c r="AI328" s="20"/>
      <c r="AJ328" s="20"/>
      <c r="AK328" s="20"/>
      <c r="AL328" s="20"/>
      <c r="AM328" s="20"/>
      <c r="AN328" s="20"/>
      <c r="AO328" s="20"/>
      <c r="AP328" s="20"/>
      <c r="AQ328" s="20"/>
      <c r="AR328" s="20"/>
      <c r="AS328" s="20"/>
      <c r="AT328" s="20"/>
    </row>
    <row r="329">
      <c r="A329" s="20">
        <v>327.0</v>
      </c>
      <c r="B329" s="29" t="s">
        <v>402</v>
      </c>
      <c r="C329" s="30"/>
      <c r="D329" s="20"/>
      <c r="E329" s="20"/>
      <c r="F329" s="20"/>
      <c r="G329" s="20"/>
      <c r="H329" s="33" t="s">
        <v>77</v>
      </c>
      <c r="I329" s="33" t="s">
        <v>157</v>
      </c>
      <c r="J329" s="21"/>
      <c r="K329" s="20" t="str">
        <f t="shared" si="1"/>
        <v>WATER,ENVIRONMENT,CLIMATE CHANGE AND NATURAL RESOURCES</v>
      </c>
      <c r="L329" s="20" t="s">
        <v>75</v>
      </c>
      <c r="M329" s="20" t="str">
        <f t="shared" si="2"/>
        <v>WATER,ENVIRONMENT,CLIMATE CHANGE AND NATURAL RESOURCES</v>
      </c>
      <c r="N329" s="22" t="s">
        <v>119</v>
      </c>
      <c r="O329" s="22" t="s">
        <v>120</v>
      </c>
      <c r="P329" s="20" t="s">
        <v>121</v>
      </c>
      <c r="Q329" s="20" t="s">
        <v>121</v>
      </c>
      <c r="R329" s="30">
        <v>260000.0</v>
      </c>
      <c r="S329" s="30">
        <v>260000.0</v>
      </c>
      <c r="T329" s="30">
        <v>260000.0</v>
      </c>
      <c r="U329" s="20" t="s">
        <v>71</v>
      </c>
      <c r="V329" s="20"/>
      <c r="W329" s="30">
        <v>260000.0</v>
      </c>
      <c r="X329" s="20"/>
      <c r="Y329" s="30">
        <v>260000.0</v>
      </c>
      <c r="Z329" s="24">
        <f t="shared" si="3"/>
        <v>1</v>
      </c>
      <c r="AA329" s="23">
        <f t="shared" si="5"/>
        <v>260000</v>
      </c>
      <c r="AB329" s="20"/>
      <c r="AC329" s="25">
        <f t="shared" si="4"/>
        <v>0</v>
      </c>
      <c r="AD329" s="20" t="s">
        <v>72</v>
      </c>
      <c r="AE329" s="20"/>
      <c r="AF329" s="20"/>
      <c r="AG329" s="20"/>
      <c r="AH329" s="20"/>
      <c r="AI329" s="20"/>
      <c r="AJ329" s="20"/>
      <c r="AK329" s="20"/>
      <c r="AL329" s="20"/>
      <c r="AM329" s="20"/>
      <c r="AN329" s="20"/>
      <c r="AO329" s="20"/>
      <c r="AP329" s="20"/>
      <c r="AQ329" s="20"/>
      <c r="AR329" s="20"/>
      <c r="AS329" s="20"/>
      <c r="AT329" s="20"/>
    </row>
    <row r="330">
      <c r="A330" s="20">
        <v>328.0</v>
      </c>
      <c r="B330" s="29" t="s">
        <v>403</v>
      </c>
      <c r="C330" s="30"/>
      <c r="D330" s="20"/>
      <c r="E330" s="20"/>
      <c r="F330" s="20"/>
      <c r="G330" s="20"/>
      <c r="H330" s="33" t="s">
        <v>65</v>
      </c>
      <c r="I330" s="33" t="s">
        <v>66</v>
      </c>
      <c r="J330" s="21"/>
      <c r="K330" s="20" t="str">
        <f t="shared" si="1"/>
        <v>ROADS,TRANSPORT AND PUBLIC WORKS</v>
      </c>
      <c r="L330" s="20" t="s">
        <v>107</v>
      </c>
      <c r="M330" s="20" t="str">
        <f t="shared" si="2"/>
        <v>ROADS,TRANSPORT AND PUBLIC WORKS</v>
      </c>
      <c r="N330" s="22" t="s">
        <v>119</v>
      </c>
      <c r="O330" s="22" t="s">
        <v>120</v>
      </c>
      <c r="P330" s="20" t="s">
        <v>121</v>
      </c>
      <c r="Q330" s="20" t="s">
        <v>121</v>
      </c>
      <c r="R330" s="30">
        <v>261000.0</v>
      </c>
      <c r="S330" s="30">
        <v>261000.0</v>
      </c>
      <c r="T330" s="30">
        <v>261000.0</v>
      </c>
      <c r="U330" s="20" t="s">
        <v>71</v>
      </c>
      <c r="V330" s="20"/>
      <c r="W330" s="30">
        <v>261000.0</v>
      </c>
      <c r="X330" s="20"/>
      <c r="Y330" s="30">
        <v>261000.0</v>
      </c>
      <c r="Z330" s="24">
        <f t="shared" si="3"/>
        <v>1</v>
      </c>
      <c r="AA330" s="23">
        <f t="shared" si="5"/>
        <v>261000</v>
      </c>
      <c r="AB330" s="20"/>
      <c r="AC330" s="25">
        <f t="shared" si="4"/>
        <v>0</v>
      </c>
      <c r="AD330" s="20" t="s">
        <v>72</v>
      </c>
      <c r="AE330" s="20"/>
      <c r="AF330" s="20"/>
      <c r="AG330" s="20"/>
      <c r="AH330" s="20"/>
      <c r="AI330" s="20"/>
      <c r="AJ330" s="20"/>
      <c r="AK330" s="20"/>
      <c r="AL330" s="20"/>
      <c r="AM330" s="20"/>
      <c r="AN330" s="20"/>
      <c r="AO330" s="20"/>
      <c r="AP330" s="20"/>
      <c r="AQ330" s="20"/>
      <c r="AR330" s="20"/>
      <c r="AS330" s="20"/>
      <c r="AT330" s="20"/>
    </row>
    <row r="331">
      <c r="A331" s="20">
        <v>329.0</v>
      </c>
      <c r="B331" s="29" t="s">
        <v>404</v>
      </c>
      <c r="C331" s="30"/>
      <c r="D331" s="20"/>
      <c r="E331" s="20"/>
      <c r="F331" s="20"/>
      <c r="G331" s="20"/>
      <c r="H331" s="33" t="s">
        <v>65</v>
      </c>
      <c r="I331" s="33" t="s">
        <v>66</v>
      </c>
      <c r="J331" s="21"/>
      <c r="K331" s="20" t="str">
        <f t="shared" si="1"/>
        <v>EDUCATION,INFORMATION AND ICT</v>
      </c>
      <c r="L331" s="20" t="s">
        <v>84</v>
      </c>
      <c r="M331" s="20" t="str">
        <f t="shared" si="2"/>
        <v>EDUCATION,INFORMATION AND ICT</v>
      </c>
      <c r="N331" s="22" t="s">
        <v>119</v>
      </c>
      <c r="O331" s="22" t="s">
        <v>120</v>
      </c>
      <c r="P331" s="20" t="s">
        <v>121</v>
      </c>
      <c r="Q331" s="20" t="s">
        <v>121</v>
      </c>
      <c r="R331" s="30">
        <v>261300.0</v>
      </c>
      <c r="S331" s="30">
        <v>261300.0</v>
      </c>
      <c r="T331" s="30">
        <v>261300.0</v>
      </c>
      <c r="U331" s="20" t="s">
        <v>71</v>
      </c>
      <c r="V331" s="20"/>
      <c r="W331" s="30">
        <v>261300.0</v>
      </c>
      <c r="X331" s="20"/>
      <c r="Y331" s="30">
        <v>261300.0</v>
      </c>
      <c r="Z331" s="24">
        <f t="shared" si="3"/>
        <v>1</v>
      </c>
      <c r="AA331" s="23">
        <f t="shared" si="5"/>
        <v>261300</v>
      </c>
      <c r="AB331" s="20"/>
      <c r="AC331" s="25">
        <f t="shared" si="4"/>
        <v>0</v>
      </c>
      <c r="AD331" s="20" t="s">
        <v>72</v>
      </c>
      <c r="AE331" s="20"/>
      <c r="AF331" s="20"/>
      <c r="AG331" s="20"/>
      <c r="AH331" s="20"/>
      <c r="AI331" s="20"/>
      <c r="AJ331" s="20"/>
      <c r="AK331" s="20"/>
      <c r="AL331" s="20"/>
      <c r="AM331" s="20"/>
      <c r="AN331" s="20"/>
      <c r="AO331" s="20"/>
      <c r="AP331" s="20"/>
      <c r="AQ331" s="20"/>
      <c r="AR331" s="20"/>
      <c r="AS331" s="20"/>
      <c r="AT331" s="20"/>
    </row>
    <row r="332">
      <c r="A332" s="20">
        <v>330.0</v>
      </c>
      <c r="B332" s="29" t="s">
        <v>405</v>
      </c>
      <c r="C332" s="30"/>
      <c r="D332" s="20"/>
      <c r="E332" s="20"/>
      <c r="F332" s="20"/>
      <c r="G332" s="20"/>
      <c r="H332" s="33" t="s">
        <v>65</v>
      </c>
      <c r="I332" s="33" t="s">
        <v>66</v>
      </c>
      <c r="J332" s="21"/>
      <c r="K332" s="20" t="str">
        <f t="shared" si="1"/>
        <v>ROADS,TRANSPORT AND PUBLIC WORKS</v>
      </c>
      <c r="L332" s="20" t="s">
        <v>107</v>
      </c>
      <c r="M332" s="20" t="str">
        <f t="shared" si="2"/>
        <v>ROADS,TRANSPORT AND PUBLIC WORKS</v>
      </c>
      <c r="N332" s="22" t="s">
        <v>119</v>
      </c>
      <c r="O332" s="22" t="s">
        <v>120</v>
      </c>
      <c r="P332" s="20" t="s">
        <v>121</v>
      </c>
      <c r="Q332" s="20" t="s">
        <v>121</v>
      </c>
      <c r="R332" s="30">
        <v>265000.0</v>
      </c>
      <c r="S332" s="30">
        <v>265000.0</v>
      </c>
      <c r="T332" s="30">
        <v>265000.0</v>
      </c>
      <c r="U332" s="20" t="s">
        <v>71</v>
      </c>
      <c r="V332" s="20"/>
      <c r="W332" s="30">
        <v>265000.0</v>
      </c>
      <c r="X332" s="20"/>
      <c r="Y332" s="30">
        <v>265000.0</v>
      </c>
      <c r="Z332" s="24">
        <f t="shared" si="3"/>
        <v>1</v>
      </c>
      <c r="AA332" s="23">
        <f t="shared" si="5"/>
        <v>265000</v>
      </c>
      <c r="AB332" s="20"/>
      <c r="AC332" s="25">
        <f t="shared" si="4"/>
        <v>0</v>
      </c>
      <c r="AD332" s="20" t="s">
        <v>72</v>
      </c>
      <c r="AE332" s="20"/>
      <c r="AF332" s="20"/>
      <c r="AG332" s="20"/>
      <c r="AH332" s="20"/>
      <c r="AI332" s="20"/>
      <c r="AJ332" s="20"/>
      <c r="AK332" s="20"/>
      <c r="AL332" s="20"/>
      <c r="AM332" s="20"/>
      <c r="AN332" s="20"/>
      <c r="AO332" s="20"/>
      <c r="AP332" s="20"/>
      <c r="AQ332" s="20"/>
      <c r="AR332" s="20"/>
      <c r="AS332" s="20"/>
      <c r="AT332" s="20"/>
    </row>
    <row r="333">
      <c r="A333" s="20">
        <v>331.0</v>
      </c>
      <c r="B333" s="29" t="s">
        <v>406</v>
      </c>
      <c r="C333" s="30"/>
      <c r="D333" s="20"/>
      <c r="E333" s="20"/>
      <c r="F333" s="20"/>
      <c r="G333" s="20"/>
      <c r="H333" s="33" t="s">
        <v>65</v>
      </c>
      <c r="I333" s="33" t="s">
        <v>66</v>
      </c>
      <c r="J333" s="21"/>
      <c r="K333" s="20" t="str">
        <f t="shared" si="1"/>
        <v>ROADS,TRANSPORT AND PUBLIC WORKS</v>
      </c>
      <c r="L333" s="20" t="s">
        <v>107</v>
      </c>
      <c r="M333" s="20" t="str">
        <f t="shared" si="2"/>
        <v>ROADS,TRANSPORT AND PUBLIC WORKS</v>
      </c>
      <c r="N333" s="22" t="s">
        <v>119</v>
      </c>
      <c r="O333" s="22" t="s">
        <v>120</v>
      </c>
      <c r="P333" s="20" t="s">
        <v>121</v>
      </c>
      <c r="Q333" s="20" t="s">
        <v>121</v>
      </c>
      <c r="R333" s="30">
        <v>268000.0</v>
      </c>
      <c r="S333" s="30">
        <v>268000.0</v>
      </c>
      <c r="T333" s="30">
        <v>268000.0</v>
      </c>
      <c r="U333" s="20" t="s">
        <v>71</v>
      </c>
      <c r="V333" s="20"/>
      <c r="W333" s="30">
        <v>268000.0</v>
      </c>
      <c r="X333" s="20"/>
      <c r="Y333" s="30">
        <v>268000.0</v>
      </c>
      <c r="Z333" s="24">
        <f t="shared" si="3"/>
        <v>1</v>
      </c>
      <c r="AA333" s="23">
        <f t="shared" si="5"/>
        <v>268000</v>
      </c>
      <c r="AB333" s="20"/>
      <c r="AC333" s="25">
        <f t="shared" si="4"/>
        <v>0</v>
      </c>
      <c r="AD333" s="20" t="s">
        <v>72</v>
      </c>
      <c r="AE333" s="20"/>
      <c r="AF333" s="20"/>
      <c r="AG333" s="20"/>
      <c r="AH333" s="20"/>
      <c r="AI333" s="20"/>
      <c r="AJ333" s="20"/>
      <c r="AK333" s="20"/>
      <c r="AL333" s="20"/>
      <c r="AM333" s="20"/>
      <c r="AN333" s="20"/>
      <c r="AO333" s="20"/>
      <c r="AP333" s="20"/>
      <c r="AQ333" s="20"/>
      <c r="AR333" s="20"/>
      <c r="AS333" s="20"/>
      <c r="AT333" s="20"/>
    </row>
    <row r="334">
      <c r="A334" s="20">
        <v>332.0</v>
      </c>
      <c r="B334" s="29" t="s">
        <v>407</v>
      </c>
      <c r="C334" s="30"/>
      <c r="D334" s="20"/>
      <c r="E334" s="20"/>
      <c r="F334" s="20"/>
      <c r="G334" s="20"/>
      <c r="H334" s="33" t="s">
        <v>65</v>
      </c>
      <c r="I334" s="33" t="s">
        <v>66</v>
      </c>
      <c r="J334" s="21"/>
      <c r="K334" s="20" t="str">
        <f t="shared" si="1"/>
        <v>ROADS,TRANSPORT AND PUBLIC WORKS</v>
      </c>
      <c r="L334" s="20" t="s">
        <v>107</v>
      </c>
      <c r="M334" s="20" t="str">
        <f t="shared" si="2"/>
        <v>ROADS,TRANSPORT AND PUBLIC WORKS</v>
      </c>
      <c r="N334" s="22" t="s">
        <v>119</v>
      </c>
      <c r="O334" s="22" t="s">
        <v>120</v>
      </c>
      <c r="P334" s="20" t="s">
        <v>121</v>
      </c>
      <c r="Q334" s="20" t="s">
        <v>121</v>
      </c>
      <c r="R334" s="30">
        <v>268000.0</v>
      </c>
      <c r="S334" s="30">
        <v>268000.0</v>
      </c>
      <c r="T334" s="30">
        <v>268000.0</v>
      </c>
      <c r="U334" s="20" t="s">
        <v>71</v>
      </c>
      <c r="V334" s="20"/>
      <c r="W334" s="30">
        <v>268000.0</v>
      </c>
      <c r="X334" s="20"/>
      <c r="Y334" s="30">
        <v>268000.0</v>
      </c>
      <c r="Z334" s="24">
        <f t="shared" si="3"/>
        <v>1</v>
      </c>
      <c r="AA334" s="23">
        <f t="shared" si="5"/>
        <v>268000</v>
      </c>
      <c r="AB334" s="20"/>
      <c r="AC334" s="25">
        <f t="shared" si="4"/>
        <v>0</v>
      </c>
      <c r="AD334" s="20" t="s">
        <v>72</v>
      </c>
      <c r="AE334" s="20"/>
      <c r="AF334" s="20"/>
      <c r="AG334" s="20"/>
      <c r="AH334" s="20"/>
      <c r="AI334" s="20"/>
      <c r="AJ334" s="20"/>
      <c r="AK334" s="20"/>
      <c r="AL334" s="20"/>
      <c r="AM334" s="20"/>
      <c r="AN334" s="20"/>
      <c r="AO334" s="20"/>
      <c r="AP334" s="20"/>
      <c r="AQ334" s="20"/>
      <c r="AR334" s="20"/>
      <c r="AS334" s="20"/>
      <c r="AT334" s="20"/>
    </row>
    <row r="335">
      <c r="A335" s="20">
        <v>333.0</v>
      </c>
      <c r="B335" s="29" t="s">
        <v>408</v>
      </c>
      <c r="C335" s="30"/>
      <c r="D335" s="20"/>
      <c r="E335" s="20"/>
      <c r="F335" s="20"/>
      <c r="G335" s="20"/>
      <c r="H335" s="33" t="s">
        <v>65</v>
      </c>
      <c r="I335" s="33" t="s">
        <v>66</v>
      </c>
      <c r="J335" s="21"/>
      <c r="K335" s="20" t="str">
        <f t="shared" si="1"/>
        <v>ROADS,TRANSPORT AND PUBLIC WORKS</v>
      </c>
      <c r="L335" s="20" t="s">
        <v>107</v>
      </c>
      <c r="M335" s="20" t="str">
        <f t="shared" si="2"/>
        <v>ROADS,TRANSPORT AND PUBLIC WORKS</v>
      </c>
      <c r="N335" s="22" t="s">
        <v>119</v>
      </c>
      <c r="O335" s="22" t="s">
        <v>120</v>
      </c>
      <c r="P335" s="20" t="s">
        <v>121</v>
      </c>
      <c r="Q335" s="20" t="s">
        <v>121</v>
      </c>
      <c r="R335" s="30">
        <v>269000.0</v>
      </c>
      <c r="S335" s="30">
        <v>269000.0</v>
      </c>
      <c r="T335" s="30">
        <v>269000.0</v>
      </c>
      <c r="U335" s="20" t="s">
        <v>71</v>
      </c>
      <c r="V335" s="20"/>
      <c r="W335" s="30">
        <v>269000.0</v>
      </c>
      <c r="X335" s="20"/>
      <c r="Y335" s="30">
        <v>269000.0</v>
      </c>
      <c r="Z335" s="24">
        <f t="shared" si="3"/>
        <v>1</v>
      </c>
      <c r="AA335" s="23">
        <f t="shared" si="5"/>
        <v>269000</v>
      </c>
      <c r="AB335" s="20"/>
      <c r="AC335" s="25">
        <f t="shared" si="4"/>
        <v>0</v>
      </c>
      <c r="AD335" s="20" t="s">
        <v>72</v>
      </c>
      <c r="AE335" s="20"/>
      <c r="AF335" s="20"/>
      <c r="AG335" s="20"/>
      <c r="AH335" s="20"/>
      <c r="AI335" s="20"/>
      <c r="AJ335" s="20"/>
      <c r="AK335" s="20"/>
      <c r="AL335" s="20"/>
      <c r="AM335" s="20"/>
      <c r="AN335" s="20"/>
      <c r="AO335" s="20"/>
      <c r="AP335" s="20"/>
      <c r="AQ335" s="20"/>
      <c r="AR335" s="20"/>
      <c r="AS335" s="20"/>
      <c r="AT335" s="20"/>
    </row>
    <row r="336">
      <c r="A336" s="20">
        <v>334.0</v>
      </c>
      <c r="B336" s="29" t="s">
        <v>403</v>
      </c>
      <c r="C336" s="30"/>
      <c r="D336" s="20"/>
      <c r="E336" s="20"/>
      <c r="F336" s="20"/>
      <c r="G336" s="20"/>
      <c r="H336" s="33" t="s">
        <v>65</v>
      </c>
      <c r="I336" s="33" t="s">
        <v>66</v>
      </c>
      <c r="J336" s="21"/>
      <c r="K336" s="20" t="str">
        <f t="shared" si="1"/>
        <v>WATER,ENVIRONMENT,CLIMATE CHANGE AND NATURAL RESOURCES</v>
      </c>
      <c r="L336" s="20" t="s">
        <v>75</v>
      </c>
      <c r="M336" s="20" t="str">
        <f t="shared" si="2"/>
        <v>WATER,ENVIRONMENT,CLIMATE CHANGE AND NATURAL RESOURCES</v>
      </c>
      <c r="N336" s="22" t="s">
        <v>119</v>
      </c>
      <c r="O336" s="22" t="s">
        <v>120</v>
      </c>
      <c r="P336" s="20" t="s">
        <v>121</v>
      </c>
      <c r="Q336" s="20" t="s">
        <v>121</v>
      </c>
      <c r="R336" s="30">
        <v>270000.0</v>
      </c>
      <c r="S336" s="30">
        <v>270000.0</v>
      </c>
      <c r="T336" s="30">
        <v>270000.0</v>
      </c>
      <c r="U336" s="20" t="s">
        <v>71</v>
      </c>
      <c r="V336" s="20"/>
      <c r="W336" s="30">
        <v>270000.0</v>
      </c>
      <c r="X336" s="20"/>
      <c r="Y336" s="30">
        <v>270000.0</v>
      </c>
      <c r="Z336" s="24">
        <f t="shared" si="3"/>
        <v>1</v>
      </c>
      <c r="AA336" s="23">
        <f t="shared" si="5"/>
        <v>270000</v>
      </c>
      <c r="AB336" s="20"/>
      <c r="AC336" s="25">
        <f t="shared" si="4"/>
        <v>0</v>
      </c>
      <c r="AD336" s="20" t="s">
        <v>72</v>
      </c>
      <c r="AE336" s="20"/>
      <c r="AF336" s="20"/>
      <c r="AG336" s="20"/>
      <c r="AH336" s="20"/>
      <c r="AI336" s="20"/>
      <c r="AJ336" s="20"/>
      <c r="AK336" s="20"/>
      <c r="AL336" s="20"/>
      <c r="AM336" s="20"/>
      <c r="AN336" s="20"/>
      <c r="AO336" s="20"/>
      <c r="AP336" s="20"/>
      <c r="AQ336" s="20"/>
      <c r="AR336" s="20"/>
      <c r="AS336" s="20"/>
      <c r="AT336" s="20"/>
    </row>
    <row r="337">
      <c r="A337" s="20">
        <v>335.0</v>
      </c>
      <c r="B337" s="29" t="s">
        <v>409</v>
      </c>
      <c r="C337" s="30"/>
      <c r="D337" s="20"/>
      <c r="E337" s="20"/>
      <c r="F337" s="20"/>
      <c r="G337" s="20"/>
      <c r="H337" s="33" t="s">
        <v>65</v>
      </c>
      <c r="I337" s="33" t="s">
        <v>66</v>
      </c>
      <c r="J337" s="21"/>
      <c r="K337" s="20" t="str">
        <f t="shared" si="1"/>
        <v>ROADS,TRANSPORT AND PUBLIC WORKS</v>
      </c>
      <c r="L337" s="20" t="s">
        <v>107</v>
      </c>
      <c r="M337" s="20" t="str">
        <f t="shared" si="2"/>
        <v>ROADS,TRANSPORT AND PUBLIC WORKS</v>
      </c>
      <c r="N337" s="22" t="s">
        <v>119</v>
      </c>
      <c r="O337" s="22" t="s">
        <v>120</v>
      </c>
      <c r="P337" s="20" t="s">
        <v>121</v>
      </c>
      <c r="Q337" s="20" t="s">
        <v>121</v>
      </c>
      <c r="R337" s="30">
        <v>272000.0</v>
      </c>
      <c r="S337" s="30">
        <v>272000.0</v>
      </c>
      <c r="T337" s="30">
        <v>272000.0</v>
      </c>
      <c r="U337" s="20" t="s">
        <v>71</v>
      </c>
      <c r="V337" s="20"/>
      <c r="W337" s="30">
        <v>272000.0</v>
      </c>
      <c r="X337" s="20"/>
      <c r="Y337" s="30">
        <v>272000.0</v>
      </c>
      <c r="Z337" s="24">
        <f t="shared" si="3"/>
        <v>1</v>
      </c>
      <c r="AA337" s="23">
        <f t="shared" si="5"/>
        <v>272000</v>
      </c>
      <c r="AB337" s="20"/>
      <c r="AC337" s="25">
        <f t="shared" si="4"/>
        <v>0</v>
      </c>
      <c r="AD337" s="20" t="s">
        <v>72</v>
      </c>
      <c r="AE337" s="20"/>
      <c r="AF337" s="20"/>
      <c r="AG337" s="20"/>
      <c r="AH337" s="20"/>
      <c r="AI337" s="20"/>
      <c r="AJ337" s="20"/>
      <c r="AK337" s="20"/>
      <c r="AL337" s="20"/>
      <c r="AM337" s="20"/>
      <c r="AN337" s="20"/>
      <c r="AO337" s="20"/>
      <c r="AP337" s="20"/>
      <c r="AQ337" s="20"/>
      <c r="AR337" s="20"/>
      <c r="AS337" s="20"/>
      <c r="AT337" s="20"/>
    </row>
    <row r="338">
      <c r="A338" s="20">
        <v>336.0</v>
      </c>
      <c r="B338" s="29" t="s">
        <v>410</v>
      </c>
      <c r="C338" s="30"/>
      <c r="D338" s="20"/>
      <c r="E338" s="20"/>
      <c r="F338" s="20"/>
      <c r="G338" s="20"/>
      <c r="H338" s="33" t="s">
        <v>65</v>
      </c>
      <c r="I338" s="33" t="s">
        <v>66</v>
      </c>
      <c r="J338" s="21"/>
      <c r="K338" s="20" t="str">
        <f t="shared" si="1"/>
        <v>ROADS,TRANSPORT AND PUBLIC WORKS</v>
      </c>
      <c r="L338" s="20" t="s">
        <v>107</v>
      </c>
      <c r="M338" s="20" t="str">
        <f t="shared" si="2"/>
        <v>ROADS,TRANSPORT AND PUBLIC WORKS</v>
      </c>
      <c r="N338" s="22" t="s">
        <v>119</v>
      </c>
      <c r="O338" s="22" t="s">
        <v>120</v>
      </c>
      <c r="P338" s="20" t="s">
        <v>121</v>
      </c>
      <c r="Q338" s="20" t="s">
        <v>121</v>
      </c>
      <c r="R338" s="30">
        <v>273000.0</v>
      </c>
      <c r="S338" s="30">
        <v>273000.0</v>
      </c>
      <c r="T338" s="30">
        <v>273000.0</v>
      </c>
      <c r="U338" s="20" t="s">
        <v>71</v>
      </c>
      <c r="V338" s="20"/>
      <c r="W338" s="30">
        <v>273000.0</v>
      </c>
      <c r="X338" s="20"/>
      <c r="Y338" s="30">
        <v>273000.0</v>
      </c>
      <c r="Z338" s="24">
        <f t="shared" si="3"/>
        <v>1</v>
      </c>
      <c r="AA338" s="23">
        <f t="shared" si="5"/>
        <v>273000</v>
      </c>
      <c r="AB338" s="20"/>
      <c r="AC338" s="25">
        <f t="shared" si="4"/>
        <v>0</v>
      </c>
      <c r="AD338" s="20" t="s">
        <v>72</v>
      </c>
      <c r="AE338" s="20"/>
      <c r="AF338" s="20"/>
      <c r="AG338" s="20"/>
      <c r="AH338" s="20"/>
      <c r="AI338" s="20"/>
      <c r="AJ338" s="20"/>
      <c r="AK338" s="20"/>
      <c r="AL338" s="20"/>
      <c r="AM338" s="20"/>
      <c r="AN338" s="20"/>
      <c r="AO338" s="20"/>
      <c r="AP338" s="20"/>
      <c r="AQ338" s="20"/>
      <c r="AR338" s="20"/>
      <c r="AS338" s="20"/>
      <c r="AT338" s="20"/>
    </row>
    <row r="339">
      <c r="A339" s="20">
        <v>337.0</v>
      </c>
      <c r="B339" s="29" t="s">
        <v>411</v>
      </c>
      <c r="C339" s="30"/>
      <c r="D339" s="20"/>
      <c r="E339" s="20"/>
      <c r="F339" s="20"/>
      <c r="G339" s="20"/>
      <c r="H339" s="33" t="s">
        <v>65</v>
      </c>
      <c r="I339" s="33" t="s">
        <v>66</v>
      </c>
      <c r="J339" s="21"/>
      <c r="K339" s="20" t="str">
        <f t="shared" si="1"/>
        <v>WATER,ENVIRONMENT,CLIMATE CHANGE AND NATURAL RESOURCES</v>
      </c>
      <c r="L339" s="20" t="s">
        <v>75</v>
      </c>
      <c r="M339" s="20" t="str">
        <f t="shared" si="2"/>
        <v>WATER,ENVIRONMENT,CLIMATE CHANGE AND NATURAL RESOURCES</v>
      </c>
      <c r="N339" s="22" t="s">
        <v>119</v>
      </c>
      <c r="O339" s="22" t="s">
        <v>120</v>
      </c>
      <c r="P339" s="20" t="s">
        <v>121</v>
      </c>
      <c r="Q339" s="20" t="s">
        <v>121</v>
      </c>
      <c r="R339" s="30">
        <v>274000.0</v>
      </c>
      <c r="S339" s="30">
        <v>274000.0</v>
      </c>
      <c r="T339" s="30">
        <v>274000.0</v>
      </c>
      <c r="U339" s="20" t="s">
        <v>71</v>
      </c>
      <c r="V339" s="20"/>
      <c r="W339" s="30">
        <v>274000.0</v>
      </c>
      <c r="X339" s="20"/>
      <c r="Y339" s="30">
        <v>274000.0</v>
      </c>
      <c r="Z339" s="24">
        <f t="shared" si="3"/>
        <v>1</v>
      </c>
      <c r="AA339" s="23">
        <f t="shared" si="5"/>
        <v>274000</v>
      </c>
      <c r="AB339" s="20"/>
      <c r="AC339" s="25">
        <f t="shared" si="4"/>
        <v>0</v>
      </c>
      <c r="AD339" s="20" t="s">
        <v>72</v>
      </c>
      <c r="AE339" s="20"/>
      <c r="AF339" s="20"/>
      <c r="AG339" s="20"/>
      <c r="AH339" s="20"/>
      <c r="AI339" s="20"/>
      <c r="AJ339" s="20"/>
      <c r="AK339" s="20"/>
      <c r="AL339" s="20"/>
      <c r="AM339" s="20"/>
      <c r="AN339" s="20"/>
      <c r="AO339" s="20"/>
      <c r="AP339" s="20"/>
      <c r="AQ339" s="20"/>
      <c r="AR339" s="20"/>
      <c r="AS339" s="20"/>
      <c r="AT339" s="20"/>
    </row>
    <row r="340">
      <c r="A340" s="20">
        <v>338.0</v>
      </c>
      <c r="B340" s="29" t="s">
        <v>412</v>
      </c>
      <c r="C340" s="30"/>
      <c r="D340" s="20"/>
      <c r="E340" s="20"/>
      <c r="F340" s="20"/>
      <c r="G340" s="20"/>
      <c r="H340" s="33" t="s">
        <v>113</v>
      </c>
      <c r="I340" s="33" t="s">
        <v>114</v>
      </c>
      <c r="J340" s="21"/>
      <c r="K340" s="20" t="str">
        <f t="shared" si="1"/>
        <v>Health services</v>
      </c>
      <c r="L340" s="20" t="s">
        <v>67</v>
      </c>
      <c r="M340" s="20" t="str">
        <f t="shared" si="2"/>
        <v>Health services</v>
      </c>
      <c r="N340" s="22" t="s">
        <v>119</v>
      </c>
      <c r="O340" s="22" t="s">
        <v>120</v>
      </c>
      <c r="P340" s="20" t="s">
        <v>121</v>
      </c>
      <c r="Q340" s="20" t="s">
        <v>121</v>
      </c>
      <c r="R340" s="30">
        <v>278000.0</v>
      </c>
      <c r="S340" s="30">
        <v>278000.0</v>
      </c>
      <c r="T340" s="30">
        <v>278000.0</v>
      </c>
      <c r="U340" s="20" t="s">
        <v>71</v>
      </c>
      <c r="V340" s="20"/>
      <c r="W340" s="30">
        <v>278000.0</v>
      </c>
      <c r="X340" s="20"/>
      <c r="Y340" s="30">
        <v>278000.0</v>
      </c>
      <c r="Z340" s="24">
        <f t="shared" si="3"/>
        <v>1</v>
      </c>
      <c r="AA340" s="23">
        <f t="shared" si="5"/>
        <v>278000</v>
      </c>
      <c r="AB340" s="20"/>
      <c r="AC340" s="25">
        <f t="shared" si="4"/>
        <v>0</v>
      </c>
      <c r="AD340" s="20" t="s">
        <v>72</v>
      </c>
      <c r="AE340" s="20"/>
      <c r="AF340" s="20"/>
      <c r="AG340" s="20"/>
      <c r="AH340" s="20"/>
      <c r="AI340" s="20"/>
      <c r="AJ340" s="20"/>
      <c r="AK340" s="20"/>
      <c r="AL340" s="20"/>
      <c r="AM340" s="20"/>
      <c r="AN340" s="20"/>
      <c r="AO340" s="20"/>
      <c r="AP340" s="20"/>
      <c r="AQ340" s="20"/>
      <c r="AR340" s="20"/>
      <c r="AS340" s="20"/>
      <c r="AT340" s="20"/>
    </row>
    <row r="341">
      <c r="A341" s="20">
        <v>339.0</v>
      </c>
      <c r="B341" s="29" t="s">
        <v>413</v>
      </c>
      <c r="C341" s="30"/>
      <c r="D341" s="20"/>
      <c r="E341" s="20"/>
      <c r="F341" s="20"/>
      <c r="G341" s="20"/>
      <c r="H341" s="33" t="s">
        <v>77</v>
      </c>
      <c r="I341" s="33" t="s">
        <v>157</v>
      </c>
      <c r="J341" s="21"/>
      <c r="K341" s="20" t="str">
        <f t="shared" si="1"/>
        <v>EDUCATION,INFORMATION AND ICT</v>
      </c>
      <c r="L341" s="20" t="s">
        <v>84</v>
      </c>
      <c r="M341" s="20" t="str">
        <f t="shared" si="2"/>
        <v>EDUCATION,INFORMATION AND ICT</v>
      </c>
      <c r="N341" s="22" t="s">
        <v>119</v>
      </c>
      <c r="O341" s="22" t="s">
        <v>120</v>
      </c>
      <c r="P341" s="20" t="s">
        <v>121</v>
      </c>
      <c r="Q341" s="20" t="s">
        <v>121</v>
      </c>
      <c r="R341" s="30">
        <v>279000.0</v>
      </c>
      <c r="S341" s="30">
        <v>279000.0</v>
      </c>
      <c r="T341" s="30">
        <v>279000.0</v>
      </c>
      <c r="U341" s="20" t="s">
        <v>71</v>
      </c>
      <c r="V341" s="20"/>
      <c r="W341" s="30">
        <v>279000.0</v>
      </c>
      <c r="X341" s="20"/>
      <c r="Y341" s="30">
        <v>279000.0</v>
      </c>
      <c r="Z341" s="24">
        <f t="shared" si="3"/>
        <v>1</v>
      </c>
      <c r="AA341" s="23">
        <f t="shared" si="5"/>
        <v>279000</v>
      </c>
      <c r="AB341" s="20"/>
      <c r="AC341" s="25">
        <f t="shared" si="4"/>
        <v>0</v>
      </c>
      <c r="AD341" s="20" t="s">
        <v>72</v>
      </c>
      <c r="AE341" s="20"/>
      <c r="AF341" s="20"/>
      <c r="AG341" s="20"/>
      <c r="AH341" s="20"/>
      <c r="AI341" s="20"/>
      <c r="AJ341" s="20"/>
      <c r="AK341" s="20"/>
      <c r="AL341" s="20"/>
      <c r="AM341" s="20"/>
      <c r="AN341" s="20"/>
      <c r="AO341" s="20"/>
      <c r="AP341" s="20"/>
      <c r="AQ341" s="20"/>
      <c r="AR341" s="20"/>
      <c r="AS341" s="20"/>
      <c r="AT341" s="20"/>
    </row>
    <row r="342">
      <c r="A342" s="20">
        <v>340.0</v>
      </c>
      <c r="B342" s="29" t="s">
        <v>414</v>
      </c>
      <c r="C342" s="30"/>
      <c r="D342" s="20"/>
      <c r="E342" s="20"/>
      <c r="F342" s="20"/>
      <c r="G342" s="20"/>
      <c r="H342" s="33" t="s">
        <v>81</v>
      </c>
      <c r="I342" s="33" t="s">
        <v>83</v>
      </c>
      <c r="J342" s="21"/>
      <c r="K342" s="20" t="str">
        <f t="shared" si="1"/>
        <v>EDUCATION,INFORMATION AND ICT</v>
      </c>
      <c r="L342" s="20" t="s">
        <v>84</v>
      </c>
      <c r="M342" s="20" t="str">
        <f t="shared" si="2"/>
        <v>EDUCATION,INFORMATION AND ICT</v>
      </c>
      <c r="N342" s="22" t="s">
        <v>119</v>
      </c>
      <c r="O342" s="22" t="s">
        <v>120</v>
      </c>
      <c r="P342" s="20" t="s">
        <v>121</v>
      </c>
      <c r="Q342" s="20" t="s">
        <v>121</v>
      </c>
      <c r="R342" s="30">
        <v>285000.0</v>
      </c>
      <c r="S342" s="30">
        <v>285000.0</v>
      </c>
      <c r="T342" s="30">
        <v>285000.0</v>
      </c>
      <c r="U342" s="20" t="s">
        <v>71</v>
      </c>
      <c r="V342" s="20"/>
      <c r="W342" s="30">
        <v>285000.0</v>
      </c>
      <c r="X342" s="20"/>
      <c r="Y342" s="30">
        <v>285000.0</v>
      </c>
      <c r="Z342" s="24">
        <f t="shared" si="3"/>
        <v>1</v>
      </c>
      <c r="AA342" s="23">
        <f t="shared" si="5"/>
        <v>285000</v>
      </c>
      <c r="AB342" s="20"/>
      <c r="AC342" s="25">
        <f t="shared" si="4"/>
        <v>0</v>
      </c>
      <c r="AD342" s="20" t="s">
        <v>72</v>
      </c>
      <c r="AE342" s="20"/>
      <c r="AF342" s="20"/>
      <c r="AG342" s="20"/>
      <c r="AH342" s="20"/>
      <c r="AI342" s="20"/>
      <c r="AJ342" s="20"/>
      <c r="AK342" s="20"/>
      <c r="AL342" s="20"/>
      <c r="AM342" s="20"/>
      <c r="AN342" s="20"/>
      <c r="AO342" s="20"/>
      <c r="AP342" s="20"/>
      <c r="AQ342" s="20"/>
      <c r="AR342" s="20"/>
      <c r="AS342" s="20"/>
      <c r="AT342" s="20"/>
    </row>
    <row r="343">
      <c r="A343" s="20">
        <v>341.0</v>
      </c>
      <c r="B343" s="29" t="s">
        <v>327</v>
      </c>
      <c r="C343" s="30"/>
      <c r="D343" s="20"/>
      <c r="E343" s="20"/>
      <c r="F343" s="20"/>
      <c r="G343" s="20"/>
      <c r="H343" s="33" t="s">
        <v>65</v>
      </c>
      <c r="I343" s="33" t="s">
        <v>66</v>
      </c>
      <c r="J343" s="21"/>
      <c r="K343" s="20" t="str">
        <f t="shared" si="1"/>
        <v>ROADS,TRANSPORT AND PUBLIC WORKS</v>
      </c>
      <c r="L343" s="20" t="s">
        <v>107</v>
      </c>
      <c r="M343" s="20" t="str">
        <f t="shared" si="2"/>
        <v>ROADS,TRANSPORT AND PUBLIC WORKS</v>
      </c>
      <c r="N343" s="22" t="s">
        <v>119</v>
      </c>
      <c r="O343" s="22" t="s">
        <v>120</v>
      </c>
      <c r="P343" s="20" t="s">
        <v>121</v>
      </c>
      <c r="Q343" s="20" t="s">
        <v>121</v>
      </c>
      <c r="R343" s="30">
        <v>289000.0</v>
      </c>
      <c r="S343" s="30">
        <v>289000.0</v>
      </c>
      <c r="T343" s="30">
        <v>289000.0</v>
      </c>
      <c r="U343" s="20" t="s">
        <v>71</v>
      </c>
      <c r="V343" s="20"/>
      <c r="W343" s="30">
        <v>289000.0</v>
      </c>
      <c r="X343" s="20"/>
      <c r="Y343" s="30">
        <v>289000.0</v>
      </c>
      <c r="Z343" s="24">
        <f t="shared" si="3"/>
        <v>1</v>
      </c>
      <c r="AA343" s="23">
        <f t="shared" si="5"/>
        <v>289000</v>
      </c>
      <c r="AB343" s="20"/>
      <c r="AC343" s="25">
        <f t="shared" si="4"/>
        <v>0</v>
      </c>
      <c r="AD343" s="20" t="s">
        <v>72</v>
      </c>
      <c r="AE343" s="20"/>
      <c r="AF343" s="20"/>
      <c r="AG343" s="20"/>
      <c r="AH343" s="20"/>
      <c r="AI343" s="20"/>
      <c r="AJ343" s="20"/>
      <c r="AK343" s="20"/>
      <c r="AL343" s="20"/>
      <c r="AM343" s="20"/>
      <c r="AN343" s="20"/>
      <c r="AO343" s="20"/>
      <c r="AP343" s="20"/>
      <c r="AQ343" s="20"/>
      <c r="AR343" s="20"/>
      <c r="AS343" s="20"/>
      <c r="AT343" s="20"/>
    </row>
    <row r="344">
      <c r="A344" s="20">
        <v>342.0</v>
      </c>
      <c r="B344" s="29" t="s">
        <v>415</v>
      </c>
      <c r="C344" s="30"/>
      <c r="D344" s="20"/>
      <c r="E344" s="20"/>
      <c r="F344" s="20"/>
      <c r="G344" s="20"/>
      <c r="H344" s="33" t="s">
        <v>113</v>
      </c>
      <c r="I344" s="33" t="s">
        <v>74</v>
      </c>
      <c r="J344" s="21"/>
      <c r="K344" s="20" t="str">
        <f t="shared" si="1"/>
        <v>Health services</v>
      </c>
      <c r="L344" s="20" t="s">
        <v>67</v>
      </c>
      <c r="M344" s="20" t="str">
        <f t="shared" si="2"/>
        <v>Health services</v>
      </c>
      <c r="N344" s="22" t="s">
        <v>119</v>
      </c>
      <c r="O344" s="22" t="s">
        <v>120</v>
      </c>
      <c r="P344" s="20" t="s">
        <v>121</v>
      </c>
      <c r="Q344" s="20" t="s">
        <v>121</v>
      </c>
      <c r="R344" s="30">
        <v>290000.0</v>
      </c>
      <c r="S344" s="30">
        <v>290000.0</v>
      </c>
      <c r="T344" s="30">
        <v>290000.0</v>
      </c>
      <c r="U344" s="20" t="s">
        <v>71</v>
      </c>
      <c r="V344" s="20"/>
      <c r="W344" s="30">
        <v>290000.0</v>
      </c>
      <c r="X344" s="20"/>
      <c r="Y344" s="30">
        <v>290000.0</v>
      </c>
      <c r="Z344" s="24">
        <f t="shared" si="3"/>
        <v>1</v>
      </c>
      <c r="AA344" s="23">
        <f t="shared" si="5"/>
        <v>290000</v>
      </c>
      <c r="AB344" s="20"/>
      <c r="AC344" s="25">
        <f t="shared" si="4"/>
        <v>0</v>
      </c>
      <c r="AD344" s="20" t="s">
        <v>72</v>
      </c>
      <c r="AE344" s="20"/>
      <c r="AF344" s="20"/>
      <c r="AG344" s="20"/>
      <c r="AH344" s="20"/>
      <c r="AI344" s="20"/>
      <c r="AJ344" s="20"/>
      <c r="AK344" s="20"/>
      <c r="AL344" s="20"/>
      <c r="AM344" s="20"/>
      <c r="AN344" s="20"/>
      <c r="AO344" s="20"/>
      <c r="AP344" s="20"/>
      <c r="AQ344" s="20"/>
      <c r="AR344" s="20"/>
      <c r="AS344" s="20"/>
      <c r="AT344" s="20"/>
    </row>
    <row r="345">
      <c r="A345" s="20">
        <v>343.0</v>
      </c>
      <c r="B345" s="29" t="s">
        <v>416</v>
      </c>
      <c r="C345" s="30"/>
      <c r="D345" s="20"/>
      <c r="E345" s="20"/>
      <c r="F345" s="20"/>
      <c r="G345" s="20"/>
      <c r="H345" s="33" t="s">
        <v>65</v>
      </c>
      <c r="I345" s="33" t="s">
        <v>66</v>
      </c>
      <c r="J345" s="21"/>
      <c r="K345" s="20" t="str">
        <f t="shared" si="1"/>
        <v>WATER,ENVIRONMENT,CLIMATE CHANGE AND NATURAL RESOURCES</v>
      </c>
      <c r="L345" s="20" t="s">
        <v>75</v>
      </c>
      <c r="M345" s="20" t="str">
        <f t="shared" si="2"/>
        <v>WATER,ENVIRONMENT,CLIMATE CHANGE AND NATURAL RESOURCES</v>
      </c>
      <c r="N345" s="22" t="s">
        <v>119</v>
      </c>
      <c r="O345" s="22" t="s">
        <v>120</v>
      </c>
      <c r="P345" s="20" t="s">
        <v>121</v>
      </c>
      <c r="Q345" s="20" t="s">
        <v>121</v>
      </c>
      <c r="R345" s="30">
        <v>290000.0</v>
      </c>
      <c r="S345" s="30">
        <v>290000.0</v>
      </c>
      <c r="T345" s="30">
        <v>290000.0</v>
      </c>
      <c r="U345" s="20" t="s">
        <v>71</v>
      </c>
      <c r="V345" s="20"/>
      <c r="W345" s="30">
        <v>290000.0</v>
      </c>
      <c r="X345" s="20"/>
      <c r="Y345" s="30">
        <v>290000.0</v>
      </c>
      <c r="Z345" s="24">
        <f t="shared" si="3"/>
        <v>1</v>
      </c>
      <c r="AA345" s="23">
        <f t="shared" si="5"/>
        <v>290000</v>
      </c>
      <c r="AB345" s="20"/>
      <c r="AC345" s="25">
        <f t="shared" si="4"/>
        <v>0</v>
      </c>
      <c r="AD345" s="20" t="s">
        <v>72</v>
      </c>
      <c r="AE345" s="20"/>
      <c r="AF345" s="20"/>
      <c r="AG345" s="20"/>
      <c r="AH345" s="20"/>
      <c r="AI345" s="20"/>
      <c r="AJ345" s="20"/>
      <c r="AK345" s="20"/>
      <c r="AL345" s="20"/>
      <c r="AM345" s="20"/>
      <c r="AN345" s="20"/>
      <c r="AO345" s="20"/>
      <c r="AP345" s="20"/>
      <c r="AQ345" s="20"/>
      <c r="AR345" s="20"/>
      <c r="AS345" s="20"/>
      <c r="AT345" s="20"/>
    </row>
    <row r="346">
      <c r="A346" s="20">
        <v>344.0</v>
      </c>
      <c r="B346" s="29" t="s">
        <v>417</v>
      </c>
      <c r="C346" s="30"/>
      <c r="D346" s="20"/>
      <c r="E346" s="20"/>
      <c r="F346" s="20"/>
      <c r="G346" s="20"/>
      <c r="H346" s="33" t="s">
        <v>65</v>
      </c>
      <c r="I346" s="33" t="s">
        <v>66</v>
      </c>
      <c r="J346" s="21"/>
      <c r="K346" s="20" t="str">
        <f t="shared" si="1"/>
        <v>ROADS,TRANSPORT AND PUBLIC WORKS</v>
      </c>
      <c r="L346" s="20" t="s">
        <v>107</v>
      </c>
      <c r="M346" s="20" t="str">
        <f t="shared" si="2"/>
        <v>ROADS,TRANSPORT AND PUBLIC WORKS</v>
      </c>
      <c r="N346" s="22" t="s">
        <v>119</v>
      </c>
      <c r="O346" s="22" t="s">
        <v>120</v>
      </c>
      <c r="P346" s="20" t="s">
        <v>121</v>
      </c>
      <c r="Q346" s="20" t="s">
        <v>121</v>
      </c>
      <c r="R346" s="30">
        <v>295000.0</v>
      </c>
      <c r="S346" s="30">
        <v>295000.0</v>
      </c>
      <c r="T346" s="30">
        <v>295000.0</v>
      </c>
      <c r="U346" s="20" t="s">
        <v>71</v>
      </c>
      <c r="V346" s="20"/>
      <c r="W346" s="30">
        <v>295000.0</v>
      </c>
      <c r="X346" s="20"/>
      <c r="Y346" s="30">
        <v>295000.0</v>
      </c>
      <c r="Z346" s="24">
        <f t="shared" si="3"/>
        <v>1</v>
      </c>
      <c r="AA346" s="23">
        <f t="shared" si="5"/>
        <v>295000</v>
      </c>
      <c r="AB346" s="20"/>
      <c r="AC346" s="25">
        <f t="shared" si="4"/>
        <v>0</v>
      </c>
      <c r="AD346" s="20" t="s">
        <v>72</v>
      </c>
      <c r="AE346" s="20"/>
      <c r="AF346" s="20"/>
      <c r="AG346" s="20"/>
      <c r="AH346" s="20"/>
      <c r="AI346" s="20"/>
      <c r="AJ346" s="20"/>
      <c r="AK346" s="20"/>
      <c r="AL346" s="20"/>
      <c r="AM346" s="20"/>
      <c r="AN346" s="20"/>
      <c r="AO346" s="20"/>
      <c r="AP346" s="20"/>
      <c r="AQ346" s="20"/>
      <c r="AR346" s="20"/>
      <c r="AS346" s="20"/>
      <c r="AT346" s="20"/>
    </row>
    <row r="347">
      <c r="A347" s="20">
        <v>345.0</v>
      </c>
      <c r="B347" s="29" t="s">
        <v>418</v>
      </c>
      <c r="C347" s="30"/>
      <c r="D347" s="20"/>
      <c r="E347" s="20"/>
      <c r="F347" s="20"/>
      <c r="G347" s="20"/>
      <c r="H347" s="33" t="s">
        <v>77</v>
      </c>
      <c r="I347" s="33" t="s">
        <v>157</v>
      </c>
      <c r="J347" s="21"/>
      <c r="K347" s="20" t="str">
        <f t="shared" si="1"/>
        <v>ROADS,TRANSPORT AND PUBLIC WORKS</v>
      </c>
      <c r="L347" s="20" t="s">
        <v>107</v>
      </c>
      <c r="M347" s="20" t="str">
        <f t="shared" si="2"/>
        <v>ROADS,TRANSPORT AND PUBLIC WORKS</v>
      </c>
      <c r="N347" s="22" t="s">
        <v>119</v>
      </c>
      <c r="O347" s="22" t="s">
        <v>120</v>
      </c>
      <c r="P347" s="20" t="s">
        <v>121</v>
      </c>
      <c r="Q347" s="20" t="s">
        <v>121</v>
      </c>
      <c r="R347" s="30">
        <v>295000.0</v>
      </c>
      <c r="S347" s="30">
        <v>295000.0</v>
      </c>
      <c r="T347" s="30">
        <v>295000.0</v>
      </c>
      <c r="U347" s="20" t="s">
        <v>71</v>
      </c>
      <c r="V347" s="20"/>
      <c r="W347" s="30">
        <v>295000.0</v>
      </c>
      <c r="X347" s="20"/>
      <c r="Y347" s="30">
        <v>295000.0</v>
      </c>
      <c r="Z347" s="24">
        <f t="shared" si="3"/>
        <v>1</v>
      </c>
      <c r="AA347" s="23">
        <f t="shared" si="5"/>
        <v>295000</v>
      </c>
      <c r="AB347" s="20"/>
      <c r="AC347" s="25">
        <f t="shared" si="4"/>
        <v>0</v>
      </c>
      <c r="AD347" s="20" t="s">
        <v>72</v>
      </c>
      <c r="AE347" s="20"/>
      <c r="AF347" s="20"/>
      <c r="AG347" s="20"/>
      <c r="AH347" s="20"/>
      <c r="AI347" s="20"/>
      <c r="AJ347" s="20"/>
      <c r="AK347" s="20"/>
      <c r="AL347" s="20"/>
      <c r="AM347" s="20"/>
      <c r="AN347" s="20"/>
      <c r="AO347" s="20"/>
      <c r="AP347" s="20"/>
      <c r="AQ347" s="20"/>
      <c r="AR347" s="20"/>
      <c r="AS347" s="20"/>
      <c r="AT347" s="20"/>
    </row>
    <row r="348">
      <c r="A348" s="20">
        <v>346.0</v>
      </c>
      <c r="B348" s="29" t="s">
        <v>419</v>
      </c>
      <c r="C348" s="30"/>
      <c r="D348" s="20"/>
      <c r="E348" s="20"/>
      <c r="F348" s="20"/>
      <c r="G348" s="20"/>
      <c r="H348" s="33" t="s">
        <v>77</v>
      </c>
      <c r="I348" s="33" t="s">
        <v>180</v>
      </c>
      <c r="J348" s="21"/>
      <c r="K348" s="20" t="str">
        <f t="shared" si="1"/>
        <v>EDUCATION,INFORMATION AND ICT</v>
      </c>
      <c r="L348" s="20" t="s">
        <v>84</v>
      </c>
      <c r="M348" s="20" t="str">
        <f t="shared" si="2"/>
        <v>EDUCATION,INFORMATION AND ICT</v>
      </c>
      <c r="N348" s="22" t="s">
        <v>119</v>
      </c>
      <c r="O348" s="22" t="s">
        <v>120</v>
      </c>
      <c r="P348" s="20" t="s">
        <v>121</v>
      </c>
      <c r="Q348" s="20" t="s">
        <v>121</v>
      </c>
      <c r="R348" s="30">
        <v>300000.0</v>
      </c>
      <c r="S348" s="30">
        <v>300000.0</v>
      </c>
      <c r="T348" s="30">
        <v>300000.0</v>
      </c>
      <c r="U348" s="20" t="s">
        <v>71</v>
      </c>
      <c r="V348" s="20"/>
      <c r="W348" s="30">
        <v>300000.0</v>
      </c>
      <c r="X348" s="20"/>
      <c r="Y348" s="30">
        <v>300000.0</v>
      </c>
      <c r="Z348" s="24">
        <f t="shared" si="3"/>
        <v>1</v>
      </c>
      <c r="AA348" s="23">
        <f t="shared" si="5"/>
        <v>300000</v>
      </c>
      <c r="AB348" s="20"/>
      <c r="AC348" s="25">
        <f t="shared" si="4"/>
        <v>0</v>
      </c>
      <c r="AD348" s="20" t="s">
        <v>72</v>
      </c>
      <c r="AE348" s="20"/>
      <c r="AF348" s="20"/>
      <c r="AG348" s="20"/>
      <c r="AH348" s="20"/>
      <c r="AI348" s="20"/>
      <c r="AJ348" s="20"/>
      <c r="AK348" s="20"/>
      <c r="AL348" s="20"/>
      <c r="AM348" s="20"/>
      <c r="AN348" s="20"/>
      <c r="AO348" s="20"/>
      <c r="AP348" s="20"/>
      <c r="AQ348" s="20"/>
      <c r="AR348" s="20"/>
      <c r="AS348" s="20"/>
      <c r="AT348" s="20"/>
    </row>
    <row r="349">
      <c r="A349" s="20">
        <v>347.0</v>
      </c>
      <c r="B349" s="29" t="s">
        <v>420</v>
      </c>
      <c r="C349" s="30"/>
      <c r="D349" s="20"/>
      <c r="E349" s="20"/>
      <c r="F349" s="20"/>
      <c r="G349" s="20"/>
      <c r="H349" s="33" t="s">
        <v>77</v>
      </c>
      <c r="I349" s="33" t="s">
        <v>77</v>
      </c>
      <c r="J349" s="21"/>
      <c r="K349" s="20" t="str">
        <f t="shared" si="1"/>
        <v>ROADS,TRANSPORT AND PUBLIC WORKS</v>
      </c>
      <c r="L349" s="20" t="s">
        <v>107</v>
      </c>
      <c r="M349" s="20" t="str">
        <f t="shared" si="2"/>
        <v>ROADS,TRANSPORT AND PUBLIC WORKS</v>
      </c>
      <c r="N349" s="22" t="s">
        <v>119</v>
      </c>
      <c r="O349" s="22" t="s">
        <v>120</v>
      </c>
      <c r="P349" s="20" t="s">
        <v>121</v>
      </c>
      <c r="Q349" s="20" t="s">
        <v>121</v>
      </c>
      <c r="R349" s="30">
        <v>300000.0</v>
      </c>
      <c r="S349" s="30">
        <v>300000.0</v>
      </c>
      <c r="T349" s="30">
        <v>300000.0</v>
      </c>
      <c r="U349" s="20" t="s">
        <v>71</v>
      </c>
      <c r="V349" s="20"/>
      <c r="W349" s="30">
        <v>300000.0</v>
      </c>
      <c r="X349" s="20"/>
      <c r="Y349" s="30">
        <v>300000.0</v>
      </c>
      <c r="Z349" s="24">
        <f t="shared" si="3"/>
        <v>1</v>
      </c>
      <c r="AA349" s="23">
        <f t="shared" si="5"/>
        <v>300000</v>
      </c>
      <c r="AB349" s="20"/>
      <c r="AC349" s="25">
        <f t="shared" si="4"/>
        <v>0</v>
      </c>
      <c r="AD349" s="20" t="s">
        <v>72</v>
      </c>
      <c r="AE349" s="20"/>
      <c r="AF349" s="20"/>
      <c r="AG349" s="20"/>
      <c r="AH349" s="20"/>
      <c r="AI349" s="20"/>
      <c r="AJ349" s="20"/>
      <c r="AK349" s="20"/>
      <c r="AL349" s="20"/>
      <c r="AM349" s="20"/>
      <c r="AN349" s="20"/>
      <c r="AO349" s="20"/>
      <c r="AP349" s="20"/>
      <c r="AQ349" s="20"/>
      <c r="AR349" s="20"/>
      <c r="AS349" s="20"/>
      <c r="AT349" s="20"/>
    </row>
    <row r="350">
      <c r="A350" s="20">
        <v>348.0</v>
      </c>
      <c r="B350" s="29" t="s">
        <v>421</v>
      </c>
      <c r="C350" s="30"/>
      <c r="D350" s="20"/>
      <c r="E350" s="20"/>
      <c r="F350" s="20"/>
      <c r="G350" s="20"/>
      <c r="H350" s="33" t="s">
        <v>65</v>
      </c>
      <c r="I350" s="33" t="s">
        <v>66</v>
      </c>
      <c r="J350" s="21"/>
      <c r="K350" s="20" t="str">
        <f t="shared" si="1"/>
        <v>EDUCATION,INFORMATION AND ICT</v>
      </c>
      <c r="L350" s="20" t="s">
        <v>84</v>
      </c>
      <c r="M350" s="20" t="str">
        <f t="shared" si="2"/>
        <v>EDUCATION,INFORMATION AND ICT</v>
      </c>
      <c r="N350" s="22" t="s">
        <v>119</v>
      </c>
      <c r="O350" s="22" t="s">
        <v>120</v>
      </c>
      <c r="P350" s="20" t="s">
        <v>121</v>
      </c>
      <c r="Q350" s="20" t="s">
        <v>121</v>
      </c>
      <c r="R350" s="30">
        <v>300000.0</v>
      </c>
      <c r="S350" s="30">
        <v>300000.0</v>
      </c>
      <c r="T350" s="30">
        <v>300000.0</v>
      </c>
      <c r="U350" s="20" t="s">
        <v>71</v>
      </c>
      <c r="V350" s="20"/>
      <c r="W350" s="30">
        <v>300000.0</v>
      </c>
      <c r="X350" s="20"/>
      <c r="Y350" s="30">
        <v>300000.0</v>
      </c>
      <c r="Z350" s="24">
        <f t="shared" si="3"/>
        <v>1</v>
      </c>
      <c r="AA350" s="23">
        <f t="shared" si="5"/>
        <v>300000</v>
      </c>
      <c r="AB350" s="20"/>
      <c r="AC350" s="25">
        <f t="shared" si="4"/>
        <v>0</v>
      </c>
      <c r="AD350" s="20" t="s">
        <v>72</v>
      </c>
      <c r="AE350" s="20"/>
      <c r="AF350" s="20"/>
      <c r="AG350" s="20"/>
      <c r="AH350" s="20"/>
      <c r="AI350" s="20"/>
      <c r="AJ350" s="20"/>
      <c r="AK350" s="20"/>
      <c r="AL350" s="20"/>
      <c r="AM350" s="20"/>
      <c r="AN350" s="20"/>
      <c r="AO350" s="20"/>
      <c r="AP350" s="20"/>
      <c r="AQ350" s="20"/>
      <c r="AR350" s="20"/>
      <c r="AS350" s="20"/>
      <c r="AT350" s="20"/>
    </row>
    <row r="351">
      <c r="A351" s="20">
        <v>349.0</v>
      </c>
      <c r="B351" s="29" t="s">
        <v>400</v>
      </c>
      <c r="C351" s="30"/>
      <c r="D351" s="20"/>
      <c r="E351" s="20"/>
      <c r="F351" s="20"/>
      <c r="G351" s="20"/>
      <c r="H351" s="33" t="s">
        <v>65</v>
      </c>
      <c r="I351" s="33" t="s">
        <v>66</v>
      </c>
      <c r="J351" s="21"/>
      <c r="K351" s="20" t="str">
        <f t="shared" si="1"/>
        <v>ROADS,TRANSPORT AND PUBLIC WORKS</v>
      </c>
      <c r="L351" s="20" t="s">
        <v>107</v>
      </c>
      <c r="M351" s="20" t="str">
        <f t="shared" si="2"/>
        <v>ROADS,TRANSPORT AND PUBLIC WORKS</v>
      </c>
      <c r="N351" s="22" t="s">
        <v>119</v>
      </c>
      <c r="O351" s="22" t="s">
        <v>120</v>
      </c>
      <c r="P351" s="20" t="s">
        <v>121</v>
      </c>
      <c r="Q351" s="20" t="s">
        <v>121</v>
      </c>
      <c r="R351" s="30">
        <v>300000.0</v>
      </c>
      <c r="S351" s="30">
        <v>300000.0</v>
      </c>
      <c r="T351" s="30">
        <v>300000.0</v>
      </c>
      <c r="U351" s="20" t="s">
        <v>71</v>
      </c>
      <c r="V351" s="20"/>
      <c r="W351" s="30">
        <v>300000.0</v>
      </c>
      <c r="X351" s="20"/>
      <c r="Y351" s="30">
        <v>300000.0</v>
      </c>
      <c r="Z351" s="24">
        <f t="shared" si="3"/>
        <v>1</v>
      </c>
      <c r="AA351" s="23">
        <f t="shared" si="5"/>
        <v>300000</v>
      </c>
      <c r="AB351" s="20"/>
      <c r="AC351" s="25">
        <f t="shared" si="4"/>
        <v>0</v>
      </c>
      <c r="AD351" s="20" t="s">
        <v>72</v>
      </c>
      <c r="AE351" s="20"/>
      <c r="AF351" s="20"/>
      <c r="AG351" s="20"/>
      <c r="AH351" s="20"/>
      <c r="AI351" s="20"/>
      <c r="AJ351" s="20"/>
      <c r="AK351" s="20"/>
      <c r="AL351" s="20"/>
      <c r="AM351" s="20"/>
      <c r="AN351" s="20"/>
      <c r="AO351" s="20"/>
      <c r="AP351" s="20"/>
      <c r="AQ351" s="20"/>
      <c r="AR351" s="20"/>
      <c r="AS351" s="20"/>
      <c r="AT351" s="20"/>
    </row>
    <row r="352">
      <c r="A352" s="20">
        <v>350.0</v>
      </c>
      <c r="B352" s="29" t="s">
        <v>414</v>
      </c>
      <c r="C352" s="30"/>
      <c r="D352" s="20"/>
      <c r="E352" s="20"/>
      <c r="F352" s="20"/>
      <c r="G352" s="20"/>
      <c r="H352" s="33" t="s">
        <v>81</v>
      </c>
      <c r="I352" s="33" t="s">
        <v>83</v>
      </c>
      <c r="J352" s="21"/>
      <c r="K352" s="20" t="str">
        <f t="shared" si="1"/>
        <v>EDUCATION,INFORMATION AND ICT</v>
      </c>
      <c r="L352" s="20" t="s">
        <v>84</v>
      </c>
      <c r="M352" s="20" t="str">
        <f t="shared" si="2"/>
        <v>EDUCATION,INFORMATION AND ICT</v>
      </c>
      <c r="N352" s="22" t="s">
        <v>119</v>
      </c>
      <c r="O352" s="22" t="s">
        <v>120</v>
      </c>
      <c r="P352" s="20" t="s">
        <v>121</v>
      </c>
      <c r="Q352" s="20" t="s">
        <v>121</v>
      </c>
      <c r="R352" s="30">
        <v>300000.0</v>
      </c>
      <c r="S352" s="30">
        <v>300000.0</v>
      </c>
      <c r="T352" s="30">
        <v>300000.0</v>
      </c>
      <c r="U352" s="20" t="s">
        <v>71</v>
      </c>
      <c r="V352" s="20"/>
      <c r="W352" s="30">
        <v>300000.0</v>
      </c>
      <c r="X352" s="20"/>
      <c r="Y352" s="30">
        <v>300000.0</v>
      </c>
      <c r="Z352" s="24">
        <f t="shared" si="3"/>
        <v>1</v>
      </c>
      <c r="AA352" s="23">
        <f t="shared" si="5"/>
        <v>300000</v>
      </c>
      <c r="AB352" s="20"/>
      <c r="AC352" s="25">
        <f t="shared" si="4"/>
        <v>0</v>
      </c>
      <c r="AD352" s="20" t="s">
        <v>72</v>
      </c>
      <c r="AE352" s="20"/>
      <c r="AF352" s="20"/>
      <c r="AG352" s="20"/>
      <c r="AH352" s="20"/>
      <c r="AI352" s="20"/>
      <c r="AJ352" s="20"/>
      <c r="AK352" s="20"/>
      <c r="AL352" s="20"/>
      <c r="AM352" s="20"/>
      <c r="AN352" s="20"/>
      <c r="AO352" s="20"/>
      <c r="AP352" s="20"/>
      <c r="AQ352" s="20"/>
      <c r="AR352" s="20"/>
      <c r="AS352" s="20"/>
      <c r="AT352" s="20"/>
    </row>
    <row r="353">
      <c r="A353" s="20">
        <v>351.0</v>
      </c>
      <c r="B353" s="29" t="s">
        <v>422</v>
      </c>
      <c r="C353" s="30"/>
      <c r="D353" s="20"/>
      <c r="E353" s="20"/>
      <c r="F353" s="20"/>
      <c r="G353" s="20"/>
      <c r="H353" s="33" t="s">
        <v>113</v>
      </c>
      <c r="I353" s="33" t="s">
        <v>353</v>
      </c>
      <c r="J353" s="21"/>
      <c r="K353" s="20" t="str">
        <f t="shared" si="1"/>
        <v>ROADS,TRANSPORT AND PUBLIC WORKS</v>
      </c>
      <c r="L353" s="20" t="s">
        <v>107</v>
      </c>
      <c r="M353" s="20" t="str">
        <f t="shared" si="2"/>
        <v>ROADS,TRANSPORT AND PUBLIC WORKS</v>
      </c>
      <c r="N353" s="22" t="s">
        <v>119</v>
      </c>
      <c r="O353" s="22" t="s">
        <v>120</v>
      </c>
      <c r="P353" s="20" t="s">
        <v>121</v>
      </c>
      <c r="Q353" s="20" t="s">
        <v>121</v>
      </c>
      <c r="R353" s="30">
        <v>300000.0</v>
      </c>
      <c r="S353" s="30">
        <v>300000.0</v>
      </c>
      <c r="T353" s="30">
        <v>300000.0</v>
      </c>
      <c r="U353" s="20" t="s">
        <v>71</v>
      </c>
      <c r="V353" s="20"/>
      <c r="W353" s="30">
        <v>300000.0</v>
      </c>
      <c r="X353" s="20"/>
      <c r="Y353" s="30">
        <v>300000.0</v>
      </c>
      <c r="Z353" s="24">
        <f t="shared" si="3"/>
        <v>1</v>
      </c>
      <c r="AA353" s="23">
        <f t="shared" si="5"/>
        <v>300000</v>
      </c>
      <c r="AB353" s="20"/>
      <c r="AC353" s="25">
        <f t="shared" si="4"/>
        <v>0</v>
      </c>
      <c r="AD353" s="20" t="s">
        <v>72</v>
      </c>
      <c r="AE353" s="20"/>
      <c r="AF353" s="20"/>
      <c r="AG353" s="20"/>
      <c r="AH353" s="20"/>
      <c r="AI353" s="20"/>
      <c r="AJ353" s="20"/>
      <c r="AK353" s="20"/>
      <c r="AL353" s="20"/>
      <c r="AM353" s="20"/>
      <c r="AN353" s="20"/>
      <c r="AO353" s="20"/>
      <c r="AP353" s="20"/>
      <c r="AQ353" s="20"/>
      <c r="AR353" s="20"/>
      <c r="AS353" s="20"/>
      <c r="AT353" s="20"/>
    </row>
    <row r="354">
      <c r="A354" s="20">
        <v>352.0</v>
      </c>
      <c r="B354" s="29" t="s">
        <v>423</v>
      </c>
      <c r="C354" s="30"/>
      <c r="D354" s="20"/>
      <c r="E354" s="20"/>
      <c r="F354" s="20"/>
      <c r="G354" s="20"/>
      <c r="H354" s="33" t="s">
        <v>65</v>
      </c>
      <c r="I354" s="33" t="s">
        <v>66</v>
      </c>
      <c r="J354" s="21"/>
      <c r="K354" s="20" t="str">
        <f t="shared" si="1"/>
        <v>WATER,ENVIRONMENT,CLIMATE CHANGE AND NATURAL RESOURCES</v>
      </c>
      <c r="L354" s="20" t="s">
        <v>75</v>
      </c>
      <c r="M354" s="20" t="str">
        <f t="shared" si="2"/>
        <v>WATER,ENVIRONMENT,CLIMATE CHANGE AND NATURAL RESOURCES</v>
      </c>
      <c r="N354" s="22" t="s">
        <v>119</v>
      </c>
      <c r="O354" s="22" t="s">
        <v>120</v>
      </c>
      <c r="P354" s="20" t="s">
        <v>121</v>
      </c>
      <c r="Q354" s="20" t="s">
        <v>121</v>
      </c>
      <c r="R354" s="30">
        <v>301000.0</v>
      </c>
      <c r="S354" s="30">
        <v>301000.0</v>
      </c>
      <c r="T354" s="30">
        <v>301000.0</v>
      </c>
      <c r="U354" s="20" t="s">
        <v>71</v>
      </c>
      <c r="V354" s="20"/>
      <c r="W354" s="30">
        <v>301000.0</v>
      </c>
      <c r="X354" s="20"/>
      <c r="Y354" s="30">
        <v>301000.0</v>
      </c>
      <c r="Z354" s="24">
        <f t="shared" si="3"/>
        <v>1</v>
      </c>
      <c r="AA354" s="23">
        <f t="shared" si="5"/>
        <v>301000</v>
      </c>
      <c r="AB354" s="20"/>
      <c r="AC354" s="25">
        <f t="shared" si="4"/>
        <v>0</v>
      </c>
      <c r="AD354" s="20" t="s">
        <v>72</v>
      </c>
      <c r="AE354" s="20"/>
      <c r="AF354" s="20"/>
      <c r="AG354" s="20"/>
      <c r="AH354" s="20"/>
      <c r="AI354" s="20"/>
      <c r="AJ354" s="20"/>
      <c r="AK354" s="20"/>
      <c r="AL354" s="20"/>
      <c r="AM354" s="20"/>
      <c r="AN354" s="20"/>
      <c r="AO354" s="20"/>
      <c r="AP354" s="20"/>
      <c r="AQ354" s="20"/>
      <c r="AR354" s="20"/>
      <c r="AS354" s="20"/>
      <c r="AT354" s="20"/>
    </row>
    <row r="355">
      <c r="A355" s="20">
        <v>353.0</v>
      </c>
      <c r="B355" s="29" t="s">
        <v>424</v>
      </c>
      <c r="C355" s="30"/>
      <c r="D355" s="20"/>
      <c r="E355" s="20"/>
      <c r="F355" s="20"/>
      <c r="G355" s="20"/>
      <c r="H355" s="33" t="s">
        <v>77</v>
      </c>
      <c r="I355" s="33" t="s">
        <v>77</v>
      </c>
      <c r="J355" s="21"/>
      <c r="K355" s="20" t="str">
        <f t="shared" si="1"/>
        <v>EDUCATION,INFORMATION AND ICT</v>
      </c>
      <c r="L355" s="20" t="s">
        <v>84</v>
      </c>
      <c r="M355" s="20" t="str">
        <f t="shared" si="2"/>
        <v>EDUCATION,INFORMATION AND ICT</v>
      </c>
      <c r="N355" s="22" t="s">
        <v>119</v>
      </c>
      <c r="O355" s="22" t="s">
        <v>120</v>
      </c>
      <c r="P355" s="20" t="s">
        <v>121</v>
      </c>
      <c r="Q355" s="20" t="s">
        <v>121</v>
      </c>
      <c r="R355" s="30">
        <v>301000.0</v>
      </c>
      <c r="S355" s="30">
        <v>301000.0</v>
      </c>
      <c r="T355" s="30">
        <v>301000.0</v>
      </c>
      <c r="U355" s="20" t="s">
        <v>71</v>
      </c>
      <c r="V355" s="20"/>
      <c r="W355" s="30">
        <v>301000.0</v>
      </c>
      <c r="X355" s="20"/>
      <c r="Y355" s="30">
        <v>301000.0</v>
      </c>
      <c r="Z355" s="24">
        <f t="shared" si="3"/>
        <v>1</v>
      </c>
      <c r="AA355" s="23">
        <f t="shared" si="5"/>
        <v>301000</v>
      </c>
      <c r="AB355" s="20"/>
      <c r="AC355" s="25">
        <f t="shared" si="4"/>
        <v>0</v>
      </c>
      <c r="AD355" s="20" t="s">
        <v>72</v>
      </c>
      <c r="AE355" s="20"/>
      <c r="AF355" s="20"/>
      <c r="AG355" s="20"/>
      <c r="AH355" s="20"/>
      <c r="AI355" s="20"/>
      <c r="AJ355" s="20"/>
      <c r="AK355" s="20"/>
      <c r="AL355" s="20"/>
      <c r="AM355" s="20"/>
      <c r="AN355" s="20"/>
      <c r="AO355" s="20"/>
      <c r="AP355" s="20"/>
      <c r="AQ355" s="20"/>
      <c r="AR355" s="20"/>
      <c r="AS355" s="20"/>
      <c r="AT355" s="20"/>
    </row>
    <row r="356">
      <c r="A356" s="20">
        <v>354.0</v>
      </c>
      <c r="B356" s="29" t="s">
        <v>425</v>
      </c>
      <c r="C356" s="30"/>
      <c r="D356" s="20"/>
      <c r="E356" s="20"/>
      <c r="F356" s="20"/>
      <c r="G356" s="20"/>
      <c r="H356" s="33" t="s">
        <v>65</v>
      </c>
      <c r="I356" s="33" t="s">
        <v>66</v>
      </c>
      <c r="J356" s="21"/>
      <c r="K356" s="20" t="str">
        <f t="shared" si="1"/>
        <v>WATER,ENVIRONMENT,CLIMATE CHANGE AND NATURAL RESOURCES</v>
      </c>
      <c r="L356" s="20" t="s">
        <v>75</v>
      </c>
      <c r="M356" s="20" t="str">
        <f t="shared" si="2"/>
        <v>WATER,ENVIRONMENT,CLIMATE CHANGE AND NATURAL RESOURCES</v>
      </c>
      <c r="N356" s="22" t="s">
        <v>119</v>
      </c>
      <c r="O356" s="22" t="s">
        <v>120</v>
      </c>
      <c r="P356" s="20" t="s">
        <v>121</v>
      </c>
      <c r="Q356" s="20" t="s">
        <v>121</v>
      </c>
      <c r="R356" s="30">
        <v>305000.0</v>
      </c>
      <c r="S356" s="30">
        <v>305000.0</v>
      </c>
      <c r="T356" s="30">
        <v>305000.0</v>
      </c>
      <c r="U356" s="20" t="s">
        <v>71</v>
      </c>
      <c r="V356" s="20"/>
      <c r="W356" s="30">
        <v>305000.0</v>
      </c>
      <c r="X356" s="20"/>
      <c r="Y356" s="30">
        <v>305000.0</v>
      </c>
      <c r="Z356" s="24">
        <f t="shared" si="3"/>
        <v>1</v>
      </c>
      <c r="AA356" s="23">
        <f t="shared" si="5"/>
        <v>305000</v>
      </c>
      <c r="AB356" s="20"/>
      <c r="AC356" s="25">
        <f t="shared" si="4"/>
        <v>0</v>
      </c>
      <c r="AD356" s="20" t="s">
        <v>72</v>
      </c>
      <c r="AE356" s="20"/>
      <c r="AF356" s="20"/>
      <c r="AG356" s="20"/>
      <c r="AH356" s="20"/>
      <c r="AI356" s="20"/>
      <c r="AJ356" s="20"/>
      <c r="AK356" s="20"/>
      <c r="AL356" s="20"/>
      <c r="AM356" s="20"/>
      <c r="AN356" s="20"/>
      <c r="AO356" s="20"/>
      <c r="AP356" s="20"/>
      <c r="AQ356" s="20"/>
      <c r="AR356" s="20"/>
      <c r="AS356" s="20"/>
      <c r="AT356" s="20"/>
    </row>
    <row r="357">
      <c r="A357" s="20">
        <v>355.0</v>
      </c>
      <c r="B357" s="29" t="s">
        <v>426</v>
      </c>
      <c r="C357" s="30"/>
      <c r="D357" s="20"/>
      <c r="E357" s="20"/>
      <c r="F357" s="20"/>
      <c r="G357" s="20"/>
      <c r="H357" s="33" t="s">
        <v>65</v>
      </c>
      <c r="I357" s="33" t="s">
        <v>66</v>
      </c>
      <c r="J357" s="21"/>
      <c r="K357" s="20" t="str">
        <f t="shared" si="1"/>
        <v>ROADS,TRANSPORT AND PUBLIC WORKS</v>
      </c>
      <c r="L357" s="20" t="s">
        <v>107</v>
      </c>
      <c r="M357" s="20" t="str">
        <f t="shared" si="2"/>
        <v>ROADS,TRANSPORT AND PUBLIC WORKS</v>
      </c>
      <c r="N357" s="22" t="s">
        <v>119</v>
      </c>
      <c r="O357" s="22" t="s">
        <v>120</v>
      </c>
      <c r="P357" s="20" t="s">
        <v>121</v>
      </c>
      <c r="Q357" s="20" t="s">
        <v>121</v>
      </c>
      <c r="R357" s="30">
        <v>309000.0</v>
      </c>
      <c r="S357" s="30">
        <v>309000.0</v>
      </c>
      <c r="T357" s="30">
        <v>309000.0</v>
      </c>
      <c r="U357" s="20" t="s">
        <v>71</v>
      </c>
      <c r="V357" s="20"/>
      <c r="W357" s="30">
        <v>309000.0</v>
      </c>
      <c r="X357" s="20"/>
      <c r="Y357" s="30">
        <v>309000.0</v>
      </c>
      <c r="Z357" s="24">
        <f t="shared" si="3"/>
        <v>1</v>
      </c>
      <c r="AA357" s="23">
        <f t="shared" si="5"/>
        <v>309000</v>
      </c>
      <c r="AB357" s="20"/>
      <c r="AC357" s="25">
        <f t="shared" si="4"/>
        <v>0</v>
      </c>
      <c r="AD357" s="20" t="s">
        <v>72</v>
      </c>
      <c r="AE357" s="20"/>
      <c r="AF357" s="20"/>
      <c r="AG357" s="20"/>
      <c r="AH357" s="20"/>
      <c r="AI357" s="20"/>
      <c r="AJ357" s="20"/>
      <c r="AK357" s="20"/>
      <c r="AL357" s="20"/>
      <c r="AM357" s="20"/>
      <c r="AN357" s="20"/>
      <c r="AO357" s="20"/>
      <c r="AP357" s="20"/>
      <c r="AQ357" s="20"/>
      <c r="AR357" s="20"/>
      <c r="AS357" s="20"/>
      <c r="AT357" s="20"/>
    </row>
    <row r="358">
      <c r="A358" s="20">
        <v>356.0</v>
      </c>
      <c r="B358" s="29" t="s">
        <v>369</v>
      </c>
      <c r="C358" s="30"/>
      <c r="D358" s="20"/>
      <c r="E358" s="20"/>
      <c r="F358" s="20"/>
      <c r="G358" s="20"/>
      <c r="H358" s="33" t="s">
        <v>65</v>
      </c>
      <c r="I358" s="33" t="s">
        <v>66</v>
      </c>
      <c r="J358" s="21"/>
      <c r="K358" s="20" t="str">
        <f t="shared" si="1"/>
        <v>WATER,ENVIRONMENT,CLIMATE CHANGE AND NATURAL RESOURCES</v>
      </c>
      <c r="L358" s="20" t="s">
        <v>75</v>
      </c>
      <c r="M358" s="20" t="str">
        <f t="shared" si="2"/>
        <v>WATER,ENVIRONMENT,CLIMATE CHANGE AND NATURAL RESOURCES</v>
      </c>
      <c r="N358" s="22" t="s">
        <v>119</v>
      </c>
      <c r="O358" s="22" t="s">
        <v>120</v>
      </c>
      <c r="P358" s="20" t="s">
        <v>121</v>
      </c>
      <c r="Q358" s="20" t="s">
        <v>121</v>
      </c>
      <c r="R358" s="30">
        <v>310000.0</v>
      </c>
      <c r="S358" s="30">
        <v>310000.0</v>
      </c>
      <c r="T358" s="30">
        <v>310000.0</v>
      </c>
      <c r="U358" s="20" t="s">
        <v>71</v>
      </c>
      <c r="V358" s="20"/>
      <c r="W358" s="30">
        <v>310000.0</v>
      </c>
      <c r="X358" s="20"/>
      <c r="Y358" s="30">
        <v>310000.0</v>
      </c>
      <c r="Z358" s="24">
        <f t="shared" si="3"/>
        <v>1</v>
      </c>
      <c r="AA358" s="23">
        <f t="shared" si="5"/>
        <v>310000</v>
      </c>
      <c r="AB358" s="20"/>
      <c r="AC358" s="25">
        <f t="shared" si="4"/>
        <v>0</v>
      </c>
      <c r="AD358" s="20" t="s">
        <v>72</v>
      </c>
      <c r="AE358" s="20"/>
      <c r="AF358" s="20"/>
      <c r="AG358" s="20"/>
      <c r="AH358" s="20"/>
      <c r="AI358" s="20"/>
      <c r="AJ358" s="20"/>
      <c r="AK358" s="20"/>
      <c r="AL358" s="20"/>
      <c r="AM358" s="20"/>
      <c r="AN358" s="20"/>
      <c r="AO358" s="20"/>
      <c r="AP358" s="20"/>
      <c r="AQ358" s="20"/>
      <c r="AR358" s="20"/>
      <c r="AS358" s="20"/>
      <c r="AT358" s="20"/>
    </row>
    <row r="359">
      <c r="A359" s="20">
        <v>357.0</v>
      </c>
      <c r="B359" s="29" t="s">
        <v>427</v>
      </c>
      <c r="C359" s="30"/>
      <c r="D359" s="20"/>
      <c r="E359" s="20"/>
      <c r="F359" s="20"/>
      <c r="G359" s="20"/>
      <c r="H359" s="33" t="s">
        <v>65</v>
      </c>
      <c r="I359" s="33" t="s">
        <v>66</v>
      </c>
      <c r="J359" s="21"/>
      <c r="K359" s="20" t="str">
        <f t="shared" si="1"/>
        <v>EDUCATION,INFORMATION AND ICT</v>
      </c>
      <c r="L359" s="20" t="s">
        <v>84</v>
      </c>
      <c r="M359" s="20" t="str">
        <f t="shared" si="2"/>
        <v>EDUCATION,INFORMATION AND ICT</v>
      </c>
      <c r="N359" s="22" t="s">
        <v>119</v>
      </c>
      <c r="O359" s="22" t="s">
        <v>120</v>
      </c>
      <c r="P359" s="20" t="s">
        <v>121</v>
      </c>
      <c r="Q359" s="20" t="s">
        <v>121</v>
      </c>
      <c r="R359" s="30">
        <v>310000.0</v>
      </c>
      <c r="S359" s="30">
        <v>310000.0</v>
      </c>
      <c r="T359" s="30">
        <v>310000.0</v>
      </c>
      <c r="U359" s="20" t="s">
        <v>71</v>
      </c>
      <c r="V359" s="20"/>
      <c r="W359" s="30">
        <v>310000.0</v>
      </c>
      <c r="X359" s="20"/>
      <c r="Y359" s="30">
        <v>310000.0</v>
      </c>
      <c r="Z359" s="24">
        <f t="shared" si="3"/>
        <v>1</v>
      </c>
      <c r="AA359" s="23">
        <f t="shared" si="5"/>
        <v>310000</v>
      </c>
      <c r="AB359" s="20"/>
      <c r="AC359" s="25">
        <f t="shared" si="4"/>
        <v>0</v>
      </c>
      <c r="AD359" s="20" t="s">
        <v>72</v>
      </c>
      <c r="AE359" s="20"/>
      <c r="AF359" s="20"/>
      <c r="AG359" s="20"/>
      <c r="AH359" s="20"/>
      <c r="AI359" s="20"/>
      <c r="AJ359" s="20"/>
      <c r="AK359" s="20"/>
      <c r="AL359" s="20"/>
      <c r="AM359" s="20"/>
      <c r="AN359" s="20"/>
      <c r="AO359" s="20"/>
      <c r="AP359" s="20"/>
      <c r="AQ359" s="20"/>
      <c r="AR359" s="20"/>
      <c r="AS359" s="20"/>
      <c r="AT359" s="20"/>
    </row>
    <row r="360">
      <c r="A360" s="20">
        <v>358.0</v>
      </c>
      <c r="B360" s="29" t="s">
        <v>428</v>
      </c>
      <c r="C360" s="30"/>
      <c r="D360" s="20"/>
      <c r="E360" s="20"/>
      <c r="F360" s="20"/>
      <c r="G360" s="20"/>
      <c r="H360" s="33" t="s">
        <v>65</v>
      </c>
      <c r="I360" s="33" t="s">
        <v>66</v>
      </c>
      <c r="J360" s="21"/>
      <c r="K360" s="20" t="str">
        <f t="shared" si="1"/>
        <v>Health services</v>
      </c>
      <c r="L360" s="20" t="s">
        <v>67</v>
      </c>
      <c r="M360" s="20" t="str">
        <f t="shared" si="2"/>
        <v>Health services</v>
      </c>
      <c r="N360" s="22" t="s">
        <v>119</v>
      </c>
      <c r="O360" s="22" t="s">
        <v>120</v>
      </c>
      <c r="P360" s="20" t="s">
        <v>121</v>
      </c>
      <c r="Q360" s="20" t="s">
        <v>121</v>
      </c>
      <c r="R360" s="30">
        <v>315000.0</v>
      </c>
      <c r="S360" s="30">
        <v>315000.0</v>
      </c>
      <c r="T360" s="30">
        <v>315000.0</v>
      </c>
      <c r="U360" s="20" t="s">
        <v>71</v>
      </c>
      <c r="V360" s="20"/>
      <c r="W360" s="30">
        <v>315000.0</v>
      </c>
      <c r="X360" s="20"/>
      <c r="Y360" s="30">
        <v>315000.0</v>
      </c>
      <c r="Z360" s="24">
        <f t="shared" si="3"/>
        <v>1</v>
      </c>
      <c r="AA360" s="23">
        <f t="shared" si="5"/>
        <v>315000</v>
      </c>
      <c r="AB360" s="20"/>
      <c r="AC360" s="25">
        <f t="shared" si="4"/>
        <v>0</v>
      </c>
      <c r="AD360" s="20" t="s">
        <v>72</v>
      </c>
      <c r="AE360" s="20"/>
      <c r="AF360" s="20"/>
      <c r="AG360" s="20"/>
      <c r="AH360" s="20"/>
      <c r="AI360" s="20"/>
      <c r="AJ360" s="20"/>
      <c r="AK360" s="20"/>
      <c r="AL360" s="20"/>
      <c r="AM360" s="20"/>
      <c r="AN360" s="20"/>
      <c r="AO360" s="20"/>
      <c r="AP360" s="20"/>
      <c r="AQ360" s="20"/>
      <c r="AR360" s="20"/>
      <c r="AS360" s="20"/>
      <c r="AT360" s="20"/>
    </row>
    <row r="361">
      <c r="A361" s="20">
        <v>359.0</v>
      </c>
      <c r="B361" s="29" t="s">
        <v>429</v>
      </c>
      <c r="C361" s="30"/>
      <c r="D361" s="20"/>
      <c r="E361" s="20"/>
      <c r="F361" s="20"/>
      <c r="G361" s="20"/>
      <c r="H361" s="33" t="s">
        <v>113</v>
      </c>
      <c r="I361" s="33" t="s">
        <v>114</v>
      </c>
      <c r="J361" s="21"/>
      <c r="K361" s="20" t="str">
        <f t="shared" si="1"/>
        <v>EDUCATION,INFORMATION AND ICT</v>
      </c>
      <c r="L361" s="20" t="s">
        <v>84</v>
      </c>
      <c r="M361" s="20" t="str">
        <f t="shared" si="2"/>
        <v>EDUCATION,INFORMATION AND ICT</v>
      </c>
      <c r="N361" s="22" t="s">
        <v>119</v>
      </c>
      <c r="O361" s="22" t="s">
        <v>120</v>
      </c>
      <c r="P361" s="20" t="s">
        <v>121</v>
      </c>
      <c r="Q361" s="20" t="s">
        <v>121</v>
      </c>
      <c r="R361" s="30">
        <v>315000.0</v>
      </c>
      <c r="S361" s="30">
        <v>315000.0</v>
      </c>
      <c r="T361" s="30">
        <v>315000.0</v>
      </c>
      <c r="U361" s="20" t="s">
        <v>71</v>
      </c>
      <c r="V361" s="20"/>
      <c r="W361" s="30">
        <v>315000.0</v>
      </c>
      <c r="X361" s="20"/>
      <c r="Y361" s="30">
        <v>315000.0</v>
      </c>
      <c r="Z361" s="24">
        <f t="shared" si="3"/>
        <v>1</v>
      </c>
      <c r="AA361" s="23">
        <f t="shared" si="5"/>
        <v>315000</v>
      </c>
      <c r="AB361" s="20"/>
      <c r="AC361" s="25">
        <f t="shared" si="4"/>
        <v>0</v>
      </c>
      <c r="AD361" s="20" t="s">
        <v>72</v>
      </c>
      <c r="AE361" s="20"/>
      <c r="AF361" s="20"/>
      <c r="AG361" s="20"/>
      <c r="AH361" s="20"/>
      <c r="AI361" s="20"/>
      <c r="AJ361" s="20"/>
      <c r="AK361" s="20"/>
      <c r="AL361" s="20"/>
      <c r="AM361" s="20"/>
      <c r="AN361" s="20"/>
      <c r="AO361" s="20"/>
      <c r="AP361" s="20"/>
      <c r="AQ361" s="20"/>
      <c r="AR361" s="20"/>
      <c r="AS361" s="20"/>
      <c r="AT361" s="20"/>
    </row>
    <row r="362">
      <c r="A362" s="20">
        <v>360.0</v>
      </c>
      <c r="B362" s="29" t="s">
        <v>430</v>
      </c>
      <c r="C362" s="30"/>
      <c r="D362" s="20"/>
      <c r="E362" s="20"/>
      <c r="F362" s="20"/>
      <c r="G362" s="20"/>
      <c r="H362" s="33" t="s">
        <v>81</v>
      </c>
      <c r="I362" s="33" t="s">
        <v>81</v>
      </c>
      <c r="J362" s="21"/>
      <c r="K362" s="20" t="str">
        <f t="shared" si="1"/>
        <v>Health services</v>
      </c>
      <c r="L362" s="20" t="s">
        <v>67</v>
      </c>
      <c r="M362" s="20" t="str">
        <f t="shared" si="2"/>
        <v>Health services</v>
      </c>
      <c r="N362" s="22" t="s">
        <v>119</v>
      </c>
      <c r="O362" s="22" t="s">
        <v>120</v>
      </c>
      <c r="P362" s="20" t="s">
        <v>121</v>
      </c>
      <c r="Q362" s="20" t="s">
        <v>121</v>
      </c>
      <c r="R362" s="30">
        <v>340000.0</v>
      </c>
      <c r="S362" s="30">
        <v>340000.0</v>
      </c>
      <c r="T362" s="30">
        <v>340000.0</v>
      </c>
      <c r="U362" s="20" t="s">
        <v>71</v>
      </c>
      <c r="V362" s="20"/>
      <c r="W362" s="30">
        <v>340000.0</v>
      </c>
      <c r="X362" s="20"/>
      <c r="Y362" s="30">
        <v>340000.0</v>
      </c>
      <c r="Z362" s="24">
        <f t="shared" si="3"/>
        <v>1</v>
      </c>
      <c r="AA362" s="23">
        <f t="shared" si="5"/>
        <v>340000</v>
      </c>
      <c r="AB362" s="20"/>
      <c r="AC362" s="25">
        <f t="shared" si="4"/>
        <v>0</v>
      </c>
      <c r="AD362" s="20" t="s">
        <v>72</v>
      </c>
      <c r="AE362" s="20"/>
      <c r="AF362" s="20"/>
      <c r="AG362" s="20"/>
      <c r="AH362" s="20"/>
      <c r="AI362" s="20"/>
      <c r="AJ362" s="20"/>
      <c r="AK362" s="20"/>
      <c r="AL362" s="20"/>
      <c r="AM362" s="20"/>
      <c r="AN362" s="20"/>
      <c r="AO362" s="20"/>
      <c r="AP362" s="20"/>
      <c r="AQ362" s="20"/>
      <c r="AR362" s="20"/>
      <c r="AS362" s="20"/>
      <c r="AT362" s="20"/>
    </row>
    <row r="363">
      <c r="A363" s="20">
        <v>361.0</v>
      </c>
      <c r="B363" s="29" t="s">
        <v>431</v>
      </c>
      <c r="C363" s="30"/>
      <c r="D363" s="20"/>
      <c r="E363" s="20"/>
      <c r="F363" s="20"/>
      <c r="G363" s="20"/>
      <c r="H363" s="33" t="s">
        <v>104</v>
      </c>
      <c r="I363" s="33" t="s">
        <v>104</v>
      </c>
      <c r="J363" s="21"/>
      <c r="K363" s="20" t="str">
        <f t="shared" si="1"/>
        <v>ROADS,TRANSPORT AND PUBLIC WORKS</v>
      </c>
      <c r="L363" s="20" t="s">
        <v>107</v>
      </c>
      <c r="M363" s="20" t="str">
        <f t="shared" si="2"/>
        <v>ROADS,TRANSPORT AND PUBLIC WORKS</v>
      </c>
      <c r="N363" s="22" t="s">
        <v>119</v>
      </c>
      <c r="O363" s="22" t="s">
        <v>120</v>
      </c>
      <c r="P363" s="20" t="s">
        <v>121</v>
      </c>
      <c r="Q363" s="20" t="s">
        <v>121</v>
      </c>
      <c r="R363" s="30">
        <v>350000.0</v>
      </c>
      <c r="S363" s="30">
        <v>350000.0</v>
      </c>
      <c r="T363" s="30">
        <v>350000.0</v>
      </c>
      <c r="U363" s="20" t="s">
        <v>71</v>
      </c>
      <c r="V363" s="20"/>
      <c r="W363" s="30">
        <v>350000.0</v>
      </c>
      <c r="X363" s="20"/>
      <c r="Y363" s="30">
        <v>350000.0</v>
      </c>
      <c r="Z363" s="24">
        <f t="shared" si="3"/>
        <v>1</v>
      </c>
      <c r="AA363" s="23">
        <f t="shared" si="5"/>
        <v>350000</v>
      </c>
      <c r="AB363" s="20"/>
      <c r="AC363" s="25">
        <f t="shared" si="4"/>
        <v>0</v>
      </c>
      <c r="AD363" s="20" t="s">
        <v>72</v>
      </c>
      <c r="AE363" s="20"/>
      <c r="AF363" s="20"/>
      <c r="AG363" s="20"/>
      <c r="AH363" s="20"/>
      <c r="AI363" s="20"/>
      <c r="AJ363" s="20"/>
      <c r="AK363" s="20"/>
      <c r="AL363" s="20"/>
      <c r="AM363" s="20"/>
      <c r="AN363" s="20"/>
      <c r="AO363" s="20"/>
      <c r="AP363" s="20"/>
      <c r="AQ363" s="20"/>
      <c r="AR363" s="20"/>
      <c r="AS363" s="20"/>
      <c r="AT363" s="20"/>
    </row>
    <row r="364">
      <c r="A364" s="20">
        <v>362.0</v>
      </c>
      <c r="B364" s="29" t="s">
        <v>432</v>
      </c>
      <c r="C364" s="30"/>
      <c r="D364" s="20"/>
      <c r="E364" s="20"/>
      <c r="F364" s="20"/>
      <c r="G364" s="20"/>
      <c r="H364" s="33" t="s">
        <v>113</v>
      </c>
      <c r="I364" s="33" t="s">
        <v>397</v>
      </c>
      <c r="J364" s="21"/>
      <c r="K364" s="20" t="str">
        <f t="shared" si="1"/>
        <v>ROADS,TRANSPORT AND PUBLIC WORKS</v>
      </c>
      <c r="L364" s="20" t="s">
        <v>107</v>
      </c>
      <c r="M364" s="20" t="str">
        <f t="shared" si="2"/>
        <v>ROADS,TRANSPORT AND PUBLIC WORKS</v>
      </c>
      <c r="N364" s="22" t="s">
        <v>119</v>
      </c>
      <c r="O364" s="22" t="s">
        <v>120</v>
      </c>
      <c r="P364" s="20" t="s">
        <v>121</v>
      </c>
      <c r="Q364" s="20" t="s">
        <v>121</v>
      </c>
      <c r="R364" s="30">
        <v>440000.0</v>
      </c>
      <c r="S364" s="30">
        <v>440000.0</v>
      </c>
      <c r="T364" s="30">
        <v>440000.0</v>
      </c>
      <c r="U364" s="20" t="s">
        <v>71</v>
      </c>
      <c r="V364" s="20"/>
      <c r="W364" s="30">
        <v>440000.0</v>
      </c>
      <c r="X364" s="20"/>
      <c r="Y364" s="30">
        <v>440000.0</v>
      </c>
      <c r="Z364" s="24">
        <f t="shared" si="3"/>
        <v>1</v>
      </c>
      <c r="AA364" s="23">
        <f t="shared" si="5"/>
        <v>440000</v>
      </c>
      <c r="AB364" s="20"/>
      <c r="AC364" s="25">
        <f t="shared" si="4"/>
        <v>0</v>
      </c>
      <c r="AD364" s="20" t="s">
        <v>72</v>
      </c>
      <c r="AE364" s="20"/>
      <c r="AF364" s="20"/>
      <c r="AG364" s="20"/>
      <c r="AH364" s="20"/>
      <c r="AI364" s="20"/>
      <c r="AJ364" s="20"/>
      <c r="AK364" s="20"/>
      <c r="AL364" s="20"/>
      <c r="AM364" s="20"/>
      <c r="AN364" s="20"/>
      <c r="AO364" s="20"/>
      <c r="AP364" s="20"/>
      <c r="AQ364" s="20"/>
      <c r="AR364" s="20"/>
      <c r="AS364" s="20"/>
      <c r="AT364" s="20"/>
    </row>
    <row r="365">
      <c r="A365" s="20">
        <v>363.0</v>
      </c>
      <c r="B365" s="29" t="s">
        <v>433</v>
      </c>
      <c r="C365" s="30"/>
      <c r="D365" s="20"/>
      <c r="E365" s="20"/>
      <c r="F365" s="20"/>
      <c r="G365" s="20"/>
      <c r="H365" s="33" t="s">
        <v>113</v>
      </c>
      <c r="I365" s="33" t="s">
        <v>114</v>
      </c>
      <c r="J365" s="21"/>
      <c r="K365" s="20" t="str">
        <f t="shared" si="1"/>
        <v>Health services</v>
      </c>
      <c r="L365" s="20" t="s">
        <v>67</v>
      </c>
      <c r="M365" s="20" t="str">
        <f t="shared" si="2"/>
        <v>Health services</v>
      </c>
      <c r="N365" s="22" t="s">
        <v>119</v>
      </c>
      <c r="O365" s="22" t="s">
        <v>120</v>
      </c>
      <c r="P365" s="20" t="s">
        <v>121</v>
      </c>
      <c r="Q365" s="20" t="s">
        <v>121</v>
      </c>
      <c r="R365" s="30">
        <v>500000.0</v>
      </c>
      <c r="S365" s="30">
        <v>500000.0</v>
      </c>
      <c r="T365" s="30">
        <v>500000.0</v>
      </c>
      <c r="U365" s="20" t="s">
        <v>71</v>
      </c>
      <c r="V365" s="20"/>
      <c r="W365" s="30">
        <v>500000.0</v>
      </c>
      <c r="X365" s="20"/>
      <c r="Y365" s="30">
        <v>500000.0</v>
      </c>
      <c r="Z365" s="24">
        <f t="shared" si="3"/>
        <v>1</v>
      </c>
      <c r="AA365" s="23">
        <f t="shared" si="5"/>
        <v>500000</v>
      </c>
      <c r="AB365" s="20"/>
      <c r="AC365" s="25">
        <f t="shared" si="4"/>
        <v>0</v>
      </c>
      <c r="AD365" s="20" t="s">
        <v>72</v>
      </c>
      <c r="AE365" s="20"/>
      <c r="AF365" s="20"/>
      <c r="AG365" s="20"/>
      <c r="AH365" s="20"/>
      <c r="AI365" s="20"/>
      <c r="AJ365" s="20"/>
      <c r="AK365" s="20"/>
      <c r="AL365" s="20"/>
      <c r="AM365" s="20"/>
      <c r="AN365" s="20"/>
      <c r="AO365" s="20"/>
      <c r="AP365" s="20"/>
      <c r="AQ365" s="20"/>
      <c r="AR365" s="20"/>
      <c r="AS365" s="20"/>
      <c r="AT365" s="20"/>
    </row>
    <row r="366">
      <c r="A366" s="20">
        <v>364.0</v>
      </c>
      <c r="B366" s="29" t="s">
        <v>305</v>
      </c>
      <c r="C366" s="30"/>
      <c r="D366" s="20"/>
      <c r="E366" s="20"/>
      <c r="F366" s="20"/>
      <c r="G366" s="20"/>
      <c r="H366" s="33" t="s">
        <v>65</v>
      </c>
      <c r="I366" s="33" t="s">
        <v>66</v>
      </c>
      <c r="J366" s="21"/>
      <c r="K366" s="20" t="str">
        <f t="shared" si="1"/>
        <v>ROADS,TRANSPORT AND PUBLIC WORKS</v>
      </c>
      <c r="L366" s="20" t="s">
        <v>107</v>
      </c>
      <c r="M366" s="20" t="str">
        <f t="shared" si="2"/>
        <v>ROADS,TRANSPORT AND PUBLIC WORKS</v>
      </c>
      <c r="N366" s="22" t="s">
        <v>119</v>
      </c>
      <c r="O366" s="22" t="s">
        <v>120</v>
      </c>
      <c r="P366" s="20" t="s">
        <v>121</v>
      </c>
      <c r="Q366" s="20" t="s">
        <v>121</v>
      </c>
      <c r="R366" s="30">
        <v>500000.0</v>
      </c>
      <c r="S366" s="30">
        <v>500000.0</v>
      </c>
      <c r="T366" s="30">
        <v>500000.0</v>
      </c>
      <c r="U366" s="20" t="s">
        <v>71</v>
      </c>
      <c r="V366" s="20"/>
      <c r="W366" s="30">
        <v>500000.0</v>
      </c>
      <c r="X366" s="20"/>
      <c r="Y366" s="30">
        <v>500000.0</v>
      </c>
      <c r="Z366" s="24">
        <f t="shared" si="3"/>
        <v>1</v>
      </c>
      <c r="AA366" s="23">
        <f t="shared" si="5"/>
        <v>500000</v>
      </c>
      <c r="AB366" s="20"/>
      <c r="AC366" s="25">
        <f t="shared" si="4"/>
        <v>0</v>
      </c>
      <c r="AD366" s="20" t="s">
        <v>72</v>
      </c>
      <c r="AE366" s="20"/>
      <c r="AF366" s="20"/>
      <c r="AG366" s="20"/>
      <c r="AH366" s="20"/>
      <c r="AI366" s="20"/>
      <c r="AJ366" s="20"/>
      <c r="AK366" s="20"/>
      <c r="AL366" s="20"/>
      <c r="AM366" s="20"/>
      <c r="AN366" s="20"/>
      <c r="AO366" s="20"/>
      <c r="AP366" s="20"/>
      <c r="AQ366" s="20"/>
      <c r="AR366" s="20"/>
      <c r="AS366" s="20"/>
      <c r="AT366" s="20"/>
    </row>
    <row r="367">
      <c r="A367" s="20">
        <v>365.0</v>
      </c>
      <c r="B367" s="29" t="s">
        <v>434</v>
      </c>
      <c r="C367" s="30"/>
      <c r="D367" s="20"/>
      <c r="E367" s="20"/>
      <c r="F367" s="20"/>
      <c r="G367" s="20"/>
      <c r="H367" s="33" t="s">
        <v>65</v>
      </c>
      <c r="I367" s="33" t="s">
        <v>66</v>
      </c>
      <c r="J367" s="21"/>
      <c r="K367" s="20" t="str">
        <f t="shared" si="1"/>
        <v>WATER,ENVIRONMENT,CLIMATE CHANGE AND NATURAL RESOURCES</v>
      </c>
      <c r="L367" s="20" t="s">
        <v>75</v>
      </c>
      <c r="M367" s="20" t="str">
        <f t="shared" si="2"/>
        <v>WATER,ENVIRONMENT,CLIMATE CHANGE AND NATURAL RESOURCES</v>
      </c>
      <c r="N367" s="22" t="s">
        <v>119</v>
      </c>
      <c r="O367" s="22" t="s">
        <v>120</v>
      </c>
      <c r="P367" s="20" t="s">
        <v>121</v>
      </c>
      <c r="Q367" s="20" t="s">
        <v>121</v>
      </c>
      <c r="R367" s="30">
        <v>500000.0</v>
      </c>
      <c r="S367" s="30">
        <v>500000.0</v>
      </c>
      <c r="T367" s="30">
        <v>500000.0</v>
      </c>
      <c r="U367" s="20" t="s">
        <v>71</v>
      </c>
      <c r="V367" s="20"/>
      <c r="W367" s="30">
        <v>500000.0</v>
      </c>
      <c r="X367" s="20"/>
      <c r="Y367" s="30">
        <v>500000.0</v>
      </c>
      <c r="Z367" s="24">
        <f t="shared" si="3"/>
        <v>1</v>
      </c>
      <c r="AA367" s="23">
        <f t="shared" si="5"/>
        <v>500000</v>
      </c>
      <c r="AB367" s="20"/>
      <c r="AC367" s="25">
        <f t="shared" si="4"/>
        <v>0</v>
      </c>
      <c r="AD367" s="20" t="s">
        <v>72</v>
      </c>
      <c r="AE367" s="20"/>
      <c r="AF367" s="20"/>
      <c r="AG367" s="20"/>
      <c r="AH367" s="20"/>
      <c r="AI367" s="20"/>
      <c r="AJ367" s="20"/>
      <c r="AK367" s="20"/>
      <c r="AL367" s="20"/>
      <c r="AM367" s="20"/>
      <c r="AN367" s="20"/>
      <c r="AO367" s="20"/>
      <c r="AP367" s="20"/>
      <c r="AQ367" s="20"/>
      <c r="AR367" s="20"/>
      <c r="AS367" s="20"/>
      <c r="AT367" s="20"/>
    </row>
    <row r="368">
      <c r="A368" s="20">
        <v>366.0</v>
      </c>
      <c r="B368" s="29" t="s">
        <v>435</v>
      </c>
      <c r="C368" s="30"/>
      <c r="D368" s="20"/>
      <c r="E368" s="20"/>
      <c r="F368" s="20"/>
      <c r="G368" s="20"/>
      <c r="H368" s="33" t="s">
        <v>65</v>
      </c>
      <c r="I368" s="33" t="s">
        <v>66</v>
      </c>
      <c r="J368" s="21"/>
      <c r="K368" s="20" t="str">
        <f t="shared" si="1"/>
        <v>ROADS,TRANSPORT AND PUBLIC WORKS</v>
      </c>
      <c r="L368" s="20" t="s">
        <v>107</v>
      </c>
      <c r="M368" s="20" t="str">
        <f t="shared" si="2"/>
        <v>ROADS,TRANSPORT AND PUBLIC WORKS</v>
      </c>
      <c r="N368" s="22" t="s">
        <v>119</v>
      </c>
      <c r="O368" s="22" t="s">
        <v>120</v>
      </c>
      <c r="P368" s="20" t="s">
        <v>121</v>
      </c>
      <c r="Q368" s="20" t="s">
        <v>121</v>
      </c>
      <c r="R368" s="30">
        <v>500000.0</v>
      </c>
      <c r="S368" s="30">
        <v>500000.0</v>
      </c>
      <c r="T368" s="30">
        <v>500000.0</v>
      </c>
      <c r="U368" s="20" t="s">
        <v>71</v>
      </c>
      <c r="V368" s="20"/>
      <c r="W368" s="30">
        <v>500000.0</v>
      </c>
      <c r="X368" s="20"/>
      <c r="Y368" s="30">
        <v>500000.0</v>
      </c>
      <c r="Z368" s="24">
        <f t="shared" si="3"/>
        <v>1</v>
      </c>
      <c r="AA368" s="23">
        <f t="shared" si="5"/>
        <v>500000</v>
      </c>
      <c r="AB368" s="20"/>
      <c r="AC368" s="25">
        <f t="shared" si="4"/>
        <v>0</v>
      </c>
      <c r="AD368" s="20" t="s">
        <v>72</v>
      </c>
      <c r="AE368" s="20"/>
      <c r="AF368" s="20"/>
      <c r="AG368" s="20"/>
      <c r="AH368" s="20"/>
      <c r="AI368" s="20"/>
      <c r="AJ368" s="20"/>
      <c r="AK368" s="20"/>
      <c r="AL368" s="20"/>
      <c r="AM368" s="20"/>
      <c r="AN368" s="20"/>
      <c r="AO368" s="20"/>
      <c r="AP368" s="20"/>
      <c r="AQ368" s="20"/>
      <c r="AR368" s="20"/>
      <c r="AS368" s="20"/>
      <c r="AT368" s="20"/>
    </row>
    <row r="369">
      <c r="A369" s="20">
        <v>367.0</v>
      </c>
      <c r="B369" s="29" t="s">
        <v>436</v>
      </c>
      <c r="C369" s="30"/>
      <c r="D369" s="20"/>
      <c r="E369" s="20"/>
      <c r="F369" s="20"/>
      <c r="G369" s="20"/>
      <c r="H369" s="33" t="s">
        <v>65</v>
      </c>
      <c r="I369" s="33" t="s">
        <v>66</v>
      </c>
      <c r="J369" s="21"/>
      <c r="K369" s="20" t="str">
        <f t="shared" si="1"/>
        <v>WATER,ENVIRONMENT,CLIMATE CHANGE AND NATURAL RESOURCES</v>
      </c>
      <c r="L369" s="20" t="s">
        <v>75</v>
      </c>
      <c r="M369" s="20" t="str">
        <f t="shared" si="2"/>
        <v>WATER,ENVIRONMENT,CLIMATE CHANGE AND NATURAL RESOURCES</v>
      </c>
      <c r="N369" s="22" t="s">
        <v>119</v>
      </c>
      <c r="O369" s="22" t="s">
        <v>120</v>
      </c>
      <c r="P369" s="20" t="s">
        <v>121</v>
      </c>
      <c r="Q369" s="20" t="s">
        <v>121</v>
      </c>
      <c r="R369" s="30">
        <v>584000.0</v>
      </c>
      <c r="S369" s="30">
        <v>584000.0</v>
      </c>
      <c r="T369" s="30">
        <v>584000.0</v>
      </c>
      <c r="U369" s="20" t="s">
        <v>71</v>
      </c>
      <c r="V369" s="20"/>
      <c r="W369" s="30">
        <v>584000.0</v>
      </c>
      <c r="X369" s="20"/>
      <c r="Y369" s="30">
        <v>584000.0</v>
      </c>
      <c r="Z369" s="24">
        <f t="shared" si="3"/>
        <v>1</v>
      </c>
      <c r="AA369" s="23">
        <f t="shared" si="5"/>
        <v>584000</v>
      </c>
      <c r="AB369" s="20"/>
      <c r="AC369" s="25">
        <f t="shared" si="4"/>
        <v>0</v>
      </c>
      <c r="AD369" s="20" t="s">
        <v>72</v>
      </c>
      <c r="AE369" s="20"/>
      <c r="AF369" s="20"/>
      <c r="AG369" s="20"/>
      <c r="AH369" s="20"/>
      <c r="AI369" s="20"/>
      <c r="AJ369" s="20"/>
      <c r="AK369" s="20"/>
      <c r="AL369" s="20"/>
      <c r="AM369" s="20"/>
      <c r="AN369" s="20"/>
      <c r="AO369" s="20"/>
      <c r="AP369" s="20"/>
      <c r="AQ369" s="20"/>
      <c r="AR369" s="20"/>
      <c r="AS369" s="20"/>
      <c r="AT369" s="20"/>
    </row>
    <row r="370">
      <c r="A370" s="20">
        <v>368.0</v>
      </c>
      <c r="B370" s="29" t="s">
        <v>437</v>
      </c>
      <c r="C370" s="30"/>
      <c r="D370" s="20"/>
      <c r="E370" s="20"/>
      <c r="F370" s="20"/>
      <c r="G370" s="20"/>
      <c r="H370" s="33" t="s">
        <v>113</v>
      </c>
      <c r="I370" s="33" t="s">
        <v>114</v>
      </c>
      <c r="J370" s="21"/>
      <c r="K370" s="20" t="str">
        <f t="shared" si="1"/>
        <v>WATER,ENVIRONMENT,CLIMATE CHANGE AND NATURAL RESOURCES</v>
      </c>
      <c r="L370" s="20" t="s">
        <v>75</v>
      </c>
      <c r="M370" s="20" t="str">
        <f t="shared" si="2"/>
        <v>WATER,ENVIRONMENT,CLIMATE CHANGE AND NATURAL RESOURCES</v>
      </c>
      <c r="N370" s="22" t="s">
        <v>119</v>
      </c>
      <c r="O370" s="22" t="s">
        <v>120</v>
      </c>
      <c r="P370" s="20" t="s">
        <v>121</v>
      </c>
      <c r="Q370" s="20" t="s">
        <v>121</v>
      </c>
      <c r="R370" s="30">
        <v>789000.0</v>
      </c>
      <c r="S370" s="30">
        <v>789000.0</v>
      </c>
      <c r="T370" s="30">
        <v>789000.0</v>
      </c>
      <c r="U370" s="20" t="s">
        <v>71</v>
      </c>
      <c r="V370" s="20"/>
      <c r="W370" s="30">
        <v>789000.0</v>
      </c>
      <c r="X370" s="20"/>
      <c r="Y370" s="30">
        <v>789000.0</v>
      </c>
      <c r="Z370" s="24">
        <f t="shared" si="3"/>
        <v>1</v>
      </c>
      <c r="AA370" s="23">
        <f t="shared" si="5"/>
        <v>789000</v>
      </c>
      <c r="AB370" s="20"/>
      <c r="AC370" s="25">
        <f t="shared" si="4"/>
        <v>0</v>
      </c>
      <c r="AD370" s="20" t="s">
        <v>72</v>
      </c>
      <c r="AE370" s="20"/>
      <c r="AF370" s="20"/>
      <c r="AG370" s="20"/>
      <c r="AH370" s="20"/>
      <c r="AI370" s="20"/>
      <c r="AJ370" s="20"/>
      <c r="AK370" s="20"/>
      <c r="AL370" s="20"/>
      <c r="AM370" s="20"/>
      <c r="AN370" s="20"/>
      <c r="AO370" s="20"/>
      <c r="AP370" s="20"/>
      <c r="AQ370" s="20"/>
      <c r="AR370" s="20"/>
      <c r="AS370" s="20"/>
      <c r="AT370" s="20"/>
    </row>
    <row r="371">
      <c r="A371" s="20">
        <v>369.0</v>
      </c>
      <c r="B371" s="29" t="s">
        <v>438</v>
      </c>
      <c r="C371" s="30"/>
      <c r="D371" s="20"/>
      <c r="E371" s="20"/>
      <c r="F371" s="20"/>
      <c r="G371" s="20"/>
      <c r="H371" s="33" t="s">
        <v>65</v>
      </c>
      <c r="I371" s="33" t="s">
        <v>66</v>
      </c>
      <c r="J371" s="21"/>
      <c r="K371" s="20" t="str">
        <f t="shared" si="1"/>
        <v>ROADS,TRANSPORT AND PUBLIC WORKS</v>
      </c>
      <c r="L371" s="20" t="s">
        <v>107</v>
      </c>
      <c r="M371" s="20" t="str">
        <f t="shared" si="2"/>
        <v>ROADS,TRANSPORT AND PUBLIC WORKS</v>
      </c>
      <c r="N371" s="22" t="s">
        <v>119</v>
      </c>
      <c r="O371" s="22" t="s">
        <v>120</v>
      </c>
      <c r="P371" s="20" t="s">
        <v>121</v>
      </c>
      <c r="Q371" s="20" t="s">
        <v>121</v>
      </c>
      <c r="R371" s="30">
        <v>800000.0</v>
      </c>
      <c r="S371" s="30">
        <v>800000.0</v>
      </c>
      <c r="T371" s="30">
        <v>800000.0</v>
      </c>
      <c r="U371" s="20" t="s">
        <v>71</v>
      </c>
      <c r="V371" s="20"/>
      <c r="W371" s="30">
        <v>800000.0</v>
      </c>
      <c r="X371" s="20"/>
      <c r="Y371" s="30">
        <v>800000.0</v>
      </c>
      <c r="Z371" s="24">
        <f t="shared" si="3"/>
        <v>1</v>
      </c>
      <c r="AA371" s="23">
        <f t="shared" si="5"/>
        <v>800000</v>
      </c>
      <c r="AB371" s="20"/>
      <c r="AC371" s="25">
        <f t="shared" si="4"/>
        <v>0</v>
      </c>
      <c r="AD371" s="20" t="s">
        <v>72</v>
      </c>
      <c r="AE371" s="20"/>
      <c r="AF371" s="20"/>
      <c r="AG371" s="20"/>
      <c r="AH371" s="20"/>
      <c r="AI371" s="20"/>
      <c r="AJ371" s="20"/>
      <c r="AK371" s="20"/>
      <c r="AL371" s="20"/>
      <c r="AM371" s="20"/>
      <c r="AN371" s="20"/>
      <c r="AO371" s="20"/>
      <c r="AP371" s="20"/>
      <c r="AQ371" s="20"/>
      <c r="AR371" s="20"/>
      <c r="AS371" s="20"/>
      <c r="AT371" s="20"/>
    </row>
    <row r="372">
      <c r="A372" s="20">
        <v>370.0</v>
      </c>
      <c r="B372" s="29" t="s">
        <v>439</v>
      </c>
      <c r="C372" s="30"/>
      <c r="D372" s="20"/>
      <c r="E372" s="20"/>
      <c r="F372" s="20"/>
      <c r="G372" s="20"/>
      <c r="H372" s="33" t="s">
        <v>113</v>
      </c>
      <c r="I372" s="33" t="s">
        <v>114</v>
      </c>
      <c r="J372" s="21"/>
      <c r="K372" s="20" t="str">
        <f t="shared" si="1"/>
        <v>WATER,ENVIRONMENT,CLIMATE CHANGE AND NATURAL RESOURCES</v>
      </c>
      <c r="L372" s="20" t="s">
        <v>75</v>
      </c>
      <c r="M372" s="20" t="str">
        <f t="shared" si="2"/>
        <v>WATER,ENVIRONMENT,CLIMATE CHANGE AND NATURAL RESOURCES</v>
      </c>
      <c r="N372" s="22" t="s">
        <v>119</v>
      </c>
      <c r="O372" s="22" t="s">
        <v>120</v>
      </c>
      <c r="P372" s="20" t="s">
        <v>121</v>
      </c>
      <c r="Q372" s="20" t="s">
        <v>121</v>
      </c>
      <c r="R372" s="30">
        <v>1000000.0</v>
      </c>
      <c r="S372" s="30">
        <v>1000000.0</v>
      </c>
      <c r="T372" s="30">
        <v>1000000.0</v>
      </c>
      <c r="U372" s="20" t="s">
        <v>71</v>
      </c>
      <c r="V372" s="20"/>
      <c r="W372" s="30">
        <v>1000000.0</v>
      </c>
      <c r="X372" s="20"/>
      <c r="Y372" s="30">
        <v>1000000.0</v>
      </c>
      <c r="Z372" s="24">
        <f t="shared" si="3"/>
        <v>1</v>
      </c>
      <c r="AA372" s="23">
        <f t="shared" si="5"/>
        <v>1000000</v>
      </c>
      <c r="AB372" s="20"/>
      <c r="AC372" s="25">
        <f t="shared" si="4"/>
        <v>0</v>
      </c>
      <c r="AD372" s="20" t="s">
        <v>72</v>
      </c>
      <c r="AE372" s="20"/>
      <c r="AF372" s="20"/>
      <c r="AG372" s="20"/>
      <c r="AH372" s="20"/>
      <c r="AI372" s="20"/>
      <c r="AJ372" s="20"/>
      <c r="AK372" s="20"/>
      <c r="AL372" s="20"/>
      <c r="AM372" s="20"/>
      <c r="AN372" s="20"/>
      <c r="AO372" s="20"/>
      <c r="AP372" s="20"/>
      <c r="AQ372" s="20"/>
      <c r="AR372" s="20"/>
      <c r="AS372" s="20"/>
      <c r="AT372" s="20"/>
    </row>
    <row r="373">
      <c r="A373" s="20">
        <v>371.0</v>
      </c>
      <c r="B373" s="29" t="s">
        <v>321</v>
      </c>
      <c r="C373" s="30"/>
      <c r="D373" s="20"/>
      <c r="E373" s="20"/>
      <c r="F373" s="20"/>
      <c r="G373" s="20"/>
      <c r="H373" s="33" t="s">
        <v>65</v>
      </c>
      <c r="I373" s="33" t="s">
        <v>66</v>
      </c>
      <c r="J373" s="21"/>
      <c r="K373" s="20" t="str">
        <f t="shared" si="1"/>
        <v>ROADS,TRANSPORT AND PUBLIC WORKS</v>
      </c>
      <c r="L373" s="20" t="s">
        <v>107</v>
      </c>
      <c r="M373" s="20" t="str">
        <f t="shared" si="2"/>
        <v>ROADS,TRANSPORT AND PUBLIC WORKS</v>
      </c>
      <c r="N373" s="22" t="s">
        <v>119</v>
      </c>
      <c r="O373" s="22" t="s">
        <v>120</v>
      </c>
      <c r="P373" s="20" t="s">
        <v>121</v>
      </c>
      <c r="Q373" s="20" t="s">
        <v>121</v>
      </c>
      <c r="R373" s="30">
        <v>1000000.0</v>
      </c>
      <c r="S373" s="30">
        <v>1000000.0</v>
      </c>
      <c r="T373" s="30">
        <v>1000000.0</v>
      </c>
      <c r="U373" s="20" t="s">
        <v>71</v>
      </c>
      <c r="V373" s="20"/>
      <c r="W373" s="30">
        <v>1000000.0</v>
      </c>
      <c r="X373" s="20"/>
      <c r="Y373" s="30">
        <v>1000000.0</v>
      </c>
      <c r="Z373" s="24">
        <f t="shared" si="3"/>
        <v>1</v>
      </c>
      <c r="AA373" s="23">
        <f t="shared" si="5"/>
        <v>1000000</v>
      </c>
      <c r="AB373" s="20"/>
      <c r="AC373" s="25">
        <f t="shared" si="4"/>
        <v>0</v>
      </c>
      <c r="AD373" s="20" t="s">
        <v>72</v>
      </c>
      <c r="AE373" s="20"/>
      <c r="AF373" s="20"/>
      <c r="AG373" s="20"/>
      <c r="AH373" s="20"/>
      <c r="AI373" s="20"/>
      <c r="AJ373" s="20"/>
      <c r="AK373" s="20"/>
      <c r="AL373" s="20"/>
      <c r="AM373" s="20"/>
      <c r="AN373" s="20"/>
      <c r="AO373" s="20"/>
      <c r="AP373" s="20"/>
      <c r="AQ373" s="20"/>
      <c r="AR373" s="20"/>
      <c r="AS373" s="20"/>
      <c r="AT373" s="20"/>
    </row>
    <row r="374">
      <c r="A374" s="20">
        <v>372.0</v>
      </c>
      <c r="B374" s="29" t="s">
        <v>440</v>
      </c>
      <c r="C374" s="30"/>
      <c r="D374" s="20"/>
      <c r="E374" s="20"/>
      <c r="F374" s="20"/>
      <c r="G374" s="20"/>
      <c r="H374" s="33" t="s">
        <v>160</v>
      </c>
      <c r="I374" s="33" t="s">
        <v>160</v>
      </c>
      <c r="J374" s="21"/>
      <c r="K374" s="20" t="str">
        <f t="shared" si="1"/>
        <v>ROADS,TRANSPORT AND PUBLIC WORKS</v>
      </c>
      <c r="L374" s="20" t="s">
        <v>107</v>
      </c>
      <c r="M374" s="20" t="str">
        <f t="shared" si="2"/>
        <v>ROADS,TRANSPORT AND PUBLIC WORKS</v>
      </c>
      <c r="N374" s="22" t="s">
        <v>119</v>
      </c>
      <c r="O374" s="22" t="s">
        <v>120</v>
      </c>
      <c r="P374" s="20" t="s">
        <v>121</v>
      </c>
      <c r="Q374" s="20" t="s">
        <v>121</v>
      </c>
      <c r="R374" s="30">
        <v>1200000.0</v>
      </c>
      <c r="S374" s="30">
        <v>1200000.0</v>
      </c>
      <c r="T374" s="30">
        <v>1200000.0</v>
      </c>
      <c r="U374" s="20" t="s">
        <v>71</v>
      </c>
      <c r="V374" s="20"/>
      <c r="W374" s="30">
        <v>1200000.0</v>
      </c>
      <c r="X374" s="20"/>
      <c r="Y374" s="30">
        <v>1200000.0</v>
      </c>
      <c r="Z374" s="24">
        <f t="shared" si="3"/>
        <v>1</v>
      </c>
      <c r="AA374" s="23">
        <f t="shared" si="5"/>
        <v>1200000</v>
      </c>
      <c r="AB374" s="20"/>
      <c r="AC374" s="25">
        <f t="shared" si="4"/>
        <v>0</v>
      </c>
      <c r="AD374" s="20" t="s">
        <v>72</v>
      </c>
      <c r="AE374" s="20"/>
      <c r="AF374" s="20"/>
      <c r="AG374" s="20"/>
      <c r="AH374" s="20"/>
      <c r="AI374" s="20"/>
      <c r="AJ374" s="20"/>
      <c r="AK374" s="20"/>
      <c r="AL374" s="20"/>
      <c r="AM374" s="20"/>
      <c r="AN374" s="20"/>
      <c r="AO374" s="20"/>
      <c r="AP374" s="20"/>
      <c r="AQ374" s="20"/>
      <c r="AR374" s="20"/>
      <c r="AS374" s="20"/>
      <c r="AT374" s="20"/>
    </row>
    <row r="375">
      <c r="A375" s="20">
        <v>373.0</v>
      </c>
      <c r="B375" s="29" t="s">
        <v>441</v>
      </c>
      <c r="C375" s="30"/>
      <c r="D375" s="20"/>
      <c r="E375" s="20"/>
      <c r="F375" s="20"/>
      <c r="G375" s="20"/>
      <c r="H375" s="33" t="s">
        <v>65</v>
      </c>
      <c r="I375" s="33" t="s">
        <v>66</v>
      </c>
      <c r="J375" s="21"/>
      <c r="K375" s="20" t="str">
        <f t="shared" si="1"/>
        <v>ROADS,TRANSPORT AND PUBLIC WORKS</v>
      </c>
      <c r="L375" s="20" t="s">
        <v>107</v>
      </c>
      <c r="M375" s="20" t="str">
        <f t="shared" si="2"/>
        <v>ROADS,TRANSPORT AND PUBLIC WORKS</v>
      </c>
      <c r="N375" s="22" t="s">
        <v>119</v>
      </c>
      <c r="O375" s="22" t="s">
        <v>120</v>
      </c>
      <c r="P375" s="20" t="s">
        <v>121</v>
      </c>
      <c r="Q375" s="20" t="s">
        <v>121</v>
      </c>
      <c r="R375" s="30">
        <v>1200000.0</v>
      </c>
      <c r="S375" s="30">
        <v>1200000.0</v>
      </c>
      <c r="T375" s="30">
        <v>1200000.0</v>
      </c>
      <c r="U375" s="20" t="s">
        <v>71</v>
      </c>
      <c r="V375" s="20"/>
      <c r="W375" s="30">
        <v>1200000.0</v>
      </c>
      <c r="X375" s="20"/>
      <c r="Y375" s="30">
        <v>1200000.0</v>
      </c>
      <c r="Z375" s="24">
        <f t="shared" si="3"/>
        <v>1</v>
      </c>
      <c r="AA375" s="23">
        <f t="shared" si="5"/>
        <v>1200000</v>
      </c>
      <c r="AB375" s="20"/>
      <c r="AC375" s="25">
        <f t="shared" si="4"/>
        <v>0</v>
      </c>
      <c r="AD375" s="20" t="s">
        <v>72</v>
      </c>
      <c r="AE375" s="20"/>
      <c r="AF375" s="20"/>
      <c r="AG375" s="20"/>
      <c r="AH375" s="20"/>
      <c r="AI375" s="20"/>
      <c r="AJ375" s="20"/>
      <c r="AK375" s="20"/>
      <c r="AL375" s="20"/>
      <c r="AM375" s="20"/>
      <c r="AN375" s="20"/>
      <c r="AO375" s="20"/>
      <c r="AP375" s="20"/>
      <c r="AQ375" s="20"/>
      <c r="AR375" s="20"/>
      <c r="AS375" s="20"/>
      <c r="AT375" s="20"/>
    </row>
    <row r="376">
      <c r="A376" s="20">
        <v>374.0</v>
      </c>
      <c r="B376" s="29" t="s">
        <v>442</v>
      </c>
      <c r="C376" s="30"/>
      <c r="D376" s="20"/>
      <c r="E376" s="20"/>
      <c r="F376" s="20"/>
      <c r="G376" s="20"/>
      <c r="H376" s="33" t="s">
        <v>65</v>
      </c>
      <c r="I376" s="33" t="s">
        <v>66</v>
      </c>
      <c r="J376" s="21"/>
      <c r="K376" s="20" t="str">
        <f t="shared" si="1"/>
        <v>ROADS,TRANSPORT AND PUBLIC WORKS</v>
      </c>
      <c r="L376" s="20" t="s">
        <v>107</v>
      </c>
      <c r="M376" s="20" t="str">
        <f t="shared" si="2"/>
        <v>ROADS,TRANSPORT AND PUBLIC WORKS</v>
      </c>
      <c r="N376" s="22" t="s">
        <v>119</v>
      </c>
      <c r="O376" s="22" t="s">
        <v>120</v>
      </c>
      <c r="P376" s="20" t="s">
        <v>121</v>
      </c>
      <c r="Q376" s="20" t="s">
        <v>121</v>
      </c>
      <c r="R376" s="30">
        <v>1300000.0</v>
      </c>
      <c r="S376" s="30">
        <v>1300000.0</v>
      </c>
      <c r="T376" s="30">
        <v>1300000.0</v>
      </c>
      <c r="U376" s="20" t="s">
        <v>71</v>
      </c>
      <c r="V376" s="20"/>
      <c r="W376" s="30">
        <v>1300000.0</v>
      </c>
      <c r="X376" s="20"/>
      <c r="Y376" s="30">
        <v>1300000.0</v>
      </c>
      <c r="Z376" s="24">
        <f t="shared" si="3"/>
        <v>1</v>
      </c>
      <c r="AA376" s="23">
        <f t="shared" si="5"/>
        <v>1300000</v>
      </c>
      <c r="AB376" s="20"/>
      <c r="AC376" s="25">
        <f t="shared" si="4"/>
        <v>0</v>
      </c>
      <c r="AD376" s="20" t="s">
        <v>72</v>
      </c>
      <c r="AE376" s="20"/>
      <c r="AF376" s="20"/>
      <c r="AG376" s="20"/>
      <c r="AH376" s="20"/>
      <c r="AI376" s="20"/>
      <c r="AJ376" s="20"/>
      <c r="AK376" s="20"/>
      <c r="AL376" s="20"/>
      <c r="AM376" s="20"/>
      <c r="AN376" s="20"/>
      <c r="AO376" s="20"/>
      <c r="AP376" s="20"/>
      <c r="AQ376" s="20"/>
      <c r="AR376" s="20"/>
      <c r="AS376" s="20"/>
      <c r="AT376" s="20"/>
    </row>
    <row r="377">
      <c r="A377" s="20">
        <v>375.0</v>
      </c>
      <c r="B377" s="29" t="s">
        <v>443</v>
      </c>
      <c r="C377" s="30"/>
      <c r="D377" s="20"/>
      <c r="E377" s="20"/>
      <c r="F377" s="20"/>
      <c r="G377" s="20"/>
      <c r="H377" s="33" t="s">
        <v>81</v>
      </c>
      <c r="I377" s="33" t="s">
        <v>83</v>
      </c>
      <c r="J377" s="21"/>
      <c r="K377" s="20" t="str">
        <f t="shared" si="1"/>
        <v>ROADS,TRANSPORT AND PUBLIC WORKS</v>
      </c>
      <c r="L377" s="20" t="s">
        <v>107</v>
      </c>
      <c r="M377" s="20" t="str">
        <f t="shared" si="2"/>
        <v>ROADS,TRANSPORT AND PUBLIC WORKS</v>
      </c>
      <c r="N377" s="22" t="s">
        <v>119</v>
      </c>
      <c r="O377" s="22" t="s">
        <v>120</v>
      </c>
      <c r="P377" s="20" t="s">
        <v>121</v>
      </c>
      <c r="Q377" s="20" t="s">
        <v>121</v>
      </c>
      <c r="R377" s="30">
        <v>3000000.0</v>
      </c>
      <c r="S377" s="30">
        <v>3000000.0</v>
      </c>
      <c r="T377" s="30">
        <v>3000000.0</v>
      </c>
      <c r="U377" s="20" t="s">
        <v>71</v>
      </c>
      <c r="V377" s="20"/>
      <c r="W377" s="30">
        <v>3000000.0</v>
      </c>
      <c r="X377" s="20"/>
      <c r="Y377" s="30">
        <v>3000000.0</v>
      </c>
      <c r="Z377" s="24">
        <f t="shared" si="3"/>
        <v>1</v>
      </c>
      <c r="AA377" s="23">
        <f t="shared" si="5"/>
        <v>3000000</v>
      </c>
      <c r="AB377" s="20"/>
      <c r="AC377" s="25">
        <f t="shared" si="4"/>
        <v>0</v>
      </c>
      <c r="AD377" s="20" t="s">
        <v>72</v>
      </c>
      <c r="AE377" s="20"/>
      <c r="AF377" s="20"/>
      <c r="AG377" s="20"/>
      <c r="AH377" s="20"/>
      <c r="AI377" s="20"/>
      <c r="AJ377" s="20"/>
      <c r="AK377" s="20"/>
      <c r="AL377" s="20"/>
      <c r="AM377" s="20"/>
      <c r="AN377" s="20"/>
      <c r="AO377" s="20"/>
      <c r="AP377" s="20"/>
      <c r="AQ377" s="20"/>
      <c r="AR377" s="20"/>
      <c r="AS377" s="20"/>
      <c r="AT377" s="20"/>
    </row>
    <row r="378">
      <c r="A378" s="20">
        <v>376.0</v>
      </c>
      <c r="B378" s="29" t="s">
        <v>434</v>
      </c>
      <c r="C378" s="30"/>
      <c r="D378" s="20"/>
      <c r="E378" s="20"/>
      <c r="F378" s="20"/>
      <c r="G378" s="20"/>
      <c r="H378" s="33" t="s">
        <v>65</v>
      </c>
      <c r="I378" s="33" t="s">
        <v>66</v>
      </c>
      <c r="J378" s="21"/>
      <c r="K378" s="20" t="str">
        <f t="shared" si="1"/>
        <v>WATER,ENVIRONMENT,CLIMATE CHANGE AND NATURAL RESOURCES</v>
      </c>
      <c r="L378" s="20" t="s">
        <v>75</v>
      </c>
      <c r="M378" s="20" t="str">
        <f t="shared" si="2"/>
        <v>WATER,ENVIRONMENT,CLIMATE CHANGE AND NATURAL RESOURCES</v>
      </c>
      <c r="N378" s="22" t="s">
        <v>119</v>
      </c>
      <c r="O378" s="22" t="s">
        <v>120</v>
      </c>
      <c r="P378" s="20" t="s">
        <v>121</v>
      </c>
      <c r="Q378" s="20" t="s">
        <v>121</v>
      </c>
      <c r="R378" s="30">
        <v>3000000.0</v>
      </c>
      <c r="S378" s="30">
        <v>3000000.0</v>
      </c>
      <c r="T378" s="30">
        <v>3000000.0</v>
      </c>
      <c r="U378" s="20" t="s">
        <v>71</v>
      </c>
      <c r="V378" s="20"/>
      <c r="W378" s="30">
        <v>3000000.0</v>
      </c>
      <c r="X378" s="20"/>
      <c r="Y378" s="30">
        <v>3000000.0</v>
      </c>
      <c r="Z378" s="24">
        <f t="shared" si="3"/>
        <v>1</v>
      </c>
      <c r="AA378" s="23">
        <f t="shared" si="5"/>
        <v>3000000</v>
      </c>
      <c r="AB378" s="20"/>
      <c r="AC378" s="25">
        <f t="shared" si="4"/>
        <v>0</v>
      </c>
      <c r="AD378" s="20" t="s">
        <v>72</v>
      </c>
      <c r="AE378" s="20"/>
      <c r="AF378" s="20"/>
      <c r="AG378" s="20"/>
      <c r="AH378" s="20"/>
      <c r="AI378" s="20"/>
      <c r="AJ378" s="20"/>
      <c r="AK378" s="20"/>
      <c r="AL378" s="20"/>
      <c r="AM378" s="20"/>
      <c r="AN378" s="20"/>
      <c r="AO378" s="20"/>
      <c r="AP378" s="20"/>
      <c r="AQ378" s="20"/>
      <c r="AR378" s="20"/>
      <c r="AS378" s="20"/>
      <c r="AT378" s="20"/>
    </row>
    <row r="379">
      <c r="A379" s="20">
        <v>377.0</v>
      </c>
      <c r="B379" s="29" t="s">
        <v>444</v>
      </c>
      <c r="C379" s="30"/>
      <c r="D379" s="20"/>
      <c r="E379" s="20"/>
      <c r="F379" s="20"/>
      <c r="G379" s="20"/>
      <c r="H379" s="33" t="s">
        <v>65</v>
      </c>
      <c r="I379" s="33" t="s">
        <v>66</v>
      </c>
      <c r="J379" s="21"/>
      <c r="K379" s="20" t="str">
        <f t="shared" si="1"/>
        <v>ROADS,TRANSPORT AND PUBLIC WORKS</v>
      </c>
      <c r="L379" s="20" t="s">
        <v>107</v>
      </c>
      <c r="M379" s="20" t="str">
        <f t="shared" si="2"/>
        <v>ROADS,TRANSPORT AND PUBLIC WORKS</v>
      </c>
      <c r="N379" s="22" t="s">
        <v>119</v>
      </c>
      <c r="O379" s="22" t="s">
        <v>120</v>
      </c>
      <c r="P379" s="20" t="s">
        <v>121</v>
      </c>
      <c r="Q379" s="20" t="s">
        <v>121</v>
      </c>
      <c r="R379" s="30">
        <v>3000000.0</v>
      </c>
      <c r="S379" s="30">
        <v>3000000.0</v>
      </c>
      <c r="T379" s="30">
        <v>3000000.0</v>
      </c>
      <c r="U379" s="20" t="s">
        <v>71</v>
      </c>
      <c r="V379" s="20"/>
      <c r="W379" s="30">
        <v>3000000.0</v>
      </c>
      <c r="X379" s="20"/>
      <c r="Y379" s="30">
        <v>3000000.0</v>
      </c>
      <c r="Z379" s="24">
        <f t="shared" si="3"/>
        <v>1</v>
      </c>
      <c r="AA379" s="23">
        <f t="shared" si="5"/>
        <v>3000000</v>
      </c>
      <c r="AB379" s="20"/>
      <c r="AC379" s="25">
        <f t="shared" si="4"/>
        <v>0</v>
      </c>
      <c r="AD379" s="20" t="s">
        <v>72</v>
      </c>
      <c r="AE379" s="20"/>
      <c r="AF379" s="20"/>
      <c r="AG379" s="20"/>
      <c r="AH379" s="20"/>
      <c r="AI379" s="20"/>
      <c r="AJ379" s="20"/>
      <c r="AK379" s="20"/>
      <c r="AL379" s="20"/>
      <c r="AM379" s="20"/>
      <c r="AN379" s="20"/>
      <c r="AO379" s="20"/>
      <c r="AP379" s="20"/>
      <c r="AQ379" s="20"/>
      <c r="AR379" s="20"/>
      <c r="AS379" s="20"/>
      <c r="AT379" s="20"/>
    </row>
    <row r="380">
      <c r="A380" s="20">
        <v>378.0</v>
      </c>
      <c r="B380" s="29" t="s">
        <v>445</v>
      </c>
      <c r="C380" s="30"/>
      <c r="D380" s="20"/>
      <c r="E380" s="20"/>
      <c r="F380" s="20"/>
      <c r="G380" s="20"/>
      <c r="H380" s="33" t="s">
        <v>65</v>
      </c>
      <c r="I380" s="33" t="s">
        <v>66</v>
      </c>
      <c r="J380" s="21"/>
      <c r="K380" s="20" t="str">
        <f t="shared" si="1"/>
        <v>EDUCATION,INFORMATION AND ICT</v>
      </c>
      <c r="L380" s="20" t="s">
        <v>84</v>
      </c>
      <c r="M380" s="20" t="str">
        <f t="shared" si="2"/>
        <v>EDUCATION,INFORMATION AND ICT</v>
      </c>
      <c r="N380" s="22" t="s">
        <v>119</v>
      </c>
      <c r="O380" s="22" t="s">
        <v>120</v>
      </c>
      <c r="P380" s="20" t="s">
        <v>121</v>
      </c>
      <c r="Q380" s="20" t="s">
        <v>121</v>
      </c>
      <c r="R380" s="30">
        <v>5000000.0</v>
      </c>
      <c r="S380" s="30">
        <v>5000000.0</v>
      </c>
      <c r="T380" s="30">
        <v>5000000.0</v>
      </c>
      <c r="U380" s="20" t="s">
        <v>71</v>
      </c>
      <c r="V380" s="20"/>
      <c r="W380" s="30">
        <v>5000000.0</v>
      </c>
      <c r="X380" s="20"/>
      <c r="Y380" s="30">
        <v>5000000.0</v>
      </c>
      <c r="Z380" s="24">
        <f t="shared" si="3"/>
        <v>1</v>
      </c>
      <c r="AA380" s="23">
        <f t="shared" si="5"/>
        <v>5000000</v>
      </c>
      <c r="AB380" s="20"/>
      <c r="AC380" s="25">
        <f t="shared" si="4"/>
        <v>0</v>
      </c>
      <c r="AD380" s="20" t="s">
        <v>72</v>
      </c>
      <c r="AE380" s="20"/>
      <c r="AF380" s="20"/>
      <c r="AG380" s="20"/>
      <c r="AH380" s="20"/>
      <c r="AI380" s="20"/>
      <c r="AJ380" s="20"/>
      <c r="AK380" s="20"/>
      <c r="AL380" s="20"/>
      <c r="AM380" s="20"/>
      <c r="AN380" s="20"/>
      <c r="AO380" s="20"/>
      <c r="AP380" s="20"/>
      <c r="AQ380" s="20"/>
      <c r="AR380" s="20"/>
      <c r="AS380" s="20"/>
      <c r="AT380" s="20"/>
    </row>
    <row r="381">
      <c r="A381" s="20">
        <v>379.0</v>
      </c>
      <c r="B381" s="37" t="s">
        <v>446</v>
      </c>
      <c r="C381" s="30"/>
      <c r="D381" s="20"/>
      <c r="E381" s="20"/>
      <c r="F381" s="20"/>
      <c r="G381" s="20"/>
      <c r="H381" s="33" t="s">
        <v>104</v>
      </c>
      <c r="I381" s="33" t="s">
        <v>207</v>
      </c>
      <c r="J381" s="21"/>
      <c r="K381" s="20" t="str">
        <f t="shared" si="1"/>
        <v>WATER,ENVIRONMENT,CLIMATE CHANGE AND NATURAL RESOURCES</v>
      </c>
      <c r="L381" s="20" t="s">
        <v>75</v>
      </c>
      <c r="M381" s="20" t="str">
        <f t="shared" si="2"/>
        <v>WATER,ENVIRONMENT,CLIMATE CHANGE AND NATURAL RESOURCES</v>
      </c>
      <c r="N381" s="22" t="s">
        <v>119</v>
      </c>
      <c r="O381" s="22" t="s">
        <v>120</v>
      </c>
      <c r="P381" s="20" t="s">
        <v>121</v>
      </c>
      <c r="Q381" s="20" t="s">
        <v>121</v>
      </c>
      <c r="R381" s="30">
        <v>1.1E7</v>
      </c>
      <c r="S381" s="30">
        <v>1.1E7</v>
      </c>
      <c r="T381" s="30">
        <v>1.1E7</v>
      </c>
      <c r="U381" s="20" t="s">
        <v>71</v>
      </c>
      <c r="V381" s="20"/>
      <c r="W381" s="30">
        <v>1.1E7</v>
      </c>
      <c r="X381" s="20"/>
      <c r="Y381" s="30">
        <v>1.1E7</v>
      </c>
      <c r="Z381" s="24">
        <f t="shared" si="3"/>
        <v>1</v>
      </c>
      <c r="AA381" s="23">
        <f t="shared" si="5"/>
        <v>11000000</v>
      </c>
      <c r="AB381" s="20"/>
      <c r="AC381" s="25">
        <f t="shared" si="4"/>
        <v>0</v>
      </c>
      <c r="AD381" s="20" t="s">
        <v>72</v>
      </c>
      <c r="AE381" s="20"/>
      <c r="AF381" s="20"/>
      <c r="AG381" s="20"/>
      <c r="AH381" s="20"/>
      <c r="AI381" s="20"/>
      <c r="AJ381" s="20"/>
      <c r="AK381" s="20"/>
      <c r="AL381" s="20"/>
      <c r="AM381" s="20"/>
      <c r="AN381" s="20"/>
      <c r="AO381" s="20"/>
      <c r="AP381" s="20"/>
      <c r="AQ381" s="20"/>
      <c r="AR381" s="20"/>
      <c r="AS381" s="20"/>
      <c r="AT381" s="20"/>
    </row>
    <row r="382">
      <c r="A382" s="20">
        <v>380.0</v>
      </c>
      <c r="B382" s="29" t="s">
        <v>447</v>
      </c>
      <c r="C382" s="30"/>
      <c r="D382" s="20"/>
      <c r="E382" s="20"/>
      <c r="F382" s="20"/>
      <c r="G382" s="20"/>
      <c r="H382" s="33" t="s">
        <v>65</v>
      </c>
      <c r="I382" s="33" t="s">
        <v>66</v>
      </c>
      <c r="J382" s="21"/>
      <c r="K382" s="20" t="str">
        <f t="shared" si="1"/>
        <v>WATER,ENVIRONMENT,CLIMATE CHANGE AND NATURAL RESOURCES</v>
      </c>
      <c r="L382" s="20" t="s">
        <v>75</v>
      </c>
      <c r="M382" s="20" t="str">
        <f t="shared" si="2"/>
        <v>WATER,ENVIRONMENT,CLIMATE CHANGE AND NATURAL RESOURCES</v>
      </c>
      <c r="N382" s="22" t="s">
        <v>119</v>
      </c>
      <c r="O382" s="22" t="s">
        <v>120</v>
      </c>
      <c r="P382" s="20" t="s">
        <v>121</v>
      </c>
      <c r="Q382" s="20" t="s">
        <v>121</v>
      </c>
      <c r="R382" s="30">
        <v>240000.0</v>
      </c>
      <c r="S382" s="30">
        <v>240000.0</v>
      </c>
      <c r="T382" s="30">
        <v>240000.0</v>
      </c>
      <c r="U382" s="20" t="s">
        <v>71</v>
      </c>
      <c r="V382" s="20"/>
      <c r="W382" s="30">
        <v>240000.0</v>
      </c>
      <c r="X382" s="20"/>
      <c r="Y382" s="30">
        <v>240000.0</v>
      </c>
      <c r="Z382" s="24">
        <f t="shared" si="3"/>
        <v>1</v>
      </c>
      <c r="AA382" s="23">
        <f t="shared" si="5"/>
        <v>240000</v>
      </c>
      <c r="AB382" s="20"/>
      <c r="AC382" s="25">
        <f t="shared" si="4"/>
        <v>0</v>
      </c>
      <c r="AD382" s="20" t="s">
        <v>72</v>
      </c>
      <c r="AE382" s="20"/>
      <c r="AF382" s="20"/>
      <c r="AG382" s="20"/>
      <c r="AH382" s="20"/>
      <c r="AI382" s="20"/>
      <c r="AJ382" s="20"/>
      <c r="AK382" s="20"/>
      <c r="AL382" s="20"/>
      <c r="AM382" s="20"/>
      <c r="AN382" s="20"/>
      <c r="AO382" s="20"/>
      <c r="AP382" s="20"/>
      <c r="AQ382" s="20"/>
      <c r="AR382" s="20"/>
      <c r="AS382" s="20"/>
      <c r="AT382" s="20"/>
    </row>
    <row r="383">
      <c r="A383" s="20">
        <v>381.0</v>
      </c>
      <c r="B383" s="29" t="s">
        <v>368</v>
      </c>
      <c r="C383" s="30"/>
      <c r="D383" s="20"/>
      <c r="E383" s="20"/>
      <c r="F383" s="20"/>
      <c r="G383" s="20"/>
      <c r="H383" s="33" t="s">
        <v>65</v>
      </c>
      <c r="I383" s="33" t="s">
        <v>66</v>
      </c>
      <c r="J383" s="21"/>
      <c r="K383" s="20" t="str">
        <f t="shared" si="1"/>
        <v>ROADS,TRANSPORT AND PUBLIC WORKS</v>
      </c>
      <c r="L383" s="20" t="s">
        <v>107</v>
      </c>
      <c r="M383" s="20" t="str">
        <f t="shared" si="2"/>
        <v>ROADS,TRANSPORT AND PUBLIC WORKS</v>
      </c>
      <c r="N383" s="22" t="s">
        <v>119</v>
      </c>
      <c r="O383" s="22" t="s">
        <v>120</v>
      </c>
      <c r="P383" s="20" t="s">
        <v>121</v>
      </c>
      <c r="Q383" s="20" t="s">
        <v>121</v>
      </c>
      <c r="R383" s="30">
        <v>245000.0</v>
      </c>
      <c r="S383" s="30">
        <v>245000.0</v>
      </c>
      <c r="T383" s="30">
        <v>245000.0</v>
      </c>
      <c r="U383" s="20" t="s">
        <v>71</v>
      </c>
      <c r="V383" s="20"/>
      <c r="W383" s="30">
        <v>245000.0</v>
      </c>
      <c r="X383" s="20"/>
      <c r="Y383" s="30">
        <v>245000.0</v>
      </c>
      <c r="Z383" s="24">
        <f t="shared" si="3"/>
        <v>1</v>
      </c>
      <c r="AA383" s="23">
        <f t="shared" si="5"/>
        <v>245000</v>
      </c>
      <c r="AB383" s="20"/>
      <c r="AC383" s="25">
        <f t="shared" si="4"/>
        <v>0</v>
      </c>
      <c r="AD383" s="20" t="s">
        <v>72</v>
      </c>
      <c r="AE383" s="20"/>
      <c r="AF383" s="20"/>
      <c r="AG383" s="20"/>
      <c r="AH383" s="20"/>
      <c r="AI383" s="20"/>
      <c r="AJ383" s="20"/>
      <c r="AK383" s="20"/>
      <c r="AL383" s="20"/>
      <c r="AM383" s="20"/>
      <c r="AN383" s="20"/>
      <c r="AO383" s="20"/>
      <c r="AP383" s="20"/>
      <c r="AQ383" s="20"/>
      <c r="AR383" s="20"/>
      <c r="AS383" s="20"/>
      <c r="AT383" s="20"/>
    </row>
    <row r="384">
      <c r="A384" s="20">
        <v>382.0</v>
      </c>
      <c r="B384" s="29" t="s">
        <v>448</v>
      </c>
      <c r="C384" s="30"/>
      <c r="D384" s="20"/>
      <c r="E384" s="20"/>
      <c r="F384" s="20"/>
      <c r="G384" s="20"/>
      <c r="H384" s="33" t="s">
        <v>65</v>
      </c>
      <c r="I384" s="33" t="s">
        <v>66</v>
      </c>
      <c r="J384" s="21"/>
      <c r="K384" s="20" t="str">
        <f t="shared" si="1"/>
        <v>ROADS,TRANSPORT AND PUBLIC WORKS</v>
      </c>
      <c r="L384" s="20" t="s">
        <v>107</v>
      </c>
      <c r="M384" s="20" t="str">
        <f t="shared" si="2"/>
        <v>ROADS,TRANSPORT AND PUBLIC WORKS</v>
      </c>
      <c r="N384" s="22" t="s">
        <v>119</v>
      </c>
      <c r="O384" s="22" t="s">
        <v>120</v>
      </c>
      <c r="P384" s="20" t="s">
        <v>121</v>
      </c>
      <c r="Q384" s="20" t="s">
        <v>121</v>
      </c>
      <c r="R384" s="30">
        <v>245000.0</v>
      </c>
      <c r="S384" s="30">
        <v>245000.0</v>
      </c>
      <c r="T384" s="30">
        <v>245000.0</v>
      </c>
      <c r="U384" s="20" t="s">
        <v>71</v>
      </c>
      <c r="V384" s="20"/>
      <c r="W384" s="30">
        <v>245000.0</v>
      </c>
      <c r="X384" s="20"/>
      <c r="Y384" s="30">
        <v>245000.0</v>
      </c>
      <c r="Z384" s="24">
        <f t="shared" si="3"/>
        <v>1</v>
      </c>
      <c r="AA384" s="23">
        <f t="shared" si="5"/>
        <v>245000</v>
      </c>
      <c r="AB384" s="20"/>
      <c r="AC384" s="25">
        <f t="shared" si="4"/>
        <v>0</v>
      </c>
      <c r="AD384" s="20" t="s">
        <v>72</v>
      </c>
      <c r="AE384" s="20"/>
      <c r="AF384" s="20"/>
      <c r="AG384" s="20"/>
      <c r="AH384" s="20"/>
      <c r="AI384" s="20"/>
      <c r="AJ384" s="20"/>
      <c r="AK384" s="20"/>
      <c r="AL384" s="20"/>
      <c r="AM384" s="20"/>
      <c r="AN384" s="20"/>
      <c r="AO384" s="20"/>
      <c r="AP384" s="20"/>
      <c r="AQ384" s="20"/>
      <c r="AR384" s="20"/>
      <c r="AS384" s="20"/>
      <c r="AT384" s="20"/>
    </row>
    <row r="385">
      <c r="A385" s="20">
        <v>383.0</v>
      </c>
      <c r="B385" s="29" t="s">
        <v>449</v>
      </c>
      <c r="C385" s="30"/>
      <c r="D385" s="20"/>
      <c r="E385" s="20"/>
      <c r="F385" s="20"/>
      <c r="G385" s="20"/>
      <c r="H385" s="33" t="s">
        <v>65</v>
      </c>
      <c r="I385" s="33" t="s">
        <v>66</v>
      </c>
      <c r="J385" s="21"/>
      <c r="K385" s="20" t="str">
        <f t="shared" si="1"/>
        <v>WATER,ENVIRONMENT,CLIMATE CHANGE AND NATURAL RESOURCES</v>
      </c>
      <c r="L385" s="20" t="s">
        <v>75</v>
      </c>
      <c r="M385" s="20" t="str">
        <f t="shared" si="2"/>
        <v>WATER,ENVIRONMENT,CLIMATE CHANGE AND NATURAL RESOURCES</v>
      </c>
      <c r="N385" s="22" t="s">
        <v>119</v>
      </c>
      <c r="O385" s="22" t="s">
        <v>120</v>
      </c>
      <c r="P385" s="20" t="s">
        <v>121</v>
      </c>
      <c r="Q385" s="20" t="s">
        <v>121</v>
      </c>
      <c r="R385" s="30">
        <v>250000.0</v>
      </c>
      <c r="S385" s="30">
        <v>250000.0</v>
      </c>
      <c r="T385" s="30">
        <v>250000.0</v>
      </c>
      <c r="U385" s="20" t="s">
        <v>71</v>
      </c>
      <c r="V385" s="20"/>
      <c r="W385" s="30">
        <v>250000.0</v>
      </c>
      <c r="X385" s="20"/>
      <c r="Y385" s="30">
        <v>250000.0</v>
      </c>
      <c r="Z385" s="24">
        <f t="shared" si="3"/>
        <v>1</v>
      </c>
      <c r="AA385" s="23">
        <f t="shared" si="5"/>
        <v>250000</v>
      </c>
      <c r="AB385" s="20"/>
      <c r="AC385" s="25">
        <f t="shared" si="4"/>
        <v>0</v>
      </c>
      <c r="AD385" s="20" t="s">
        <v>72</v>
      </c>
      <c r="AE385" s="20"/>
      <c r="AF385" s="20"/>
      <c r="AG385" s="20"/>
      <c r="AH385" s="20"/>
      <c r="AI385" s="20"/>
      <c r="AJ385" s="20"/>
      <c r="AK385" s="20"/>
      <c r="AL385" s="20"/>
      <c r="AM385" s="20"/>
      <c r="AN385" s="20"/>
      <c r="AO385" s="20"/>
      <c r="AP385" s="20"/>
      <c r="AQ385" s="20"/>
      <c r="AR385" s="20"/>
      <c r="AS385" s="20"/>
      <c r="AT385" s="20"/>
    </row>
    <row r="386">
      <c r="A386" s="20">
        <v>384.0</v>
      </c>
      <c r="B386" s="29" t="s">
        <v>450</v>
      </c>
      <c r="C386" s="30"/>
      <c r="D386" s="20"/>
      <c r="E386" s="20"/>
      <c r="F386" s="20"/>
      <c r="G386" s="20"/>
      <c r="H386" s="33" t="s">
        <v>65</v>
      </c>
      <c r="I386" s="33" t="s">
        <v>66</v>
      </c>
      <c r="J386" s="21"/>
      <c r="K386" s="20" t="str">
        <f t="shared" si="1"/>
        <v>WATER,ENVIRONMENT,CLIMATE CHANGE AND NATURAL RESOURCES</v>
      </c>
      <c r="L386" s="20" t="s">
        <v>75</v>
      </c>
      <c r="M386" s="20" t="str">
        <f t="shared" si="2"/>
        <v>WATER,ENVIRONMENT,CLIMATE CHANGE AND NATURAL RESOURCES</v>
      </c>
      <c r="N386" s="22" t="s">
        <v>119</v>
      </c>
      <c r="O386" s="22" t="s">
        <v>120</v>
      </c>
      <c r="P386" s="20" t="s">
        <v>121</v>
      </c>
      <c r="Q386" s="20" t="s">
        <v>121</v>
      </c>
      <c r="R386" s="30">
        <v>300000.0</v>
      </c>
      <c r="S386" s="30">
        <v>300000.0</v>
      </c>
      <c r="T386" s="30">
        <v>300000.0</v>
      </c>
      <c r="U386" s="20" t="s">
        <v>71</v>
      </c>
      <c r="V386" s="20"/>
      <c r="W386" s="30">
        <v>300000.0</v>
      </c>
      <c r="X386" s="20"/>
      <c r="Y386" s="30">
        <v>300000.0</v>
      </c>
      <c r="Z386" s="24">
        <f t="shared" si="3"/>
        <v>1</v>
      </c>
      <c r="AA386" s="23">
        <f t="shared" si="5"/>
        <v>300000</v>
      </c>
      <c r="AB386" s="20"/>
      <c r="AC386" s="25">
        <f t="shared" si="4"/>
        <v>0</v>
      </c>
      <c r="AD386" s="20" t="s">
        <v>72</v>
      </c>
      <c r="AE386" s="20"/>
      <c r="AF386" s="20"/>
      <c r="AG386" s="20"/>
      <c r="AH386" s="20"/>
      <c r="AI386" s="20"/>
      <c r="AJ386" s="20"/>
      <c r="AK386" s="20"/>
      <c r="AL386" s="20"/>
      <c r="AM386" s="20"/>
      <c r="AN386" s="20"/>
      <c r="AO386" s="20"/>
      <c r="AP386" s="20"/>
      <c r="AQ386" s="20"/>
      <c r="AR386" s="20"/>
      <c r="AS386" s="20"/>
      <c r="AT386" s="20"/>
    </row>
    <row r="387">
      <c r="A387" s="20">
        <v>385.0</v>
      </c>
      <c r="B387" s="29" t="s">
        <v>451</v>
      </c>
      <c r="C387" s="30"/>
      <c r="D387" s="20"/>
      <c r="E387" s="20"/>
      <c r="F387" s="20"/>
      <c r="G387" s="20"/>
      <c r="H387" s="33" t="s">
        <v>65</v>
      </c>
      <c r="I387" s="33" t="s">
        <v>66</v>
      </c>
      <c r="J387" s="21"/>
      <c r="K387" s="20" t="str">
        <f t="shared" si="1"/>
        <v>ROADS,TRANSPORT AND PUBLIC WORKS</v>
      </c>
      <c r="L387" s="20" t="s">
        <v>107</v>
      </c>
      <c r="M387" s="20" t="str">
        <f t="shared" si="2"/>
        <v>ROADS,TRANSPORT AND PUBLIC WORKS</v>
      </c>
      <c r="N387" s="22" t="s">
        <v>119</v>
      </c>
      <c r="O387" s="22" t="s">
        <v>120</v>
      </c>
      <c r="P387" s="20" t="s">
        <v>121</v>
      </c>
      <c r="Q387" s="20" t="s">
        <v>121</v>
      </c>
      <c r="R387" s="30">
        <v>300000.0</v>
      </c>
      <c r="S387" s="30">
        <v>300000.0</v>
      </c>
      <c r="T387" s="30">
        <v>300000.0</v>
      </c>
      <c r="U387" s="20" t="s">
        <v>71</v>
      </c>
      <c r="V387" s="20"/>
      <c r="W387" s="30">
        <v>300000.0</v>
      </c>
      <c r="X387" s="20"/>
      <c r="Y387" s="30">
        <v>300000.0</v>
      </c>
      <c r="Z387" s="24">
        <f t="shared" si="3"/>
        <v>1</v>
      </c>
      <c r="AA387" s="23">
        <f t="shared" si="5"/>
        <v>300000</v>
      </c>
      <c r="AB387" s="20"/>
      <c r="AC387" s="25">
        <f t="shared" si="4"/>
        <v>0</v>
      </c>
      <c r="AD387" s="20" t="s">
        <v>72</v>
      </c>
      <c r="AE387" s="20"/>
      <c r="AF387" s="20"/>
      <c r="AG387" s="20"/>
      <c r="AH387" s="20"/>
      <c r="AI387" s="20"/>
      <c r="AJ387" s="20"/>
      <c r="AK387" s="20"/>
      <c r="AL387" s="20"/>
      <c r="AM387" s="20"/>
      <c r="AN387" s="20"/>
      <c r="AO387" s="20"/>
      <c r="AP387" s="20"/>
      <c r="AQ387" s="20"/>
      <c r="AR387" s="20"/>
      <c r="AS387" s="20"/>
      <c r="AT387" s="20"/>
    </row>
    <row r="388">
      <c r="A388" s="20">
        <v>386.0</v>
      </c>
      <c r="B388" s="29" t="s">
        <v>405</v>
      </c>
      <c r="C388" s="30"/>
      <c r="D388" s="20"/>
      <c r="E388" s="20"/>
      <c r="F388" s="20"/>
      <c r="G388" s="20"/>
      <c r="H388" s="33" t="s">
        <v>65</v>
      </c>
      <c r="I388" s="33" t="s">
        <v>66</v>
      </c>
      <c r="J388" s="21"/>
      <c r="K388" s="20" t="str">
        <f t="shared" si="1"/>
        <v>ROADS,TRANSPORT AND PUBLIC WORKS</v>
      </c>
      <c r="L388" s="20" t="s">
        <v>107</v>
      </c>
      <c r="M388" s="20" t="str">
        <f t="shared" si="2"/>
        <v>ROADS,TRANSPORT AND PUBLIC WORKS</v>
      </c>
      <c r="N388" s="22" t="s">
        <v>119</v>
      </c>
      <c r="O388" s="22" t="s">
        <v>120</v>
      </c>
      <c r="P388" s="20" t="s">
        <v>121</v>
      </c>
      <c r="Q388" s="20" t="s">
        <v>121</v>
      </c>
      <c r="R388" s="30">
        <v>1000000.0</v>
      </c>
      <c r="S388" s="30">
        <v>1000000.0</v>
      </c>
      <c r="T388" s="30">
        <v>1000000.0</v>
      </c>
      <c r="U388" s="20" t="s">
        <v>71</v>
      </c>
      <c r="V388" s="20"/>
      <c r="W388" s="30">
        <v>1000000.0</v>
      </c>
      <c r="X388" s="20"/>
      <c r="Y388" s="30">
        <v>1000000.0</v>
      </c>
      <c r="Z388" s="24">
        <f t="shared" si="3"/>
        <v>1</v>
      </c>
      <c r="AA388" s="23">
        <f t="shared" si="5"/>
        <v>1000000</v>
      </c>
      <c r="AB388" s="20"/>
      <c r="AC388" s="25">
        <f t="shared" si="4"/>
        <v>0</v>
      </c>
      <c r="AD388" s="20" t="s">
        <v>72</v>
      </c>
      <c r="AE388" s="20"/>
      <c r="AF388" s="20"/>
      <c r="AG388" s="20"/>
      <c r="AH388" s="20"/>
      <c r="AI388" s="20"/>
      <c r="AJ388" s="20"/>
      <c r="AK388" s="20"/>
      <c r="AL388" s="20"/>
      <c r="AM388" s="20"/>
      <c r="AN388" s="20"/>
      <c r="AO388" s="20"/>
      <c r="AP388" s="20"/>
      <c r="AQ388" s="20"/>
      <c r="AR388" s="20"/>
      <c r="AS388" s="20"/>
      <c r="AT388" s="20"/>
    </row>
    <row r="389">
      <c r="A389" s="20">
        <v>387.0</v>
      </c>
      <c r="B389" s="29" t="s">
        <v>452</v>
      </c>
      <c r="C389" s="30"/>
      <c r="D389" s="20"/>
      <c r="E389" s="20"/>
      <c r="F389" s="20"/>
      <c r="G389" s="20"/>
      <c r="H389" s="33" t="s">
        <v>65</v>
      </c>
      <c r="I389" s="33" t="s">
        <v>66</v>
      </c>
      <c r="J389" s="21"/>
      <c r="K389" s="20" t="str">
        <f t="shared" si="1"/>
        <v>WATER,ENVIRONMENT,CLIMATE CHANGE AND NATURAL RESOURCES</v>
      </c>
      <c r="L389" s="20" t="s">
        <v>75</v>
      </c>
      <c r="M389" s="20" t="str">
        <f t="shared" si="2"/>
        <v>WATER,ENVIRONMENT,CLIMATE CHANGE AND NATURAL RESOURCES</v>
      </c>
      <c r="N389" s="22" t="s">
        <v>119</v>
      </c>
      <c r="O389" s="22" t="s">
        <v>120</v>
      </c>
      <c r="P389" s="20" t="s">
        <v>121</v>
      </c>
      <c r="Q389" s="20" t="s">
        <v>121</v>
      </c>
      <c r="R389" s="30">
        <v>250000.0</v>
      </c>
      <c r="S389" s="30">
        <v>250000.0</v>
      </c>
      <c r="T389" s="30">
        <v>250000.0</v>
      </c>
      <c r="U389" s="20" t="s">
        <v>71</v>
      </c>
      <c r="V389" s="20"/>
      <c r="W389" s="30">
        <v>250000.0</v>
      </c>
      <c r="X389" s="20"/>
      <c r="Y389" s="30">
        <v>250000.0</v>
      </c>
      <c r="Z389" s="24">
        <f t="shared" si="3"/>
        <v>1</v>
      </c>
      <c r="AA389" s="23">
        <f t="shared" si="5"/>
        <v>250000</v>
      </c>
      <c r="AB389" s="20"/>
      <c r="AC389" s="25">
        <f t="shared" si="4"/>
        <v>0</v>
      </c>
      <c r="AD389" s="20" t="s">
        <v>72</v>
      </c>
      <c r="AE389" s="20"/>
      <c r="AF389" s="20"/>
      <c r="AG389" s="20"/>
      <c r="AH389" s="20"/>
      <c r="AI389" s="20"/>
      <c r="AJ389" s="20"/>
      <c r="AK389" s="20"/>
      <c r="AL389" s="20"/>
      <c r="AM389" s="20"/>
      <c r="AN389" s="20"/>
      <c r="AO389" s="20"/>
      <c r="AP389" s="20"/>
      <c r="AQ389" s="20"/>
      <c r="AR389" s="20"/>
      <c r="AS389" s="20"/>
      <c r="AT389" s="20"/>
    </row>
    <row r="390">
      <c r="A390" s="20">
        <v>388.0</v>
      </c>
      <c r="B390" s="29" t="s">
        <v>424</v>
      </c>
      <c r="C390" s="30"/>
      <c r="D390" s="20"/>
      <c r="E390" s="20"/>
      <c r="F390" s="20"/>
      <c r="G390" s="20"/>
      <c r="H390" s="33" t="s">
        <v>77</v>
      </c>
      <c r="I390" s="33" t="s">
        <v>77</v>
      </c>
      <c r="J390" s="21"/>
      <c r="K390" s="20" t="str">
        <f t="shared" si="1"/>
        <v>EDUCATION,INFORMATION AND ICT</v>
      </c>
      <c r="L390" s="20" t="s">
        <v>84</v>
      </c>
      <c r="M390" s="20" t="str">
        <f t="shared" si="2"/>
        <v>EDUCATION,INFORMATION AND ICT</v>
      </c>
      <c r="N390" s="22" t="s">
        <v>119</v>
      </c>
      <c r="O390" s="22" t="s">
        <v>120</v>
      </c>
      <c r="P390" s="20" t="s">
        <v>121</v>
      </c>
      <c r="Q390" s="20" t="s">
        <v>121</v>
      </c>
      <c r="R390" s="30">
        <v>300000.0</v>
      </c>
      <c r="S390" s="30">
        <v>300000.0</v>
      </c>
      <c r="T390" s="30">
        <v>300000.0</v>
      </c>
      <c r="U390" s="20" t="s">
        <v>71</v>
      </c>
      <c r="V390" s="20"/>
      <c r="W390" s="30">
        <v>300000.0</v>
      </c>
      <c r="X390" s="20"/>
      <c r="Y390" s="30">
        <v>300000.0</v>
      </c>
      <c r="Z390" s="24">
        <f t="shared" si="3"/>
        <v>1</v>
      </c>
      <c r="AA390" s="23">
        <f t="shared" si="5"/>
        <v>300000</v>
      </c>
      <c r="AB390" s="20"/>
      <c r="AC390" s="25">
        <f t="shared" si="4"/>
        <v>0</v>
      </c>
      <c r="AD390" s="20" t="s">
        <v>72</v>
      </c>
      <c r="AE390" s="20"/>
      <c r="AF390" s="20"/>
      <c r="AG390" s="20"/>
      <c r="AH390" s="20"/>
      <c r="AI390" s="20"/>
      <c r="AJ390" s="20"/>
      <c r="AK390" s="20"/>
      <c r="AL390" s="20"/>
      <c r="AM390" s="20"/>
      <c r="AN390" s="20"/>
      <c r="AO390" s="20"/>
      <c r="AP390" s="20"/>
      <c r="AQ390" s="20"/>
      <c r="AR390" s="20"/>
      <c r="AS390" s="20"/>
      <c r="AT390" s="20"/>
    </row>
    <row r="391">
      <c r="A391" s="20">
        <v>389.0</v>
      </c>
      <c r="B391" s="29" t="s">
        <v>432</v>
      </c>
      <c r="C391" s="30"/>
      <c r="D391" s="20"/>
      <c r="E391" s="20"/>
      <c r="F391" s="20"/>
      <c r="G391" s="20"/>
      <c r="H391" s="33" t="s">
        <v>113</v>
      </c>
      <c r="I391" s="33" t="s">
        <v>397</v>
      </c>
      <c r="J391" s="21"/>
      <c r="K391" s="20" t="str">
        <f t="shared" si="1"/>
        <v>ROADS,TRANSPORT AND PUBLIC WORKS</v>
      </c>
      <c r="L391" s="20" t="s">
        <v>107</v>
      </c>
      <c r="M391" s="20" t="str">
        <f t="shared" si="2"/>
        <v>ROADS,TRANSPORT AND PUBLIC WORKS</v>
      </c>
      <c r="N391" s="22" t="s">
        <v>119</v>
      </c>
      <c r="O391" s="22" t="s">
        <v>120</v>
      </c>
      <c r="P391" s="20" t="s">
        <v>121</v>
      </c>
      <c r="Q391" s="20" t="s">
        <v>121</v>
      </c>
      <c r="R391" s="30">
        <v>440000.0</v>
      </c>
      <c r="S391" s="30">
        <v>440000.0</v>
      </c>
      <c r="T391" s="30">
        <v>440000.0</v>
      </c>
      <c r="U391" s="20" t="s">
        <v>71</v>
      </c>
      <c r="V391" s="20"/>
      <c r="W391" s="30">
        <v>440000.0</v>
      </c>
      <c r="X391" s="20"/>
      <c r="Y391" s="30">
        <v>440000.0</v>
      </c>
      <c r="Z391" s="24">
        <f t="shared" si="3"/>
        <v>1</v>
      </c>
      <c r="AA391" s="23">
        <f t="shared" si="5"/>
        <v>440000</v>
      </c>
      <c r="AB391" s="20"/>
      <c r="AC391" s="25">
        <f t="shared" si="4"/>
        <v>0</v>
      </c>
      <c r="AD391" s="20" t="s">
        <v>72</v>
      </c>
      <c r="AE391" s="20"/>
      <c r="AF391" s="20"/>
      <c r="AG391" s="20"/>
      <c r="AH391" s="20"/>
      <c r="AI391" s="20"/>
      <c r="AJ391" s="20"/>
      <c r="AK391" s="20"/>
      <c r="AL391" s="20"/>
      <c r="AM391" s="20"/>
      <c r="AN391" s="20"/>
      <c r="AO391" s="20"/>
      <c r="AP391" s="20"/>
      <c r="AQ391" s="20"/>
      <c r="AR391" s="20"/>
      <c r="AS391" s="20"/>
      <c r="AT391" s="20"/>
    </row>
    <row r="392">
      <c r="A392" s="20">
        <v>390.0</v>
      </c>
      <c r="B392" s="29" t="s">
        <v>305</v>
      </c>
      <c r="C392" s="30"/>
      <c r="D392" s="20"/>
      <c r="E392" s="20"/>
      <c r="F392" s="20"/>
      <c r="G392" s="20"/>
      <c r="H392" s="33" t="s">
        <v>65</v>
      </c>
      <c r="I392" s="33" t="s">
        <v>66</v>
      </c>
      <c r="J392" s="21"/>
      <c r="K392" s="20" t="str">
        <f t="shared" si="1"/>
        <v>EDUCATION,INFORMATION AND ICT</v>
      </c>
      <c r="L392" s="20" t="s">
        <v>84</v>
      </c>
      <c r="M392" s="20" t="str">
        <f t="shared" si="2"/>
        <v>EDUCATION,INFORMATION AND ICT</v>
      </c>
      <c r="N392" s="22" t="s">
        <v>119</v>
      </c>
      <c r="O392" s="22" t="s">
        <v>120</v>
      </c>
      <c r="P392" s="20" t="s">
        <v>121</v>
      </c>
      <c r="Q392" s="20" t="s">
        <v>121</v>
      </c>
      <c r="R392" s="30">
        <v>500000.0</v>
      </c>
      <c r="S392" s="30">
        <v>500000.0</v>
      </c>
      <c r="T392" s="30">
        <v>500000.0</v>
      </c>
      <c r="U392" s="20" t="s">
        <v>71</v>
      </c>
      <c r="V392" s="20"/>
      <c r="W392" s="30">
        <v>500000.0</v>
      </c>
      <c r="X392" s="20"/>
      <c r="Y392" s="30">
        <v>500000.0</v>
      </c>
      <c r="Z392" s="24">
        <f t="shared" si="3"/>
        <v>1</v>
      </c>
      <c r="AA392" s="23">
        <f t="shared" si="5"/>
        <v>500000</v>
      </c>
      <c r="AB392" s="20"/>
      <c r="AC392" s="25">
        <f t="shared" si="4"/>
        <v>0</v>
      </c>
      <c r="AD392" s="20" t="s">
        <v>72</v>
      </c>
      <c r="AE392" s="20"/>
      <c r="AF392" s="20"/>
      <c r="AG392" s="20"/>
      <c r="AH392" s="20"/>
      <c r="AI392" s="20"/>
      <c r="AJ392" s="20"/>
      <c r="AK392" s="20"/>
      <c r="AL392" s="20"/>
      <c r="AM392" s="20"/>
      <c r="AN392" s="20"/>
      <c r="AO392" s="20"/>
      <c r="AP392" s="20"/>
      <c r="AQ392" s="20"/>
      <c r="AR392" s="20"/>
      <c r="AS392" s="20"/>
      <c r="AT392" s="20"/>
    </row>
    <row r="393">
      <c r="A393" s="20">
        <v>391.0</v>
      </c>
      <c r="B393" s="29" t="s">
        <v>453</v>
      </c>
      <c r="C393" s="30"/>
      <c r="D393" s="20"/>
      <c r="E393" s="20"/>
      <c r="F393" s="20"/>
      <c r="G393" s="20"/>
      <c r="H393" s="33" t="s">
        <v>65</v>
      </c>
      <c r="I393" s="33" t="s">
        <v>66</v>
      </c>
      <c r="J393" s="21"/>
      <c r="K393" s="20" t="str">
        <f t="shared" si="1"/>
        <v>EDUCATION,INFORMATION AND ICT</v>
      </c>
      <c r="L393" s="20" t="s">
        <v>84</v>
      </c>
      <c r="M393" s="20" t="str">
        <f t="shared" si="2"/>
        <v>EDUCATION,INFORMATION AND ICT</v>
      </c>
      <c r="N393" s="22" t="s">
        <v>119</v>
      </c>
      <c r="O393" s="22" t="s">
        <v>120</v>
      </c>
      <c r="P393" s="20" t="s">
        <v>121</v>
      </c>
      <c r="Q393" s="20" t="s">
        <v>121</v>
      </c>
      <c r="R393" s="30">
        <v>300000.0</v>
      </c>
      <c r="S393" s="30">
        <v>300000.0</v>
      </c>
      <c r="T393" s="30">
        <v>300000.0</v>
      </c>
      <c r="U393" s="20" t="s">
        <v>71</v>
      </c>
      <c r="V393" s="20"/>
      <c r="W393" s="30">
        <v>300000.0</v>
      </c>
      <c r="X393" s="20"/>
      <c r="Y393" s="30">
        <v>300000.0</v>
      </c>
      <c r="Z393" s="24">
        <f t="shared" si="3"/>
        <v>1</v>
      </c>
      <c r="AA393" s="23">
        <f t="shared" si="5"/>
        <v>300000</v>
      </c>
      <c r="AB393" s="20"/>
      <c r="AC393" s="25">
        <f t="shared" si="4"/>
        <v>0</v>
      </c>
      <c r="AD393" s="20" t="s">
        <v>72</v>
      </c>
      <c r="AE393" s="20"/>
      <c r="AF393" s="20"/>
      <c r="AG393" s="20"/>
      <c r="AH393" s="20"/>
      <c r="AI393" s="20"/>
      <c r="AJ393" s="20"/>
      <c r="AK393" s="20"/>
      <c r="AL393" s="20"/>
      <c r="AM393" s="20"/>
      <c r="AN393" s="20"/>
      <c r="AO393" s="20"/>
      <c r="AP393" s="20"/>
      <c r="AQ393" s="20"/>
      <c r="AR393" s="20"/>
      <c r="AS393" s="20"/>
      <c r="AT393" s="20"/>
    </row>
    <row r="394">
      <c r="A394" s="20">
        <v>392.0</v>
      </c>
      <c r="B394" s="29" t="s">
        <v>442</v>
      </c>
      <c r="C394" s="30"/>
      <c r="D394" s="20"/>
      <c r="E394" s="20"/>
      <c r="F394" s="20"/>
      <c r="G394" s="20"/>
      <c r="H394" s="33" t="s">
        <v>65</v>
      </c>
      <c r="I394" s="33" t="s">
        <v>66</v>
      </c>
      <c r="J394" s="21"/>
      <c r="K394" s="20" t="str">
        <f t="shared" si="1"/>
        <v>ROADS,TRANSPORT AND PUBLIC WORKS</v>
      </c>
      <c r="L394" s="20" t="s">
        <v>107</v>
      </c>
      <c r="M394" s="20" t="str">
        <f t="shared" si="2"/>
        <v>ROADS,TRANSPORT AND PUBLIC WORKS</v>
      </c>
      <c r="N394" s="22" t="s">
        <v>119</v>
      </c>
      <c r="O394" s="22" t="s">
        <v>120</v>
      </c>
      <c r="P394" s="20" t="s">
        <v>121</v>
      </c>
      <c r="Q394" s="20" t="s">
        <v>121</v>
      </c>
      <c r="R394" s="30">
        <v>300000.0</v>
      </c>
      <c r="S394" s="30">
        <v>300000.0</v>
      </c>
      <c r="T394" s="30">
        <v>300000.0</v>
      </c>
      <c r="U394" s="20" t="s">
        <v>71</v>
      </c>
      <c r="V394" s="20"/>
      <c r="W394" s="30">
        <v>300000.0</v>
      </c>
      <c r="X394" s="20"/>
      <c r="Y394" s="30">
        <v>300000.0</v>
      </c>
      <c r="Z394" s="24">
        <f t="shared" si="3"/>
        <v>1</v>
      </c>
      <c r="AA394" s="23">
        <f t="shared" si="5"/>
        <v>300000</v>
      </c>
      <c r="AB394" s="20"/>
      <c r="AC394" s="25">
        <f t="shared" si="4"/>
        <v>0</v>
      </c>
      <c r="AD394" s="20" t="s">
        <v>72</v>
      </c>
      <c r="AE394" s="20"/>
      <c r="AF394" s="20"/>
      <c r="AG394" s="20"/>
      <c r="AH394" s="20"/>
      <c r="AI394" s="20"/>
      <c r="AJ394" s="20"/>
      <c r="AK394" s="20"/>
      <c r="AL394" s="20"/>
      <c r="AM394" s="20"/>
      <c r="AN394" s="20"/>
      <c r="AO394" s="20"/>
      <c r="AP394" s="20"/>
      <c r="AQ394" s="20"/>
      <c r="AR394" s="20"/>
      <c r="AS394" s="20"/>
      <c r="AT394" s="20"/>
    </row>
    <row r="395">
      <c r="A395" s="20">
        <v>393.0</v>
      </c>
      <c r="B395" s="29" t="s">
        <v>454</v>
      </c>
      <c r="C395" s="30"/>
      <c r="D395" s="20"/>
      <c r="E395" s="20"/>
      <c r="F395" s="20"/>
      <c r="G395" s="20"/>
      <c r="H395" s="33" t="s">
        <v>160</v>
      </c>
      <c r="I395" s="33" t="s">
        <v>160</v>
      </c>
      <c r="J395" s="21"/>
      <c r="K395" s="20" t="str">
        <f t="shared" si="1"/>
        <v>WATER,ENVIRONMENT,CLIMATE CHANGE AND NATURAL RESOURCES</v>
      </c>
      <c r="L395" s="20" t="s">
        <v>75</v>
      </c>
      <c r="M395" s="20" t="str">
        <f t="shared" si="2"/>
        <v>WATER,ENVIRONMENT,CLIMATE CHANGE AND NATURAL RESOURCES</v>
      </c>
      <c r="N395" s="22" t="s">
        <v>119</v>
      </c>
      <c r="O395" s="22" t="s">
        <v>120</v>
      </c>
      <c r="P395" s="20" t="s">
        <v>121</v>
      </c>
      <c r="Q395" s="20" t="s">
        <v>121</v>
      </c>
      <c r="R395" s="30">
        <v>3000000.0</v>
      </c>
      <c r="S395" s="30">
        <v>3000000.0</v>
      </c>
      <c r="T395" s="30">
        <v>3000000.0</v>
      </c>
      <c r="U395" s="20" t="s">
        <v>71</v>
      </c>
      <c r="V395" s="20"/>
      <c r="W395" s="30">
        <v>3000000.0</v>
      </c>
      <c r="X395" s="20"/>
      <c r="Y395" s="30">
        <v>3000000.0</v>
      </c>
      <c r="Z395" s="24">
        <f t="shared" si="3"/>
        <v>1</v>
      </c>
      <c r="AA395" s="23">
        <f t="shared" si="5"/>
        <v>3000000</v>
      </c>
      <c r="AB395" s="20"/>
      <c r="AC395" s="25">
        <f t="shared" si="4"/>
        <v>0</v>
      </c>
      <c r="AD395" s="20" t="s">
        <v>72</v>
      </c>
      <c r="AE395" s="20"/>
      <c r="AF395" s="20"/>
      <c r="AG395" s="20"/>
      <c r="AH395" s="20"/>
      <c r="AI395" s="20"/>
      <c r="AJ395" s="20"/>
      <c r="AK395" s="20"/>
      <c r="AL395" s="20"/>
      <c r="AM395" s="20"/>
      <c r="AN395" s="20"/>
      <c r="AO395" s="20"/>
      <c r="AP395" s="20"/>
      <c r="AQ395" s="20"/>
      <c r="AR395" s="20"/>
      <c r="AS395" s="20"/>
      <c r="AT395" s="20"/>
    </row>
    <row r="396">
      <c r="A396" s="20">
        <v>394.0</v>
      </c>
      <c r="B396" s="29" t="s">
        <v>455</v>
      </c>
      <c r="C396" s="30"/>
      <c r="D396" s="20"/>
      <c r="E396" s="20"/>
      <c r="F396" s="20"/>
      <c r="G396" s="20"/>
      <c r="H396" s="33" t="s">
        <v>113</v>
      </c>
      <c r="I396" s="33" t="s">
        <v>114</v>
      </c>
      <c r="J396" s="21"/>
      <c r="K396" s="20" t="str">
        <f t="shared" si="1"/>
        <v>WATER,ENVIRONMENT,CLIMATE CHANGE AND NATURAL RESOURCES</v>
      </c>
      <c r="L396" s="20" t="s">
        <v>75</v>
      </c>
      <c r="M396" s="20" t="str">
        <f t="shared" si="2"/>
        <v>WATER,ENVIRONMENT,CLIMATE CHANGE AND NATURAL RESOURCES</v>
      </c>
      <c r="N396" s="22" t="s">
        <v>119</v>
      </c>
      <c r="O396" s="22" t="s">
        <v>120</v>
      </c>
      <c r="P396" s="20" t="s">
        <v>121</v>
      </c>
      <c r="Q396" s="20" t="s">
        <v>121</v>
      </c>
      <c r="R396" s="30">
        <v>4.287413795E7</v>
      </c>
      <c r="S396" s="30">
        <v>4.287413795E7</v>
      </c>
      <c r="T396" s="30">
        <v>4.287413795E7</v>
      </c>
      <c r="U396" s="20" t="s">
        <v>71</v>
      </c>
      <c r="V396" s="20"/>
      <c r="W396" s="30">
        <v>4.287413795E7</v>
      </c>
      <c r="X396" s="20"/>
      <c r="Y396" s="30">
        <v>4.287413795E7</v>
      </c>
      <c r="Z396" s="24">
        <f t="shared" si="3"/>
        <v>1</v>
      </c>
      <c r="AA396" s="23">
        <f t="shared" si="5"/>
        <v>42874137.95</v>
      </c>
      <c r="AB396" s="20"/>
      <c r="AC396" s="25">
        <f t="shared" si="4"/>
        <v>0</v>
      </c>
      <c r="AD396" s="20" t="s">
        <v>72</v>
      </c>
      <c r="AE396" s="20"/>
      <c r="AF396" s="20"/>
      <c r="AG396" s="20"/>
      <c r="AH396" s="20"/>
      <c r="AI396" s="20"/>
      <c r="AJ396" s="20"/>
      <c r="AK396" s="20"/>
      <c r="AL396" s="20"/>
      <c r="AM396" s="20"/>
      <c r="AN396" s="20"/>
      <c r="AO396" s="20"/>
      <c r="AP396" s="20"/>
      <c r="AQ396" s="20"/>
      <c r="AR396" s="20"/>
      <c r="AS396" s="20"/>
      <c r="AT396" s="20"/>
    </row>
    <row r="397">
      <c r="A397" s="20">
        <v>395.0</v>
      </c>
      <c r="B397" s="29" t="s">
        <v>456</v>
      </c>
      <c r="C397" s="30"/>
      <c r="D397" s="20"/>
      <c r="E397" s="20"/>
      <c r="F397" s="20"/>
      <c r="G397" s="20"/>
      <c r="H397" s="33" t="s">
        <v>65</v>
      </c>
      <c r="I397" s="33" t="s">
        <v>66</v>
      </c>
      <c r="J397" s="21"/>
      <c r="K397" s="20" t="str">
        <f t="shared" si="1"/>
        <v>LANDS,PHYSICAL PLANNING AND URBAN DEVELOPMENT</v>
      </c>
      <c r="L397" s="20" t="s">
        <v>98</v>
      </c>
      <c r="M397" s="20" t="str">
        <f t="shared" si="2"/>
        <v>LANDS,PHYSICAL PLANNING AND URBAN DEVELOPMENT</v>
      </c>
      <c r="N397" s="22" t="s">
        <v>119</v>
      </c>
      <c r="O397" s="22" t="s">
        <v>120</v>
      </c>
      <c r="P397" s="20" t="s">
        <v>121</v>
      </c>
      <c r="Q397" s="20" t="s">
        <v>121</v>
      </c>
      <c r="R397" s="30">
        <v>4.75E7</v>
      </c>
      <c r="S397" s="30">
        <v>4.75E7</v>
      </c>
      <c r="T397" s="30">
        <v>4.75E7</v>
      </c>
      <c r="U397" s="20" t="s">
        <v>71</v>
      </c>
      <c r="V397" s="20"/>
      <c r="W397" s="30">
        <v>4.75E7</v>
      </c>
      <c r="X397" s="20"/>
      <c r="Y397" s="30">
        <v>4.75E7</v>
      </c>
      <c r="Z397" s="24">
        <f t="shared" si="3"/>
        <v>1</v>
      </c>
      <c r="AA397" s="23">
        <f t="shared" si="5"/>
        <v>47500000</v>
      </c>
      <c r="AB397" s="20"/>
      <c r="AC397" s="25">
        <f t="shared" si="4"/>
        <v>0</v>
      </c>
      <c r="AD397" s="20" t="s">
        <v>72</v>
      </c>
      <c r="AE397" s="20"/>
      <c r="AF397" s="20"/>
      <c r="AG397" s="20"/>
      <c r="AH397" s="20"/>
      <c r="AI397" s="20"/>
      <c r="AJ397" s="20"/>
      <c r="AK397" s="20"/>
      <c r="AL397" s="20"/>
      <c r="AM397" s="20"/>
      <c r="AN397" s="20"/>
      <c r="AO397" s="20"/>
      <c r="AP397" s="20"/>
      <c r="AQ397" s="20"/>
      <c r="AR397" s="20"/>
      <c r="AS397" s="20"/>
      <c r="AT397" s="20"/>
    </row>
    <row r="398">
      <c r="A398" s="20">
        <v>396.0</v>
      </c>
      <c r="B398" s="29" t="s">
        <v>457</v>
      </c>
      <c r="C398" s="30"/>
      <c r="D398" s="20"/>
      <c r="E398" s="20"/>
      <c r="F398" s="20"/>
      <c r="G398" s="20"/>
      <c r="H398" s="33" t="s">
        <v>65</v>
      </c>
      <c r="I398" s="33" t="s">
        <v>66</v>
      </c>
      <c r="J398" s="21"/>
      <c r="K398" s="20" t="str">
        <f t="shared" si="1"/>
        <v>EDUCATION,INFORMATION AND ICT</v>
      </c>
      <c r="L398" s="20" t="s">
        <v>84</v>
      </c>
      <c r="M398" s="20" t="str">
        <f t="shared" si="2"/>
        <v>EDUCATION,INFORMATION AND ICT</v>
      </c>
      <c r="N398" s="22" t="s">
        <v>119</v>
      </c>
      <c r="O398" s="22" t="s">
        <v>120</v>
      </c>
      <c r="P398" s="20" t="s">
        <v>121</v>
      </c>
      <c r="Q398" s="20" t="s">
        <v>121</v>
      </c>
      <c r="R398" s="30">
        <v>200000.0</v>
      </c>
      <c r="S398" s="30">
        <v>200000.0</v>
      </c>
      <c r="T398" s="30">
        <v>200000.0</v>
      </c>
      <c r="U398" s="20" t="s">
        <v>71</v>
      </c>
      <c r="V398" s="20"/>
      <c r="W398" s="30">
        <v>200000.0</v>
      </c>
      <c r="X398" s="20"/>
      <c r="Y398" s="30">
        <v>200000.0</v>
      </c>
      <c r="Z398" s="24">
        <f t="shared" si="3"/>
        <v>1</v>
      </c>
      <c r="AA398" s="23">
        <f t="shared" si="5"/>
        <v>200000</v>
      </c>
      <c r="AB398" s="20"/>
      <c r="AC398" s="25">
        <f t="shared" si="4"/>
        <v>0</v>
      </c>
      <c r="AD398" s="20" t="s">
        <v>72</v>
      </c>
      <c r="AE398" s="20"/>
      <c r="AF398" s="20"/>
      <c r="AG398" s="20"/>
      <c r="AH398" s="20"/>
      <c r="AI398" s="20"/>
      <c r="AJ398" s="20"/>
      <c r="AK398" s="20"/>
      <c r="AL398" s="20"/>
      <c r="AM398" s="20"/>
      <c r="AN398" s="20"/>
      <c r="AO398" s="20"/>
      <c r="AP398" s="20"/>
      <c r="AQ398" s="20"/>
      <c r="AR398" s="20"/>
      <c r="AS398" s="20"/>
      <c r="AT398" s="20"/>
    </row>
    <row r="399">
      <c r="A399" s="20">
        <v>397.0</v>
      </c>
      <c r="B399" s="29" t="s">
        <v>458</v>
      </c>
      <c r="C399" s="30"/>
      <c r="D399" s="20"/>
      <c r="E399" s="20"/>
      <c r="F399" s="20"/>
      <c r="G399" s="20"/>
      <c r="H399" s="33" t="s">
        <v>65</v>
      </c>
      <c r="I399" s="33" t="s">
        <v>66</v>
      </c>
      <c r="J399" s="21"/>
      <c r="K399" s="20" t="str">
        <f t="shared" si="1"/>
        <v>Health services</v>
      </c>
      <c r="L399" s="20" t="s">
        <v>67</v>
      </c>
      <c r="M399" s="20" t="str">
        <f t="shared" si="2"/>
        <v>Health services</v>
      </c>
      <c r="N399" s="22" t="s">
        <v>119</v>
      </c>
      <c r="O399" s="22" t="s">
        <v>120</v>
      </c>
      <c r="P399" s="20" t="s">
        <v>121</v>
      </c>
      <c r="Q399" s="20" t="s">
        <v>121</v>
      </c>
      <c r="R399" s="30">
        <v>200000.0</v>
      </c>
      <c r="S399" s="30">
        <v>200000.0</v>
      </c>
      <c r="T399" s="30">
        <v>200000.0</v>
      </c>
      <c r="U399" s="20" t="s">
        <v>71</v>
      </c>
      <c r="V399" s="20"/>
      <c r="W399" s="30">
        <v>200000.0</v>
      </c>
      <c r="X399" s="20"/>
      <c r="Y399" s="30">
        <v>200000.0</v>
      </c>
      <c r="Z399" s="24">
        <f t="shared" si="3"/>
        <v>1</v>
      </c>
      <c r="AA399" s="23">
        <f t="shared" si="5"/>
        <v>200000</v>
      </c>
      <c r="AB399" s="20"/>
      <c r="AC399" s="25">
        <f t="shared" si="4"/>
        <v>0</v>
      </c>
      <c r="AD399" s="20" t="s">
        <v>72</v>
      </c>
      <c r="AE399" s="20"/>
      <c r="AF399" s="20"/>
      <c r="AG399" s="20"/>
      <c r="AH399" s="20"/>
      <c r="AI399" s="20"/>
      <c r="AJ399" s="20"/>
      <c r="AK399" s="20"/>
      <c r="AL399" s="20"/>
      <c r="AM399" s="20"/>
      <c r="AN399" s="20"/>
      <c r="AO399" s="20"/>
      <c r="AP399" s="20"/>
      <c r="AQ399" s="20"/>
      <c r="AR399" s="20"/>
      <c r="AS399" s="20"/>
      <c r="AT399" s="20"/>
    </row>
    <row r="400">
      <c r="A400" s="20">
        <v>398.0</v>
      </c>
      <c r="B400" s="29" t="s">
        <v>459</v>
      </c>
      <c r="C400" s="30"/>
      <c r="D400" s="20"/>
      <c r="E400" s="20"/>
      <c r="F400" s="20"/>
      <c r="G400" s="20"/>
      <c r="H400" s="33" t="s">
        <v>113</v>
      </c>
      <c r="I400" s="33" t="s">
        <v>114</v>
      </c>
      <c r="J400" s="21"/>
      <c r="K400" s="20" t="str">
        <f t="shared" si="1"/>
        <v>Health services</v>
      </c>
      <c r="L400" s="20" t="s">
        <v>67</v>
      </c>
      <c r="M400" s="20" t="str">
        <f t="shared" si="2"/>
        <v>Health services</v>
      </c>
      <c r="N400" s="22" t="s">
        <v>119</v>
      </c>
      <c r="O400" s="22" t="s">
        <v>120</v>
      </c>
      <c r="P400" s="20" t="s">
        <v>121</v>
      </c>
      <c r="Q400" s="20" t="s">
        <v>121</v>
      </c>
      <c r="R400" s="30">
        <v>200000.0</v>
      </c>
      <c r="S400" s="30">
        <v>200000.0</v>
      </c>
      <c r="T400" s="30">
        <v>200000.0</v>
      </c>
      <c r="U400" s="20" t="s">
        <v>71</v>
      </c>
      <c r="V400" s="20"/>
      <c r="W400" s="30">
        <v>200000.0</v>
      </c>
      <c r="X400" s="20"/>
      <c r="Y400" s="30">
        <v>200000.0</v>
      </c>
      <c r="Z400" s="24">
        <f t="shared" si="3"/>
        <v>1</v>
      </c>
      <c r="AA400" s="23">
        <f t="shared" si="5"/>
        <v>200000</v>
      </c>
      <c r="AB400" s="20"/>
      <c r="AC400" s="25">
        <f t="shared" si="4"/>
        <v>0</v>
      </c>
      <c r="AD400" s="20" t="s">
        <v>72</v>
      </c>
      <c r="AE400" s="20"/>
      <c r="AF400" s="20"/>
      <c r="AG400" s="20"/>
      <c r="AH400" s="20"/>
      <c r="AI400" s="20"/>
      <c r="AJ400" s="20"/>
      <c r="AK400" s="20"/>
      <c r="AL400" s="20"/>
      <c r="AM400" s="20"/>
      <c r="AN400" s="20"/>
      <c r="AO400" s="20"/>
      <c r="AP400" s="20"/>
      <c r="AQ400" s="20"/>
      <c r="AR400" s="20"/>
      <c r="AS400" s="20"/>
      <c r="AT400" s="20"/>
    </row>
    <row r="401">
      <c r="A401" s="20">
        <v>399.0</v>
      </c>
      <c r="B401" s="29" t="s">
        <v>305</v>
      </c>
      <c r="C401" s="30"/>
      <c r="D401" s="20"/>
      <c r="E401" s="20"/>
      <c r="F401" s="20"/>
      <c r="G401" s="20"/>
      <c r="H401" s="33" t="s">
        <v>65</v>
      </c>
      <c r="I401" s="33" t="s">
        <v>66</v>
      </c>
      <c r="J401" s="21"/>
      <c r="K401" s="20" t="str">
        <f t="shared" si="1"/>
        <v>ROADS,TRANSPORT AND PUBLIC WORKS</v>
      </c>
      <c r="L401" s="20" t="s">
        <v>107</v>
      </c>
      <c r="M401" s="20" t="str">
        <f t="shared" si="2"/>
        <v>ROADS,TRANSPORT AND PUBLIC WORKS</v>
      </c>
      <c r="N401" s="22" t="s">
        <v>119</v>
      </c>
      <c r="O401" s="22" t="s">
        <v>120</v>
      </c>
      <c r="P401" s="20" t="s">
        <v>121</v>
      </c>
      <c r="Q401" s="20" t="s">
        <v>121</v>
      </c>
      <c r="R401" s="30">
        <v>200000.0</v>
      </c>
      <c r="S401" s="30">
        <v>200000.0</v>
      </c>
      <c r="T401" s="30">
        <v>200000.0</v>
      </c>
      <c r="U401" s="20" t="s">
        <v>71</v>
      </c>
      <c r="V401" s="20"/>
      <c r="W401" s="30">
        <v>200000.0</v>
      </c>
      <c r="X401" s="20"/>
      <c r="Y401" s="30">
        <v>200000.0</v>
      </c>
      <c r="Z401" s="24">
        <f t="shared" si="3"/>
        <v>1</v>
      </c>
      <c r="AA401" s="23">
        <f t="shared" si="5"/>
        <v>200000</v>
      </c>
      <c r="AB401" s="20"/>
      <c r="AC401" s="25">
        <f t="shared" si="4"/>
        <v>0</v>
      </c>
      <c r="AD401" s="20" t="s">
        <v>72</v>
      </c>
      <c r="AE401" s="20"/>
      <c r="AF401" s="20"/>
      <c r="AG401" s="20"/>
      <c r="AH401" s="20"/>
      <c r="AI401" s="20"/>
      <c r="AJ401" s="20"/>
      <c r="AK401" s="20"/>
      <c r="AL401" s="20"/>
      <c r="AM401" s="20"/>
      <c r="AN401" s="20"/>
      <c r="AO401" s="20"/>
      <c r="AP401" s="20"/>
      <c r="AQ401" s="20"/>
      <c r="AR401" s="20"/>
      <c r="AS401" s="20"/>
      <c r="AT401" s="20"/>
    </row>
    <row r="402">
      <c r="A402" s="20">
        <v>400.0</v>
      </c>
      <c r="B402" s="29" t="s">
        <v>460</v>
      </c>
      <c r="C402" s="30"/>
      <c r="D402" s="20"/>
      <c r="E402" s="20"/>
      <c r="F402" s="20"/>
      <c r="G402" s="20"/>
      <c r="H402" s="33" t="s">
        <v>77</v>
      </c>
      <c r="I402" s="33" t="s">
        <v>128</v>
      </c>
      <c r="J402" s="21"/>
      <c r="K402" s="20" t="str">
        <f t="shared" si="1"/>
        <v>ROADS,TRANSPORT AND PUBLIC WORKS</v>
      </c>
      <c r="L402" s="20" t="s">
        <v>107</v>
      </c>
      <c r="M402" s="20" t="str">
        <f t="shared" si="2"/>
        <v>ROADS,TRANSPORT AND PUBLIC WORKS</v>
      </c>
      <c r="N402" s="22" t="s">
        <v>119</v>
      </c>
      <c r="O402" s="22" t="s">
        <v>120</v>
      </c>
      <c r="P402" s="20" t="s">
        <v>121</v>
      </c>
      <c r="Q402" s="20" t="s">
        <v>121</v>
      </c>
      <c r="R402" s="30">
        <v>200000.0</v>
      </c>
      <c r="S402" s="30">
        <v>200000.0</v>
      </c>
      <c r="T402" s="30">
        <v>200000.0</v>
      </c>
      <c r="U402" s="20" t="s">
        <v>71</v>
      </c>
      <c r="V402" s="20"/>
      <c r="W402" s="30">
        <v>200000.0</v>
      </c>
      <c r="X402" s="20"/>
      <c r="Y402" s="30">
        <v>200000.0</v>
      </c>
      <c r="Z402" s="24">
        <f t="shared" si="3"/>
        <v>1</v>
      </c>
      <c r="AA402" s="23">
        <f t="shared" si="5"/>
        <v>200000</v>
      </c>
      <c r="AB402" s="20"/>
      <c r="AC402" s="25">
        <f t="shared" si="4"/>
        <v>0</v>
      </c>
      <c r="AD402" s="20" t="s">
        <v>72</v>
      </c>
      <c r="AE402" s="20"/>
      <c r="AF402" s="20"/>
      <c r="AG402" s="20"/>
      <c r="AH402" s="20"/>
      <c r="AI402" s="20"/>
      <c r="AJ402" s="20"/>
      <c r="AK402" s="20"/>
      <c r="AL402" s="20"/>
      <c r="AM402" s="20"/>
      <c r="AN402" s="20"/>
      <c r="AO402" s="20"/>
      <c r="AP402" s="20"/>
      <c r="AQ402" s="20"/>
      <c r="AR402" s="20"/>
      <c r="AS402" s="20"/>
      <c r="AT402" s="20"/>
    </row>
    <row r="403">
      <c r="A403" s="20">
        <v>401.0</v>
      </c>
      <c r="B403" s="29" t="s">
        <v>461</v>
      </c>
      <c r="C403" s="30"/>
      <c r="D403" s="20"/>
      <c r="E403" s="20"/>
      <c r="F403" s="20"/>
      <c r="G403" s="20"/>
      <c r="H403" s="33" t="s">
        <v>77</v>
      </c>
      <c r="I403" s="33" t="s">
        <v>77</v>
      </c>
      <c r="J403" s="21"/>
      <c r="K403" s="20" t="str">
        <f t="shared" si="1"/>
        <v>WATER,ENVIRONMENT,CLIMATE CHANGE AND NATURAL RESOURCES</v>
      </c>
      <c r="L403" s="20" t="s">
        <v>75</v>
      </c>
      <c r="M403" s="20" t="str">
        <f t="shared" si="2"/>
        <v>WATER,ENVIRONMENT,CLIMATE CHANGE AND NATURAL RESOURCES</v>
      </c>
      <c r="N403" s="22" t="s">
        <v>119</v>
      </c>
      <c r="O403" s="22" t="s">
        <v>120</v>
      </c>
      <c r="P403" s="20" t="s">
        <v>121</v>
      </c>
      <c r="Q403" s="20" t="s">
        <v>121</v>
      </c>
      <c r="R403" s="30">
        <v>500000.0</v>
      </c>
      <c r="S403" s="30">
        <v>500000.0</v>
      </c>
      <c r="T403" s="30">
        <v>500000.0</v>
      </c>
      <c r="U403" s="20" t="s">
        <v>71</v>
      </c>
      <c r="V403" s="20"/>
      <c r="W403" s="30">
        <v>500000.0</v>
      </c>
      <c r="X403" s="20"/>
      <c r="Y403" s="30">
        <v>500000.0</v>
      </c>
      <c r="Z403" s="24">
        <f t="shared" si="3"/>
        <v>1</v>
      </c>
      <c r="AA403" s="23">
        <f t="shared" si="5"/>
        <v>500000</v>
      </c>
      <c r="AB403" s="20"/>
      <c r="AC403" s="25">
        <f t="shared" si="4"/>
        <v>0</v>
      </c>
      <c r="AD403" s="20" t="s">
        <v>72</v>
      </c>
      <c r="AE403" s="20"/>
      <c r="AF403" s="20"/>
      <c r="AG403" s="20"/>
      <c r="AH403" s="20"/>
      <c r="AI403" s="20"/>
      <c r="AJ403" s="20"/>
      <c r="AK403" s="20"/>
      <c r="AL403" s="20"/>
      <c r="AM403" s="20"/>
      <c r="AN403" s="20"/>
      <c r="AO403" s="20"/>
      <c r="AP403" s="20"/>
      <c r="AQ403" s="20"/>
      <c r="AR403" s="20"/>
      <c r="AS403" s="20"/>
      <c r="AT403" s="20"/>
    </row>
    <row r="404">
      <c r="A404" s="20">
        <v>402.0</v>
      </c>
      <c r="B404" s="29" t="s">
        <v>462</v>
      </c>
      <c r="C404" s="30"/>
      <c r="D404" s="20"/>
      <c r="E404" s="20"/>
      <c r="F404" s="20"/>
      <c r="G404" s="20"/>
      <c r="H404" s="33" t="s">
        <v>160</v>
      </c>
      <c r="I404" s="33" t="s">
        <v>160</v>
      </c>
      <c r="J404" s="21"/>
      <c r="K404" s="20" t="str">
        <f t="shared" si="1"/>
        <v>ROADS,TRANSPORT AND PUBLIC WORKS</v>
      </c>
      <c r="L404" s="20" t="s">
        <v>107</v>
      </c>
      <c r="M404" s="20" t="str">
        <f t="shared" si="2"/>
        <v>ROADS,TRANSPORT AND PUBLIC WORKS</v>
      </c>
      <c r="N404" s="22" t="s">
        <v>119</v>
      </c>
      <c r="O404" s="22" t="s">
        <v>120</v>
      </c>
      <c r="P404" s="20" t="s">
        <v>121</v>
      </c>
      <c r="Q404" s="20" t="s">
        <v>121</v>
      </c>
      <c r="R404" s="30">
        <v>646570.0</v>
      </c>
      <c r="S404" s="30">
        <v>646570.0</v>
      </c>
      <c r="T404" s="30">
        <v>646570.0</v>
      </c>
      <c r="U404" s="20" t="s">
        <v>71</v>
      </c>
      <c r="V404" s="20"/>
      <c r="W404" s="30">
        <v>646570.0</v>
      </c>
      <c r="X404" s="20"/>
      <c r="Y404" s="30">
        <v>646570.0</v>
      </c>
      <c r="Z404" s="24">
        <f t="shared" si="3"/>
        <v>1</v>
      </c>
      <c r="AA404" s="23">
        <f t="shared" si="5"/>
        <v>646570</v>
      </c>
      <c r="AB404" s="20"/>
      <c r="AC404" s="25">
        <f t="shared" si="4"/>
        <v>0</v>
      </c>
      <c r="AD404" s="20" t="s">
        <v>72</v>
      </c>
      <c r="AE404" s="20"/>
      <c r="AF404" s="20"/>
      <c r="AG404" s="20"/>
      <c r="AH404" s="20"/>
      <c r="AI404" s="20"/>
      <c r="AJ404" s="20"/>
      <c r="AK404" s="20"/>
      <c r="AL404" s="20"/>
      <c r="AM404" s="20"/>
      <c r="AN404" s="20"/>
      <c r="AO404" s="20"/>
      <c r="AP404" s="20"/>
      <c r="AQ404" s="20"/>
      <c r="AR404" s="20"/>
      <c r="AS404" s="20"/>
      <c r="AT404" s="20"/>
    </row>
    <row r="405">
      <c r="A405" s="20">
        <v>403.0</v>
      </c>
      <c r="B405" s="29" t="s">
        <v>463</v>
      </c>
      <c r="C405" s="30"/>
      <c r="D405" s="20"/>
      <c r="E405" s="20"/>
      <c r="F405" s="20"/>
      <c r="G405" s="20"/>
      <c r="H405" s="33" t="s">
        <v>104</v>
      </c>
      <c r="I405" s="33" t="s">
        <v>167</v>
      </c>
      <c r="J405" s="21"/>
      <c r="K405" s="20" t="str">
        <f t="shared" si="1"/>
        <v>ROADS,TRANSPORT AND PUBLIC WORKS</v>
      </c>
      <c r="L405" s="20" t="s">
        <v>107</v>
      </c>
      <c r="M405" s="20" t="str">
        <f t="shared" si="2"/>
        <v>ROADS,TRANSPORT AND PUBLIC WORKS</v>
      </c>
      <c r="N405" s="22" t="s">
        <v>119</v>
      </c>
      <c r="O405" s="22" t="s">
        <v>120</v>
      </c>
      <c r="P405" s="20" t="s">
        <v>121</v>
      </c>
      <c r="Q405" s="20" t="s">
        <v>121</v>
      </c>
      <c r="R405" s="30">
        <v>950000.0</v>
      </c>
      <c r="S405" s="30">
        <v>950000.0</v>
      </c>
      <c r="T405" s="30">
        <v>950000.0</v>
      </c>
      <c r="U405" s="20" t="s">
        <v>71</v>
      </c>
      <c r="V405" s="20"/>
      <c r="W405" s="30">
        <v>950000.0</v>
      </c>
      <c r="X405" s="20"/>
      <c r="Y405" s="30">
        <v>950000.0</v>
      </c>
      <c r="Z405" s="24">
        <f t="shared" si="3"/>
        <v>1</v>
      </c>
      <c r="AA405" s="23">
        <f t="shared" si="5"/>
        <v>950000</v>
      </c>
      <c r="AB405" s="20"/>
      <c r="AC405" s="25">
        <f t="shared" si="4"/>
        <v>0</v>
      </c>
      <c r="AD405" s="20" t="s">
        <v>72</v>
      </c>
      <c r="AE405" s="20"/>
      <c r="AF405" s="20"/>
      <c r="AG405" s="20"/>
      <c r="AH405" s="20"/>
      <c r="AI405" s="20"/>
      <c r="AJ405" s="20"/>
      <c r="AK405" s="20"/>
      <c r="AL405" s="20"/>
      <c r="AM405" s="20"/>
      <c r="AN405" s="20"/>
      <c r="AO405" s="20"/>
      <c r="AP405" s="20"/>
      <c r="AQ405" s="20"/>
      <c r="AR405" s="20"/>
      <c r="AS405" s="20"/>
      <c r="AT405" s="20"/>
    </row>
    <row r="406">
      <c r="A406" s="20">
        <v>404.0</v>
      </c>
      <c r="B406" s="29" t="s">
        <v>464</v>
      </c>
      <c r="C406" s="30"/>
      <c r="D406" s="20"/>
      <c r="E406" s="20"/>
      <c r="F406" s="20"/>
      <c r="G406" s="20"/>
      <c r="H406" s="33" t="s">
        <v>77</v>
      </c>
      <c r="I406" s="33" t="s">
        <v>77</v>
      </c>
      <c r="J406" s="21"/>
      <c r="K406" s="20" t="str">
        <f t="shared" si="1"/>
        <v>Health services</v>
      </c>
      <c r="L406" s="20" t="s">
        <v>67</v>
      </c>
      <c r="M406" s="20" t="str">
        <f t="shared" si="2"/>
        <v>Health services</v>
      </c>
      <c r="N406" s="22" t="s">
        <v>119</v>
      </c>
      <c r="O406" s="22" t="s">
        <v>120</v>
      </c>
      <c r="P406" s="20" t="s">
        <v>121</v>
      </c>
      <c r="Q406" s="20" t="s">
        <v>121</v>
      </c>
      <c r="R406" s="30">
        <v>1000000.0</v>
      </c>
      <c r="S406" s="30">
        <v>1000000.0</v>
      </c>
      <c r="T406" s="30">
        <v>1000000.0</v>
      </c>
      <c r="U406" s="20" t="s">
        <v>71</v>
      </c>
      <c r="V406" s="20"/>
      <c r="W406" s="30">
        <v>1000000.0</v>
      </c>
      <c r="X406" s="20"/>
      <c r="Y406" s="30">
        <v>1000000.0</v>
      </c>
      <c r="Z406" s="24">
        <f t="shared" si="3"/>
        <v>1</v>
      </c>
      <c r="AA406" s="23">
        <f t="shared" si="5"/>
        <v>1000000</v>
      </c>
      <c r="AB406" s="20"/>
      <c r="AC406" s="25">
        <f t="shared" si="4"/>
        <v>0</v>
      </c>
      <c r="AD406" s="20" t="s">
        <v>72</v>
      </c>
      <c r="AE406" s="20"/>
      <c r="AF406" s="20"/>
      <c r="AG406" s="20"/>
      <c r="AH406" s="20"/>
      <c r="AI406" s="20"/>
      <c r="AJ406" s="20"/>
      <c r="AK406" s="20"/>
      <c r="AL406" s="20"/>
      <c r="AM406" s="20"/>
      <c r="AN406" s="20"/>
      <c r="AO406" s="20"/>
      <c r="AP406" s="20"/>
      <c r="AQ406" s="20"/>
      <c r="AR406" s="20"/>
      <c r="AS406" s="20"/>
      <c r="AT406" s="20"/>
    </row>
    <row r="407">
      <c r="A407" s="20">
        <v>405.0</v>
      </c>
      <c r="B407" s="29" t="s">
        <v>465</v>
      </c>
      <c r="C407" s="30"/>
      <c r="D407" s="20"/>
      <c r="E407" s="20"/>
      <c r="F407" s="20"/>
      <c r="G407" s="20"/>
      <c r="H407" s="33" t="s">
        <v>65</v>
      </c>
      <c r="I407" s="33" t="s">
        <v>66</v>
      </c>
      <c r="J407" s="21"/>
      <c r="K407" s="20" t="str">
        <f t="shared" si="1"/>
        <v>EDUCATION,INFORMATION AND ICT</v>
      </c>
      <c r="L407" s="20" t="s">
        <v>84</v>
      </c>
      <c r="M407" s="20" t="str">
        <f t="shared" si="2"/>
        <v>EDUCATION,INFORMATION AND ICT</v>
      </c>
      <c r="N407" s="22" t="s">
        <v>119</v>
      </c>
      <c r="O407" s="22" t="s">
        <v>120</v>
      </c>
      <c r="P407" s="20" t="s">
        <v>121</v>
      </c>
      <c r="Q407" s="20" t="s">
        <v>121</v>
      </c>
      <c r="R407" s="30">
        <v>1100000.0</v>
      </c>
      <c r="S407" s="30">
        <v>1100000.0</v>
      </c>
      <c r="T407" s="30">
        <v>1100000.0</v>
      </c>
      <c r="U407" s="20" t="s">
        <v>71</v>
      </c>
      <c r="V407" s="20"/>
      <c r="W407" s="30">
        <v>1100000.0</v>
      </c>
      <c r="X407" s="20"/>
      <c r="Y407" s="30">
        <v>1100000.0</v>
      </c>
      <c r="Z407" s="24">
        <f t="shared" si="3"/>
        <v>1</v>
      </c>
      <c r="AA407" s="23">
        <f t="shared" si="5"/>
        <v>1100000</v>
      </c>
      <c r="AB407" s="20"/>
      <c r="AC407" s="25">
        <f t="shared" si="4"/>
        <v>0</v>
      </c>
      <c r="AD407" s="20" t="s">
        <v>72</v>
      </c>
      <c r="AE407" s="20"/>
      <c r="AF407" s="20"/>
      <c r="AG407" s="20"/>
      <c r="AH407" s="20"/>
      <c r="AI407" s="20"/>
      <c r="AJ407" s="20"/>
      <c r="AK407" s="20"/>
      <c r="AL407" s="20"/>
      <c r="AM407" s="20"/>
      <c r="AN407" s="20"/>
      <c r="AO407" s="20"/>
      <c r="AP407" s="20"/>
      <c r="AQ407" s="20"/>
      <c r="AR407" s="20"/>
      <c r="AS407" s="20"/>
      <c r="AT407" s="20"/>
    </row>
    <row r="408">
      <c r="A408" s="20">
        <v>406.0</v>
      </c>
      <c r="B408" s="29" t="s">
        <v>305</v>
      </c>
      <c r="C408" s="30"/>
      <c r="D408" s="20"/>
      <c r="E408" s="20"/>
      <c r="F408" s="20"/>
      <c r="G408" s="20"/>
      <c r="H408" s="33" t="s">
        <v>65</v>
      </c>
      <c r="I408" s="33" t="s">
        <v>66</v>
      </c>
      <c r="J408" s="21"/>
      <c r="K408" s="20" t="str">
        <f t="shared" si="1"/>
        <v>ROADS,TRANSPORT AND PUBLIC WORKS</v>
      </c>
      <c r="L408" s="20" t="s">
        <v>107</v>
      </c>
      <c r="M408" s="20" t="str">
        <f t="shared" si="2"/>
        <v>ROADS,TRANSPORT AND PUBLIC WORKS</v>
      </c>
      <c r="N408" s="22" t="s">
        <v>119</v>
      </c>
      <c r="O408" s="22" t="s">
        <v>120</v>
      </c>
      <c r="P408" s="20" t="s">
        <v>121</v>
      </c>
      <c r="Q408" s="20" t="s">
        <v>121</v>
      </c>
      <c r="R408" s="30">
        <v>1230816.0</v>
      </c>
      <c r="S408" s="30">
        <v>1230816.0</v>
      </c>
      <c r="T408" s="30">
        <v>1230816.0</v>
      </c>
      <c r="U408" s="20" t="s">
        <v>71</v>
      </c>
      <c r="V408" s="20"/>
      <c r="W408" s="30">
        <v>1230816.0</v>
      </c>
      <c r="X408" s="20"/>
      <c r="Y408" s="30">
        <v>1230816.0</v>
      </c>
      <c r="Z408" s="24">
        <f t="shared" si="3"/>
        <v>1</v>
      </c>
      <c r="AA408" s="23">
        <f t="shared" si="5"/>
        <v>1230816</v>
      </c>
      <c r="AB408" s="20"/>
      <c r="AC408" s="25">
        <f t="shared" si="4"/>
        <v>0</v>
      </c>
      <c r="AD408" s="20" t="s">
        <v>72</v>
      </c>
      <c r="AE408" s="20"/>
      <c r="AF408" s="20"/>
      <c r="AG408" s="20"/>
      <c r="AH408" s="20"/>
      <c r="AI408" s="20"/>
      <c r="AJ408" s="20"/>
      <c r="AK408" s="20"/>
      <c r="AL408" s="20"/>
      <c r="AM408" s="20"/>
      <c r="AN408" s="20"/>
      <c r="AO408" s="20"/>
      <c r="AP408" s="20"/>
      <c r="AQ408" s="20"/>
      <c r="AR408" s="20"/>
      <c r="AS408" s="20"/>
      <c r="AT408" s="20"/>
    </row>
    <row r="409">
      <c r="A409" s="20">
        <v>407.0</v>
      </c>
      <c r="B409" s="29" t="s">
        <v>463</v>
      </c>
      <c r="C409" s="30"/>
      <c r="D409" s="20"/>
      <c r="E409" s="20"/>
      <c r="F409" s="20"/>
      <c r="G409" s="20"/>
      <c r="H409" s="33" t="s">
        <v>104</v>
      </c>
      <c r="I409" s="33" t="s">
        <v>167</v>
      </c>
      <c r="J409" s="21"/>
      <c r="K409" s="20" t="str">
        <f t="shared" si="1"/>
        <v>ROADS,TRANSPORT AND PUBLIC WORKS</v>
      </c>
      <c r="L409" s="20" t="s">
        <v>107</v>
      </c>
      <c r="M409" s="20" t="str">
        <f t="shared" si="2"/>
        <v>ROADS,TRANSPORT AND PUBLIC WORKS</v>
      </c>
      <c r="N409" s="22" t="s">
        <v>119</v>
      </c>
      <c r="O409" s="22" t="s">
        <v>120</v>
      </c>
      <c r="P409" s="20" t="s">
        <v>121</v>
      </c>
      <c r="Q409" s="20" t="s">
        <v>121</v>
      </c>
      <c r="R409" s="30">
        <v>1312012.0</v>
      </c>
      <c r="S409" s="30">
        <v>1312012.0</v>
      </c>
      <c r="T409" s="30">
        <v>1312012.0</v>
      </c>
      <c r="U409" s="20" t="s">
        <v>71</v>
      </c>
      <c r="V409" s="20"/>
      <c r="W409" s="30">
        <v>1312012.0</v>
      </c>
      <c r="X409" s="20"/>
      <c r="Y409" s="30">
        <v>1312012.0</v>
      </c>
      <c r="Z409" s="24">
        <f t="shared" si="3"/>
        <v>1</v>
      </c>
      <c r="AA409" s="23">
        <f t="shared" si="5"/>
        <v>1312012</v>
      </c>
      <c r="AB409" s="20"/>
      <c r="AC409" s="25">
        <f t="shared" si="4"/>
        <v>0</v>
      </c>
      <c r="AD409" s="20" t="s">
        <v>72</v>
      </c>
      <c r="AE409" s="20"/>
      <c r="AF409" s="20"/>
      <c r="AG409" s="20"/>
      <c r="AH409" s="20"/>
      <c r="AI409" s="20"/>
      <c r="AJ409" s="20"/>
      <c r="AK409" s="20"/>
      <c r="AL409" s="20"/>
      <c r="AM409" s="20"/>
      <c r="AN409" s="20"/>
      <c r="AO409" s="20"/>
      <c r="AP409" s="20"/>
      <c r="AQ409" s="20"/>
      <c r="AR409" s="20"/>
      <c r="AS409" s="20"/>
      <c r="AT409" s="20"/>
    </row>
    <row r="410">
      <c r="A410" s="20">
        <v>408.0</v>
      </c>
      <c r="B410" s="29" t="s">
        <v>466</v>
      </c>
      <c r="C410" s="30"/>
      <c r="D410" s="20"/>
      <c r="E410" s="20"/>
      <c r="F410" s="20"/>
      <c r="G410" s="20"/>
      <c r="H410" s="33" t="s">
        <v>65</v>
      </c>
      <c r="I410" s="33" t="s">
        <v>66</v>
      </c>
      <c r="J410" s="21"/>
      <c r="K410" s="20" t="str">
        <f t="shared" si="1"/>
        <v>EDUCATION,INFORMATION AND ICT</v>
      </c>
      <c r="L410" s="20" t="s">
        <v>84</v>
      </c>
      <c r="M410" s="20" t="str">
        <f t="shared" si="2"/>
        <v>EDUCATION,INFORMATION AND ICT</v>
      </c>
      <c r="N410" s="22" t="s">
        <v>119</v>
      </c>
      <c r="O410" s="22" t="s">
        <v>120</v>
      </c>
      <c r="P410" s="20" t="s">
        <v>121</v>
      </c>
      <c r="Q410" s="20" t="s">
        <v>121</v>
      </c>
      <c r="R410" s="30">
        <v>1565979.0</v>
      </c>
      <c r="S410" s="30">
        <v>1565979.0</v>
      </c>
      <c r="T410" s="30">
        <v>1565979.0</v>
      </c>
      <c r="U410" s="20" t="s">
        <v>71</v>
      </c>
      <c r="V410" s="20"/>
      <c r="W410" s="30">
        <v>1565979.0</v>
      </c>
      <c r="X410" s="20"/>
      <c r="Y410" s="30">
        <v>1565979.0</v>
      </c>
      <c r="Z410" s="24">
        <f t="shared" si="3"/>
        <v>1</v>
      </c>
      <c r="AA410" s="23">
        <f t="shared" si="5"/>
        <v>1565979</v>
      </c>
      <c r="AB410" s="20"/>
      <c r="AC410" s="25">
        <f t="shared" si="4"/>
        <v>0</v>
      </c>
      <c r="AD410" s="20" t="s">
        <v>72</v>
      </c>
      <c r="AE410" s="20"/>
      <c r="AF410" s="20"/>
      <c r="AG410" s="20"/>
      <c r="AH410" s="20"/>
      <c r="AI410" s="20"/>
      <c r="AJ410" s="20"/>
      <c r="AK410" s="20"/>
      <c r="AL410" s="20"/>
      <c r="AM410" s="20"/>
      <c r="AN410" s="20"/>
      <c r="AO410" s="20"/>
      <c r="AP410" s="20"/>
      <c r="AQ410" s="20"/>
      <c r="AR410" s="20"/>
      <c r="AS410" s="20"/>
      <c r="AT410" s="20"/>
    </row>
    <row r="411">
      <c r="A411" s="20">
        <v>409.0</v>
      </c>
      <c r="B411" s="29" t="s">
        <v>347</v>
      </c>
      <c r="C411" s="30"/>
      <c r="D411" s="20"/>
      <c r="E411" s="20"/>
      <c r="F411" s="20"/>
      <c r="G411" s="20"/>
      <c r="H411" s="33" t="s">
        <v>113</v>
      </c>
      <c r="I411" s="33" t="s">
        <v>348</v>
      </c>
      <c r="J411" s="21"/>
      <c r="K411" s="20" t="str">
        <f t="shared" si="1"/>
        <v>ROADS,TRANSPORT AND PUBLIC WORKS</v>
      </c>
      <c r="L411" s="20" t="s">
        <v>107</v>
      </c>
      <c r="M411" s="20" t="str">
        <f t="shared" si="2"/>
        <v>ROADS,TRANSPORT AND PUBLIC WORKS</v>
      </c>
      <c r="N411" s="22" t="s">
        <v>119</v>
      </c>
      <c r="O411" s="22" t="s">
        <v>120</v>
      </c>
      <c r="P411" s="20" t="s">
        <v>121</v>
      </c>
      <c r="Q411" s="20" t="s">
        <v>121</v>
      </c>
      <c r="R411" s="30">
        <v>1714682.0</v>
      </c>
      <c r="S411" s="30">
        <v>1714682.0</v>
      </c>
      <c r="T411" s="30">
        <v>1714682.0</v>
      </c>
      <c r="U411" s="20" t="s">
        <v>71</v>
      </c>
      <c r="V411" s="20"/>
      <c r="W411" s="30">
        <v>1714682.0</v>
      </c>
      <c r="X411" s="20"/>
      <c r="Y411" s="30">
        <v>1714682.0</v>
      </c>
      <c r="Z411" s="24">
        <f t="shared" si="3"/>
        <v>1</v>
      </c>
      <c r="AA411" s="23">
        <f t="shared" si="5"/>
        <v>1714682</v>
      </c>
      <c r="AB411" s="20"/>
      <c r="AC411" s="25">
        <f t="shared" si="4"/>
        <v>0</v>
      </c>
      <c r="AD411" s="20" t="s">
        <v>72</v>
      </c>
      <c r="AE411" s="20"/>
      <c r="AF411" s="20"/>
      <c r="AG411" s="20"/>
      <c r="AH411" s="20"/>
      <c r="AI411" s="20"/>
      <c r="AJ411" s="20"/>
      <c r="AK411" s="20"/>
      <c r="AL411" s="20"/>
      <c r="AM411" s="20"/>
      <c r="AN411" s="20"/>
      <c r="AO411" s="20"/>
      <c r="AP411" s="20"/>
      <c r="AQ411" s="20"/>
      <c r="AR411" s="20"/>
      <c r="AS411" s="20"/>
      <c r="AT411" s="20"/>
    </row>
    <row r="412">
      <c r="A412" s="20">
        <v>410.0</v>
      </c>
      <c r="B412" s="29" t="s">
        <v>467</v>
      </c>
      <c r="C412" s="30"/>
      <c r="D412" s="20"/>
      <c r="E412" s="20"/>
      <c r="F412" s="20"/>
      <c r="G412" s="20"/>
      <c r="H412" s="33" t="s">
        <v>65</v>
      </c>
      <c r="I412" s="33" t="s">
        <v>66</v>
      </c>
      <c r="J412" s="21"/>
      <c r="K412" s="20" t="str">
        <f t="shared" si="1"/>
        <v>ROADS,TRANSPORT AND PUBLIC WORKS</v>
      </c>
      <c r="L412" s="20" t="s">
        <v>107</v>
      </c>
      <c r="M412" s="20" t="str">
        <f t="shared" si="2"/>
        <v>ROADS,TRANSPORT AND PUBLIC WORKS</v>
      </c>
      <c r="N412" s="22" t="s">
        <v>119</v>
      </c>
      <c r="O412" s="22" t="s">
        <v>120</v>
      </c>
      <c r="P412" s="20" t="s">
        <v>121</v>
      </c>
      <c r="Q412" s="20" t="s">
        <v>121</v>
      </c>
      <c r="R412" s="30">
        <v>1746575.0</v>
      </c>
      <c r="S412" s="30">
        <v>1746575.0</v>
      </c>
      <c r="T412" s="30">
        <v>1746575.0</v>
      </c>
      <c r="U412" s="20" t="s">
        <v>71</v>
      </c>
      <c r="V412" s="20"/>
      <c r="W412" s="30">
        <v>1746575.0</v>
      </c>
      <c r="X412" s="20"/>
      <c r="Y412" s="30">
        <v>1746575.0</v>
      </c>
      <c r="Z412" s="24">
        <f t="shared" si="3"/>
        <v>1</v>
      </c>
      <c r="AA412" s="23">
        <f t="shared" si="5"/>
        <v>1746575</v>
      </c>
      <c r="AB412" s="20"/>
      <c r="AC412" s="25">
        <f t="shared" si="4"/>
        <v>0</v>
      </c>
      <c r="AD412" s="20" t="s">
        <v>72</v>
      </c>
      <c r="AE412" s="20"/>
      <c r="AF412" s="20"/>
      <c r="AG412" s="20"/>
      <c r="AH412" s="20"/>
      <c r="AI412" s="20"/>
      <c r="AJ412" s="20"/>
      <c r="AK412" s="20"/>
      <c r="AL412" s="20"/>
      <c r="AM412" s="20"/>
      <c r="AN412" s="20"/>
      <c r="AO412" s="20"/>
      <c r="AP412" s="20"/>
      <c r="AQ412" s="20"/>
      <c r="AR412" s="20"/>
      <c r="AS412" s="20"/>
      <c r="AT412" s="20"/>
    </row>
    <row r="413">
      <c r="A413" s="20">
        <v>411.0</v>
      </c>
      <c r="B413" s="29" t="s">
        <v>361</v>
      </c>
      <c r="C413" s="30"/>
      <c r="D413" s="20"/>
      <c r="E413" s="20"/>
      <c r="F413" s="20"/>
      <c r="G413" s="20"/>
      <c r="H413" s="33" t="s">
        <v>160</v>
      </c>
      <c r="I413" s="33" t="s">
        <v>207</v>
      </c>
      <c r="J413" s="21"/>
      <c r="K413" s="20" t="str">
        <f t="shared" si="1"/>
        <v>ROADS,TRANSPORT AND PUBLIC WORKS</v>
      </c>
      <c r="L413" s="20" t="s">
        <v>107</v>
      </c>
      <c r="M413" s="20" t="str">
        <f t="shared" si="2"/>
        <v>ROADS,TRANSPORT AND PUBLIC WORKS</v>
      </c>
      <c r="N413" s="22" t="s">
        <v>119</v>
      </c>
      <c r="O413" s="22" t="s">
        <v>120</v>
      </c>
      <c r="P413" s="20" t="s">
        <v>121</v>
      </c>
      <c r="Q413" s="20" t="s">
        <v>121</v>
      </c>
      <c r="R413" s="30">
        <v>3246387.0</v>
      </c>
      <c r="S413" s="30">
        <v>3246387.0</v>
      </c>
      <c r="T413" s="30">
        <v>3246387.0</v>
      </c>
      <c r="U413" s="20" t="s">
        <v>71</v>
      </c>
      <c r="V413" s="20"/>
      <c r="W413" s="30">
        <v>3246387.0</v>
      </c>
      <c r="X413" s="20"/>
      <c r="Y413" s="30">
        <v>3246387.0</v>
      </c>
      <c r="Z413" s="24">
        <f t="shared" si="3"/>
        <v>1</v>
      </c>
      <c r="AA413" s="23">
        <f t="shared" si="5"/>
        <v>3246387</v>
      </c>
      <c r="AB413" s="20"/>
      <c r="AC413" s="25">
        <f t="shared" si="4"/>
        <v>0</v>
      </c>
      <c r="AD413" s="20" t="s">
        <v>72</v>
      </c>
      <c r="AE413" s="20"/>
      <c r="AF413" s="20"/>
      <c r="AG413" s="20"/>
      <c r="AH413" s="20"/>
      <c r="AI413" s="20"/>
      <c r="AJ413" s="20"/>
      <c r="AK413" s="20"/>
      <c r="AL413" s="20"/>
      <c r="AM413" s="20"/>
      <c r="AN413" s="20"/>
      <c r="AO413" s="20"/>
      <c r="AP413" s="20"/>
      <c r="AQ413" s="20"/>
      <c r="AR413" s="20"/>
      <c r="AS413" s="20"/>
      <c r="AT413" s="20"/>
    </row>
    <row r="414">
      <c r="A414" s="20">
        <v>412.0</v>
      </c>
      <c r="B414" s="29" t="s">
        <v>468</v>
      </c>
      <c r="C414" s="30"/>
      <c r="D414" s="20"/>
      <c r="E414" s="20"/>
      <c r="F414" s="20"/>
      <c r="G414" s="20"/>
      <c r="H414" s="33" t="s">
        <v>104</v>
      </c>
      <c r="I414" s="33" t="s">
        <v>165</v>
      </c>
      <c r="J414" s="21"/>
      <c r="K414" s="20" t="str">
        <f t="shared" si="1"/>
        <v>ROADS,TRANSPORT AND PUBLIC WORKS</v>
      </c>
      <c r="L414" s="20" t="s">
        <v>107</v>
      </c>
      <c r="M414" s="20" t="str">
        <f t="shared" si="2"/>
        <v>ROADS,TRANSPORT AND PUBLIC WORKS</v>
      </c>
      <c r="N414" s="22" t="s">
        <v>119</v>
      </c>
      <c r="O414" s="22" t="s">
        <v>120</v>
      </c>
      <c r="P414" s="20" t="s">
        <v>121</v>
      </c>
      <c r="Q414" s="20" t="s">
        <v>121</v>
      </c>
      <c r="R414" s="30">
        <v>3308385.0</v>
      </c>
      <c r="S414" s="30">
        <v>3308385.0</v>
      </c>
      <c r="T414" s="30">
        <v>3308385.0</v>
      </c>
      <c r="U414" s="20" t="s">
        <v>71</v>
      </c>
      <c r="V414" s="20"/>
      <c r="W414" s="30">
        <v>3308385.0</v>
      </c>
      <c r="X414" s="20"/>
      <c r="Y414" s="30">
        <v>3308385.0</v>
      </c>
      <c r="Z414" s="24">
        <f t="shared" si="3"/>
        <v>1</v>
      </c>
      <c r="AA414" s="23">
        <f t="shared" si="5"/>
        <v>3308385</v>
      </c>
      <c r="AB414" s="20"/>
      <c r="AC414" s="25">
        <f t="shared" si="4"/>
        <v>0</v>
      </c>
      <c r="AD414" s="20" t="s">
        <v>72</v>
      </c>
      <c r="AE414" s="20"/>
      <c r="AF414" s="20"/>
      <c r="AG414" s="20"/>
      <c r="AH414" s="20"/>
      <c r="AI414" s="20"/>
      <c r="AJ414" s="20"/>
      <c r="AK414" s="20"/>
      <c r="AL414" s="20"/>
      <c r="AM414" s="20"/>
      <c r="AN414" s="20"/>
      <c r="AO414" s="20"/>
      <c r="AP414" s="20"/>
      <c r="AQ414" s="20"/>
      <c r="AR414" s="20"/>
      <c r="AS414" s="20"/>
      <c r="AT414" s="20"/>
    </row>
    <row r="415">
      <c r="A415" s="20">
        <v>413.0</v>
      </c>
      <c r="B415" s="29" t="s">
        <v>469</v>
      </c>
      <c r="C415" s="30"/>
      <c r="D415" s="20"/>
      <c r="E415" s="20"/>
      <c r="F415" s="20"/>
      <c r="G415" s="20"/>
      <c r="H415" s="33" t="s">
        <v>65</v>
      </c>
      <c r="I415" s="33" t="s">
        <v>66</v>
      </c>
      <c r="J415" s="21"/>
      <c r="K415" s="20" t="str">
        <f t="shared" si="1"/>
        <v>Health services</v>
      </c>
      <c r="L415" s="20" t="s">
        <v>67</v>
      </c>
      <c r="M415" s="20" t="str">
        <f t="shared" si="2"/>
        <v>Health services</v>
      </c>
      <c r="N415" s="22" t="s">
        <v>119</v>
      </c>
      <c r="O415" s="22" t="s">
        <v>120</v>
      </c>
      <c r="P415" s="20" t="s">
        <v>121</v>
      </c>
      <c r="Q415" s="20" t="s">
        <v>121</v>
      </c>
      <c r="R415" s="30">
        <v>3129344.0</v>
      </c>
      <c r="S415" s="30">
        <v>3129344.0</v>
      </c>
      <c r="T415" s="30">
        <v>3129344.0</v>
      </c>
      <c r="U415" s="20" t="s">
        <v>71</v>
      </c>
      <c r="V415" s="20"/>
      <c r="W415" s="30">
        <v>3129344.0</v>
      </c>
      <c r="X415" s="20"/>
      <c r="Y415" s="30">
        <v>3129344.0</v>
      </c>
      <c r="Z415" s="24">
        <f t="shared" si="3"/>
        <v>1</v>
      </c>
      <c r="AA415" s="23">
        <f t="shared" si="5"/>
        <v>3129344</v>
      </c>
      <c r="AB415" s="20"/>
      <c r="AC415" s="25">
        <f t="shared" si="4"/>
        <v>0</v>
      </c>
      <c r="AD415" s="20" t="s">
        <v>72</v>
      </c>
      <c r="AE415" s="20"/>
      <c r="AF415" s="20"/>
      <c r="AG415" s="20"/>
      <c r="AH415" s="20"/>
      <c r="AI415" s="20"/>
      <c r="AJ415" s="20"/>
      <c r="AK415" s="20"/>
      <c r="AL415" s="20"/>
      <c r="AM415" s="20"/>
      <c r="AN415" s="20"/>
      <c r="AO415" s="20"/>
      <c r="AP415" s="20"/>
      <c r="AQ415" s="20"/>
      <c r="AR415" s="20"/>
      <c r="AS415" s="20"/>
      <c r="AT415" s="20"/>
    </row>
    <row r="416">
      <c r="A416" s="20">
        <v>414.0</v>
      </c>
      <c r="B416" s="29" t="s">
        <v>470</v>
      </c>
      <c r="C416" s="30"/>
      <c r="D416" s="20"/>
      <c r="E416" s="20"/>
      <c r="F416" s="20"/>
      <c r="G416" s="20"/>
      <c r="H416" s="33" t="s">
        <v>113</v>
      </c>
      <c r="I416" s="33" t="s">
        <v>114</v>
      </c>
      <c r="J416" s="21"/>
      <c r="K416" s="20" t="str">
        <f t="shared" si="1"/>
        <v>WATER,ENVIRONMENT,CLIMATE CHANGE AND NATURAL RESOURCES</v>
      </c>
      <c r="L416" s="20" t="s">
        <v>75</v>
      </c>
      <c r="M416" s="20" t="str">
        <f t="shared" si="2"/>
        <v>WATER,ENVIRONMENT,CLIMATE CHANGE AND NATURAL RESOURCES</v>
      </c>
      <c r="N416" s="22" t="s">
        <v>119</v>
      </c>
      <c r="O416" s="22" t="s">
        <v>120</v>
      </c>
      <c r="P416" s="20" t="s">
        <v>121</v>
      </c>
      <c r="Q416" s="20" t="s">
        <v>121</v>
      </c>
      <c r="R416" s="30">
        <v>4235695.0</v>
      </c>
      <c r="S416" s="30">
        <v>4235695.0</v>
      </c>
      <c r="T416" s="30">
        <v>4235695.0</v>
      </c>
      <c r="U416" s="20" t="s">
        <v>71</v>
      </c>
      <c r="V416" s="20"/>
      <c r="W416" s="30">
        <v>4235695.0</v>
      </c>
      <c r="X416" s="20"/>
      <c r="Y416" s="30">
        <v>4235695.0</v>
      </c>
      <c r="Z416" s="24">
        <f t="shared" si="3"/>
        <v>1</v>
      </c>
      <c r="AA416" s="23">
        <f t="shared" si="5"/>
        <v>4235695</v>
      </c>
      <c r="AB416" s="20"/>
      <c r="AC416" s="25">
        <f t="shared" si="4"/>
        <v>0</v>
      </c>
      <c r="AD416" s="20" t="s">
        <v>72</v>
      </c>
      <c r="AE416" s="20"/>
      <c r="AF416" s="20"/>
      <c r="AG416" s="20"/>
      <c r="AH416" s="20"/>
      <c r="AI416" s="20"/>
      <c r="AJ416" s="20"/>
      <c r="AK416" s="20"/>
      <c r="AL416" s="20"/>
      <c r="AM416" s="20"/>
      <c r="AN416" s="20"/>
      <c r="AO416" s="20"/>
      <c r="AP416" s="20"/>
      <c r="AQ416" s="20"/>
      <c r="AR416" s="20"/>
      <c r="AS416" s="20"/>
      <c r="AT416" s="20"/>
    </row>
    <row r="417">
      <c r="A417" s="20">
        <v>415.0</v>
      </c>
      <c r="B417" s="29" t="s">
        <v>471</v>
      </c>
      <c r="C417" s="30"/>
      <c r="D417" s="20"/>
      <c r="E417" s="20"/>
      <c r="F417" s="20"/>
      <c r="G417" s="20"/>
      <c r="H417" s="33" t="s">
        <v>65</v>
      </c>
      <c r="I417" s="33" t="s">
        <v>66</v>
      </c>
      <c r="J417" s="21"/>
      <c r="K417" s="20" t="str">
        <f t="shared" si="1"/>
        <v>WATER,ENVIRONMENT,CLIMATE CHANGE AND NATURAL RESOURCES</v>
      </c>
      <c r="L417" s="20" t="s">
        <v>75</v>
      </c>
      <c r="M417" s="20" t="str">
        <f t="shared" si="2"/>
        <v>WATER,ENVIRONMENT,CLIMATE CHANGE AND NATURAL RESOURCES</v>
      </c>
      <c r="N417" s="22" t="s">
        <v>119</v>
      </c>
      <c r="O417" s="22" t="s">
        <v>120</v>
      </c>
      <c r="P417" s="20" t="s">
        <v>121</v>
      </c>
      <c r="Q417" s="20" t="s">
        <v>121</v>
      </c>
      <c r="R417" s="30">
        <v>4047000.0</v>
      </c>
      <c r="S417" s="30">
        <v>4047000.0</v>
      </c>
      <c r="T417" s="30">
        <v>4047000.0</v>
      </c>
      <c r="U417" s="20" t="s">
        <v>71</v>
      </c>
      <c r="V417" s="20"/>
      <c r="W417" s="30">
        <v>4047000.0</v>
      </c>
      <c r="X417" s="20"/>
      <c r="Y417" s="30">
        <v>4047000.0</v>
      </c>
      <c r="Z417" s="24">
        <f t="shared" si="3"/>
        <v>1</v>
      </c>
      <c r="AA417" s="23">
        <f t="shared" si="5"/>
        <v>4047000</v>
      </c>
      <c r="AB417" s="20"/>
      <c r="AC417" s="25">
        <f t="shared" si="4"/>
        <v>0</v>
      </c>
      <c r="AD417" s="20" t="s">
        <v>72</v>
      </c>
      <c r="AE417" s="20"/>
      <c r="AF417" s="20"/>
      <c r="AG417" s="20"/>
      <c r="AH417" s="20"/>
      <c r="AI417" s="20"/>
      <c r="AJ417" s="20"/>
      <c r="AK417" s="20"/>
      <c r="AL417" s="20"/>
      <c r="AM417" s="20"/>
      <c r="AN417" s="20"/>
      <c r="AO417" s="20"/>
      <c r="AP417" s="20"/>
      <c r="AQ417" s="20"/>
      <c r="AR417" s="20"/>
      <c r="AS417" s="20"/>
      <c r="AT417" s="20"/>
    </row>
    <row r="418">
      <c r="A418" s="20">
        <v>416.0</v>
      </c>
      <c r="B418" s="29" t="s">
        <v>472</v>
      </c>
      <c r="C418" s="30"/>
      <c r="D418" s="20"/>
      <c r="E418" s="20"/>
      <c r="F418" s="20"/>
      <c r="G418" s="20"/>
      <c r="H418" s="33" t="s">
        <v>65</v>
      </c>
      <c r="I418" s="33" t="s">
        <v>66</v>
      </c>
      <c r="J418" s="21"/>
      <c r="K418" s="20" t="str">
        <f t="shared" si="1"/>
        <v>ROADS,TRANSPORT AND PUBLIC WORKS</v>
      </c>
      <c r="L418" s="20" t="s">
        <v>107</v>
      </c>
      <c r="M418" s="20" t="str">
        <f t="shared" si="2"/>
        <v>ROADS,TRANSPORT AND PUBLIC WORKS</v>
      </c>
      <c r="N418" s="22" t="s">
        <v>119</v>
      </c>
      <c r="O418" s="22" t="s">
        <v>120</v>
      </c>
      <c r="P418" s="20" t="s">
        <v>121</v>
      </c>
      <c r="Q418" s="20" t="s">
        <v>121</v>
      </c>
      <c r="R418" s="30">
        <v>367689.0</v>
      </c>
      <c r="S418" s="30">
        <v>367689.0</v>
      </c>
      <c r="T418" s="30">
        <v>367689.0</v>
      </c>
      <c r="U418" s="20" t="s">
        <v>71</v>
      </c>
      <c r="V418" s="20"/>
      <c r="W418" s="30">
        <v>367689.0</v>
      </c>
      <c r="X418" s="20"/>
      <c r="Y418" s="30">
        <v>367689.0</v>
      </c>
      <c r="Z418" s="24">
        <f t="shared" si="3"/>
        <v>1</v>
      </c>
      <c r="AA418" s="23">
        <f t="shared" si="5"/>
        <v>367689</v>
      </c>
      <c r="AB418" s="20"/>
      <c r="AC418" s="25">
        <f t="shared" si="4"/>
        <v>0</v>
      </c>
      <c r="AD418" s="20" t="s">
        <v>72</v>
      </c>
      <c r="AE418" s="20"/>
      <c r="AF418" s="20"/>
      <c r="AG418" s="20"/>
      <c r="AH418" s="20"/>
      <c r="AI418" s="20"/>
      <c r="AJ418" s="20"/>
      <c r="AK418" s="20"/>
      <c r="AL418" s="20"/>
      <c r="AM418" s="20"/>
      <c r="AN418" s="20"/>
      <c r="AO418" s="20"/>
      <c r="AP418" s="20"/>
      <c r="AQ418" s="20"/>
      <c r="AR418" s="20"/>
      <c r="AS418" s="20"/>
      <c r="AT418" s="20"/>
    </row>
    <row r="419">
      <c r="A419" s="20">
        <v>417.0</v>
      </c>
      <c r="B419" s="29" t="s">
        <v>473</v>
      </c>
      <c r="C419" s="30"/>
      <c r="D419" s="20"/>
      <c r="E419" s="20"/>
      <c r="F419" s="20"/>
      <c r="G419" s="20"/>
      <c r="H419" s="33" t="s">
        <v>65</v>
      </c>
      <c r="I419" s="33" t="s">
        <v>66</v>
      </c>
      <c r="J419" s="21"/>
      <c r="K419" s="20" t="str">
        <f t="shared" si="1"/>
        <v>WATER,ENVIRONMENT,CLIMATE CHANGE AND NATURAL RESOURCES</v>
      </c>
      <c r="L419" s="20" t="s">
        <v>75</v>
      </c>
      <c r="M419" s="20" t="str">
        <f t="shared" si="2"/>
        <v>WATER,ENVIRONMENT,CLIMATE CHANGE AND NATURAL RESOURCES</v>
      </c>
      <c r="N419" s="22" t="s">
        <v>119</v>
      </c>
      <c r="O419" s="22" t="s">
        <v>120</v>
      </c>
      <c r="P419" s="20" t="s">
        <v>121</v>
      </c>
      <c r="Q419" s="20" t="s">
        <v>121</v>
      </c>
      <c r="R419" s="30">
        <v>456813.15</v>
      </c>
      <c r="S419" s="30">
        <v>456813.15</v>
      </c>
      <c r="T419" s="30">
        <v>456813.15</v>
      </c>
      <c r="U419" s="20" t="s">
        <v>71</v>
      </c>
      <c r="V419" s="20"/>
      <c r="W419" s="30">
        <v>456813.15</v>
      </c>
      <c r="X419" s="20"/>
      <c r="Y419" s="30">
        <v>456813.15</v>
      </c>
      <c r="Z419" s="24">
        <f t="shared" si="3"/>
        <v>1</v>
      </c>
      <c r="AA419" s="23">
        <f t="shared" si="5"/>
        <v>456813.15</v>
      </c>
      <c r="AB419" s="20"/>
      <c r="AC419" s="25">
        <f t="shared" si="4"/>
        <v>0</v>
      </c>
      <c r="AD419" s="20" t="s">
        <v>72</v>
      </c>
      <c r="AE419" s="20"/>
      <c r="AF419" s="20"/>
      <c r="AG419" s="20"/>
      <c r="AH419" s="20"/>
      <c r="AI419" s="20"/>
      <c r="AJ419" s="20"/>
      <c r="AK419" s="20"/>
      <c r="AL419" s="20"/>
      <c r="AM419" s="20"/>
      <c r="AN419" s="20"/>
      <c r="AO419" s="20"/>
      <c r="AP419" s="20"/>
      <c r="AQ419" s="20"/>
      <c r="AR419" s="20"/>
      <c r="AS419" s="20"/>
      <c r="AT419" s="20"/>
    </row>
    <row r="420">
      <c r="A420" s="20">
        <v>418.0</v>
      </c>
      <c r="B420" s="29" t="s">
        <v>474</v>
      </c>
      <c r="C420" s="30"/>
      <c r="D420" s="20"/>
      <c r="E420" s="20"/>
      <c r="F420" s="20"/>
      <c r="G420" s="20"/>
      <c r="H420" s="33" t="s">
        <v>104</v>
      </c>
      <c r="I420" s="33" t="s">
        <v>104</v>
      </c>
      <c r="J420" s="21"/>
      <c r="K420" s="20" t="str">
        <f t="shared" si="1"/>
        <v>WATER,ENVIRONMENT,CLIMATE CHANGE AND NATURAL RESOURCES</v>
      </c>
      <c r="L420" s="20" t="s">
        <v>75</v>
      </c>
      <c r="M420" s="20" t="str">
        <f t="shared" si="2"/>
        <v>WATER,ENVIRONMENT,CLIMATE CHANGE AND NATURAL RESOURCES</v>
      </c>
      <c r="N420" s="22" t="s">
        <v>119</v>
      </c>
      <c r="O420" s="22" t="s">
        <v>120</v>
      </c>
      <c r="P420" s="20" t="s">
        <v>121</v>
      </c>
      <c r="Q420" s="20" t="s">
        <v>121</v>
      </c>
      <c r="R420" s="30">
        <v>300000.0</v>
      </c>
      <c r="S420" s="30">
        <v>300000.0</v>
      </c>
      <c r="T420" s="30">
        <v>300000.0</v>
      </c>
      <c r="U420" s="20" t="s">
        <v>71</v>
      </c>
      <c r="V420" s="20"/>
      <c r="W420" s="30">
        <v>300000.0</v>
      </c>
      <c r="X420" s="20"/>
      <c r="Y420" s="30">
        <v>300000.0</v>
      </c>
      <c r="Z420" s="24">
        <f t="shared" si="3"/>
        <v>1</v>
      </c>
      <c r="AA420" s="23">
        <f t="shared" si="5"/>
        <v>300000</v>
      </c>
      <c r="AB420" s="20"/>
      <c r="AC420" s="25">
        <f t="shared" si="4"/>
        <v>0</v>
      </c>
      <c r="AD420" s="20" t="s">
        <v>72</v>
      </c>
      <c r="AE420" s="20"/>
      <c r="AF420" s="20"/>
      <c r="AG420" s="20"/>
      <c r="AH420" s="20"/>
      <c r="AI420" s="20"/>
      <c r="AJ420" s="20"/>
      <c r="AK420" s="20"/>
      <c r="AL420" s="20"/>
      <c r="AM420" s="20"/>
      <c r="AN420" s="20"/>
      <c r="AO420" s="20"/>
      <c r="AP420" s="20"/>
      <c r="AQ420" s="20"/>
      <c r="AR420" s="20"/>
      <c r="AS420" s="20"/>
      <c r="AT420" s="20"/>
    </row>
    <row r="421">
      <c r="A421" s="20">
        <v>419.0</v>
      </c>
      <c r="B421" s="29" t="s">
        <v>475</v>
      </c>
      <c r="C421" s="30"/>
      <c r="D421" s="20"/>
      <c r="E421" s="20"/>
      <c r="F421" s="20"/>
      <c r="G421" s="20"/>
      <c r="H421" s="33" t="s">
        <v>65</v>
      </c>
      <c r="I421" s="33" t="s">
        <v>66</v>
      </c>
      <c r="J421" s="21"/>
      <c r="K421" s="20" t="str">
        <f t="shared" si="1"/>
        <v>ROADS,TRANSPORT AND PUBLIC WORKS</v>
      </c>
      <c r="L421" s="20" t="s">
        <v>107</v>
      </c>
      <c r="M421" s="20" t="str">
        <f t="shared" si="2"/>
        <v>ROADS,TRANSPORT AND PUBLIC WORKS</v>
      </c>
      <c r="N421" s="22" t="s">
        <v>119</v>
      </c>
      <c r="O421" s="22" t="s">
        <v>120</v>
      </c>
      <c r="P421" s="20" t="s">
        <v>121</v>
      </c>
      <c r="Q421" s="20" t="s">
        <v>121</v>
      </c>
      <c r="R421" s="30">
        <v>7030000.0</v>
      </c>
      <c r="S421" s="30">
        <v>7030000.0</v>
      </c>
      <c r="T421" s="30">
        <v>7030000.0</v>
      </c>
      <c r="U421" s="20" t="s">
        <v>71</v>
      </c>
      <c r="V421" s="20"/>
      <c r="W421" s="30">
        <v>7030000.0</v>
      </c>
      <c r="X421" s="20"/>
      <c r="Y421" s="30">
        <v>7030000.0</v>
      </c>
      <c r="Z421" s="24">
        <f t="shared" si="3"/>
        <v>1</v>
      </c>
      <c r="AA421" s="23">
        <f t="shared" si="5"/>
        <v>7030000</v>
      </c>
      <c r="AB421" s="20"/>
      <c r="AC421" s="25">
        <f t="shared" si="4"/>
        <v>0</v>
      </c>
      <c r="AD421" s="20" t="s">
        <v>72</v>
      </c>
      <c r="AE421" s="20"/>
      <c r="AF421" s="20"/>
      <c r="AG421" s="20"/>
      <c r="AH421" s="20"/>
      <c r="AI421" s="20"/>
      <c r="AJ421" s="20"/>
      <c r="AK421" s="20"/>
      <c r="AL421" s="20"/>
      <c r="AM421" s="20"/>
      <c r="AN421" s="20"/>
      <c r="AO421" s="20"/>
      <c r="AP421" s="20"/>
      <c r="AQ421" s="20"/>
      <c r="AR421" s="20"/>
      <c r="AS421" s="20"/>
      <c r="AT421" s="20"/>
    </row>
    <row r="422">
      <c r="A422" s="20">
        <v>420.0</v>
      </c>
      <c r="B422" s="29" t="s">
        <v>476</v>
      </c>
      <c r="C422" s="30"/>
      <c r="D422" s="20"/>
      <c r="E422" s="20"/>
      <c r="F422" s="20"/>
      <c r="G422" s="20"/>
      <c r="H422" s="33" t="s">
        <v>160</v>
      </c>
      <c r="I422" s="33" t="s">
        <v>207</v>
      </c>
      <c r="J422" s="21"/>
      <c r="K422" s="20" t="str">
        <f t="shared" si="1"/>
        <v>WATER,ENVIRONMENT,CLIMATE CHANGE AND NATURAL RESOURCES</v>
      </c>
      <c r="L422" s="20" t="s">
        <v>75</v>
      </c>
      <c r="M422" s="20" t="str">
        <f t="shared" si="2"/>
        <v>WATER,ENVIRONMENT,CLIMATE CHANGE AND NATURAL RESOURCES</v>
      </c>
      <c r="N422" s="22" t="s">
        <v>119</v>
      </c>
      <c r="O422" s="22" t="s">
        <v>120</v>
      </c>
      <c r="P422" s="20" t="s">
        <v>121</v>
      </c>
      <c r="Q422" s="20" t="s">
        <v>121</v>
      </c>
      <c r="R422" s="30">
        <v>4262480.9</v>
      </c>
      <c r="S422" s="30">
        <v>4262480.9</v>
      </c>
      <c r="T422" s="30">
        <v>4262480.9</v>
      </c>
      <c r="U422" s="20" t="s">
        <v>71</v>
      </c>
      <c r="V422" s="20"/>
      <c r="W422" s="30">
        <v>4262480.9</v>
      </c>
      <c r="X422" s="20"/>
      <c r="Y422" s="30">
        <v>4262480.9</v>
      </c>
      <c r="Z422" s="24">
        <f t="shared" si="3"/>
        <v>1</v>
      </c>
      <c r="AA422" s="23">
        <f t="shared" si="5"/>
        <v>4262480.9</v>
      </c>
      <c r="AB422" s="20"/>
      <c r="AC422" s="25">
        <f t="shared" si="4"/>
        <v>0</v>
      </c>
      <c r="AD422" s="20" t="s">
        <v>72</v>
      </c>
      <c r="AE422" s="20"/>
      <c r="AF422" s="20"/>
      <c r="AG422" s="20"/>
      <c r="AH422" s="20"/>
      <c r="AI422" s="20"/>
      <c r="AJ422" s="20"/>
      <c r="AK422" s="20"/>
      <c r="AL422" s="20"/>
      <c r="AM422" s="20"/>
      <c r="AN422" s="20"/>
      <c r="AO422" s="20"/>
      <c r="AP422" s="20"/>
      <c r="AQ422" s="20"/>
      <c r="AR422" s="20"/>
      <c r="AS422" s="20"/>
      <c r="AT422" s="20"/>
    </row>
    <row r="423">
      <c r="A423" s="20">
        <v>421.0</v>
      </c>
      <c r="B423" s="29" t="s">
        <v>477</v>
      </c>
      <c r="C423" s="30"/>
      <c r="D423" s="20"/>
      <c r="E423" s="20"/>
      <c r="F423" s="20"/>
      <c r="G423" s="20"/>
      <c r="H423" s="33" t="s">
        <v>65</v>
      </c>
      <c r="I423" s="33" t="s">
        <v>66</v>
      </c>
      <c r="J423" s="21"/>
      <c r="K423" s="20" t="str">
        <f t="shared" si="1"/>
        <v>WATER,ENVIRONMENT,CLIMATE CHANGE AND NATURAL RESOURCES</v>
      </c>
      <c r="L423" s="20" t="s">
        <v>75</v>
      </c>
      <c r="M423" s="20" t="str">
        <f t="shared" si="2"/>
        <v>WATER,ENVIRONMENT,CLIMATE CHANGE AND NATURAL RESOURCES</v>
      </c>
      <c r="N423" s="22" t="s">
        <v>119</v>
      </c>
      <c r="O423" s="22" t="s">
        <v>120</v>
      </c>
      <c r="P423" s="20" t="s">
        <v>121</v>
      </c>
      <c r="Q423" s="20" t="s">
        <v>121</v>
      </c>
      <c r="R423" s="30">
        <v>800000.0</v>
      </c>
      <c r="S423" s="30">
        <v>800000.0</v>
      </c>
      <c r="T423" s="30">
        <v>800000.0</v>
      </c>
      <c r="U423" s="20" t="s">
        <v>71</v>
      </c>
      <c r="V423" s="20"/>
      <c r="W423" s="30">
        <v>800000.0</v>
      </c>
      <c r="X423" s="20"/>
      <c r="Y423" s="30">
        <v>800000.0</v>
      </c>
      <c r="Z423" s="24">
        <f t="shared" si="3"/>
        <v>1</v>
      </c>
      <c r="AA423" s="23">
        <f t="shared" si="5"/>
        <v>800000</v>
      </c>
      <c r="AB423" s="20"/>
      <c r="AC423" s="25">
        <f t="shared" si="4"/>
        <v>0</v>
      </c>
      <c r="AD423" s="20" t="s">
        <v>72</v>
      </c>
      <c r="AE423" s="20"/>
      <c r="AF423" s="20"/>
      <c r="AG423" s="20"/>
      <c r="AH423" s="20"/>
      <c r="AI423" s="20"/>
      <c r="AJ423" s="20"/>
      <c r="AK423" s="20"/>
      <c r="AL423" s="20"/>
      <c r="AM423" s="20"/>
      <c r="AN423" s="20"/>
      <c r="AO423" s="20"/>
      <c r="AP423" s="20"/>
      <c r="AQ423" s="20"/>
      <c r="AR423" s="20"/>
      <c r="AS423" s="20"/>
      <c r="AT423" s="20"/>
    </row>
    <row r="424">
      <c r="A424" s="20">
        <v>422.0</v>
      </c>
      <c r="B424" s="29" t="s">
        <v>478</v>
      </c>
      <c r="C424" s="30"/>
      <c r="D424" s="20"/>
      <c r="E424" s="20"/>
      <c r="F424" s="20"/>
      <c r="G424" s="20"/>
      <c r="H424" s="33" t="s">
        <v>113</v>
      </c>
      <c r="I424" s="33" t="s">
        <v>397</v>
      </c>
      <c r="J424" s="21"/>
      <c r="K424" s="20" t="str">
        <f t="shared" si="1"/>
        <v>EDUCATION,INFORMATION AND ICT</v>
      </c>
      <c r="L424" s="20" t="s">
        <v>84</v>
      </c>
      <c r="M424" s="20" t="str">
        <f t="shared" si="2"/>
        <v>EDUCATION,INFORMATION AND ICT</v>
      </c>
      <c r="N424" s="22" t="s">
        <v>119</v>
      </c>
      <c r="O424" s="22" t="s">
        <v>120</v>
      </c>
      <c r="P424" s="20" t="s">
        <v>121</v>
      </c>
      <c r="Q424" s="20" t="s">
        <v>121</v>
      </c>
      <c r="R424" s="30">
        <v>3306948.0</v>
      </c>
      <c r="S424" s="30">
        <v>3306948.0</v>
      </c>
      <c r="T424" s="30">
        <v>3306948.0</v>
      </c>
      <c r="U424" s="20" t="s">
        <v>71</v>
      </c>
      <c r="V424" s="20"/>
      <c r="W424" s="30">
        <v>3306948.0</v>
      </c>
      <c r="X424" s="20"/>
      <c r="Y424" s="30">
        <v>3306948.0</v>
      </c>
      <c r="Z424" s="24">
        <f t="shared" si="3"/>
        <v>1</v>
      </c>
      <c r="AA424" s="23">
        <f t="shared" si="5"/>
        <v>3306948</v>
      </c>
      <c r="AB424" s="20"/>
      <c r="AC424" s="25">
        <f t="shared" si="4"/>
        <v>0</v>
      </c>
      <c r="AD424" s="20" t="s">
        <v>72</v>
      </c>
      <c r="AE424" s="20"/>
      <c r="AF424" s="20"/>
      <c r="AG424" s="20"/>
      <c r="AH424" s="20"/>
      <c r="AI424" s="20"/>
      <c r="AJ424" s="20"/>
      <c r="AK424" s="20"/>
      <c r="AL424" s="20"/>
      <c r="AM424" s="20"/>
      <c r="AN424" s="20"/>
      <c r="AO424" s="20"/>
      <c r="AP424" s="20"/>
      <c r="AQ424" s="20"/>
      <c r="AR424" s="20"/>
      <c r="AS424" s="20"/>
      <c r="AT424" s="20"/>
    </row>
    <row r="425">
      <c r="A425" s="20">
        <v>423.0</v>
      </c>
      <c r="B425" s="29" t="s">
        <v>479</v>
      </c>
      <c r="C425" s="30"/>
      <c r="D425" s="20"/>
      <c r="E425" s="20"/>
      <c r="F425" s="20"/>
      <c r="G425" s="20"/>
      <c r="H425" s="33" t="s">
        <v>65</v>
      </c>
      <c r="I425" s="33" t="s">
        <v>66</v>
      </c>
      <c r="J425" s="21"/>
      <c r="K425" s="20" t="str">
        <f t="shared" si="1"/>
        <v>WATER,ENVIRONMENT,CLIMATE CHANGE AND NATURAL RESOURCES</v>
      </c>
      <c r="L425" s="20" t="s">
        <v>75</v>
      </c>
      <c r="M425" s="20" t="str">
        <f t="shared" si="2"/>
        <v>WATER,ENVIRONMENT,CLIMATE CHANGE AND NATURAL RESOURCES</v>
      </c>
      <c r="N425" s="22" t="s">
        <v>119</v>
      </c>
      <c r="O425" s="22" t="s">
        <v>120</v>
      </c>
      <c r="P425" s="20" t="s">
        <v>121</v>
      </c>
      <c r="Q425" s="20" t="s">
        <v>121</v>
      </c>
      <c r="R425" s="30">
        <v>3315432.0</v>
      </c>
      <c r="S425" s="30">
        <v>3315432.0</v>
      </c>
      <c r="T425" s="30">
        <v>3315432.0</v>
      </c>
      <c r="U425" s="20" t="s">
        <v>71</v>
      </c>
      <c r="V425" s="20"/>
      <c r="W425" s="30">
        <v>3315432.0</v>
      </c>
      <c r="X425" s="20"/>
      <c r="Y425" s="30">
        <v>3315432.0</v>
      </c>
      <c r="Z425" s="24">
        <f t="shared" si="3"/>
        <v>1</v>
      </c>
      <c r="AA425" s="23">
        <f t="shared" si="5"/>
        <v>3315432</v>
      </c>
      <c r="AB425" s="20"/>
      <c r="AC425" s="25">
        <f t="shared" si="4"/>
        <v>0</v>
      </c>
      <c r="AD425" s="20" t="s">
        <v>72</v>
      </c>
      <c r="AE425" s="20"/>
      <c r="AF425" s="20"/>
      <c r="AG425" s="20"/>
      <c r="AH425" s="20"/>
      <c r="AI425" s="20"/>
      <c r="AJ425" s="20"/>
      <c r="AK425" s="20"/>
      <c r="AL425" s="20"/>
      <c r="AM425" s="20"/>
      <c r="AN425" s="20"/>
      <c r="AO425" s="20"/>
      <c r="AP425" s="20"/>
      <c r="AQ425" s="20"/>
      <c r="AR425" s="20"/>
      <c r="AS425" s="20"/>
      <c r="AT425" s="20"/>
    </row>
    <row r="426">
      <c r="A426" s="20">
        <v>424.0</v>
      </c>
      <c r="B426" s="29" t="s">
        <v>480</v>
      </c>
      <c r="C426" s="30"/>
      <c r="D426" s="20"/>
      <c r="E426" s="20"/>
      <c r="F426" s="20"/>
      <c r="G426" s="20"/>
      <c r="H426" s="33" t="s">
        <v>65</v>
      </c>
      <c r="I426" s="33" t="s">
        <v>66</v>
      </c>
      <c r="J426" s="21"/>
      <c r="K426" s="20" t="str">
        <f t="shared" si="1"/>
        <v>ROADS,TRANSPORT AND PUBLIC WORKS</v>
      </c>
      <c r="L426" s="20" t="s">
        <v>107</v>
      </c>
      <c r="M426" s="20" t="str">
        <f t="shared" si="2"/>
        <v>ROADS,TRANSPORT AND PUBLIC WORKS</v>
      </c>
      <c r="N426" s="22" t="s">
        <v>119</v>
      </c>
      <c r="O426" s="22" t="s">
        <v>120</v>
      </c>
      <c r="P426" s="20" t="s">
        <v>121</v>
      </c>
      <c r="Q426" s="20" t="s">
        <v>121</v>
      </c>
      <c r="R426" s="30">
        <v>5225000.0</v>
      </c>
      <c r="S426" s="30">
        <v>5225000.0</v>
      </c>
      <c r="T426" s="30">
        <v>5225000.0</v>
      </c>
      <c r="U426" s="20" t="s">
        <v>71</v>
      </c>
      <c r="V426" s="20"/>
      <c r="W426" s="30">
        <v>5225000.0</v>
      </c>
      <c r="X426" s="20"/>
      <c r="Y426" s="30">
        <v>5225000.0</v>
      </c>
      <c r="Z426" s="24">
        <f t="shared" si="3"/>
        <v>1</v>
      </c>
      <c r="AA426" s="23">
        <f t="shared" si="5"/>
        <v>5225000</v>
      </c>
      <c r="AB426" s="20"/>
      <c r="AC426" s="25">
        <f t="shared" si="4"/>
        <v>0</v>
      </c>
      <c r="AD426" s="20" t="s">
        <v>72</v>
      </c>
      <c r="AE426" s="20"/>
      <c r="AF426" s="20"/>
      <c r="AG426" s="20"/>
      <c r="AH426" s="20"/>
      <c r="AI426" s="20"/>
      <c r="AJ426" s="20"/>
      <c r="AK426" s="20"/>
      <c r="AL426" s="20"/>
      <c r="AM426" s="20"/>
      <c r="AN426" s="20"/>
      <c r="AO426" s="20"/>
      <c r="AP426" s="20"/>
      <c r="AQ426" s="20"/>
      <c r="AR426" s="20"/>
      <c r="AS426" s="20"/>
      <c r="AT426" s="20"/>
    </row>
    <row r="427">
      <c r="A427" s="20">
        <v>425.0</v>
      </c>
      <c r="B427" s="29" t="s">
        <v>434</v>
      </c>
      <c r="C427" s="30"/>
      <c r="D427" s="20"/>
      <c r="E427" s="20"/>
      <c r="F427" s="20"/>
      <c r="G427" s="20"/>
      <c r="H427" s="33" t="s">
        <v>65</v>
      </c>
      <c r="I427" s="33" t="s">
        <v>66</v>
      </c>
      <c r="J427" s="21"/>
      <c r="K427" s="20" t="str">
        <f t="shared" si="1"/>
        <v>WATER,ENVIRONMENT,CLIMATE CHANGE AND NATURAL RESOURCES</v>
      </c>
      <c r="L427" s="20" t="s">
        <v>75</v>
      </c>
      <c r="M427" s="20" t="str">
        <f t="shared" si="2"/>
        <v>WATER,ENVIRONMENT,CLIMATE CHANGE AND NATURAL RESOURCES</v>
      </c>
      <c r="N427" s="22" t="s">
        <v>119</v>
      </c>
      <c r="O427" s="22" t="s">
        <v>120</v>
      </c>
      <c r="P427" s="20" t="s">
        <v>121</v>
      </c>
      <c r="Q427" s="20" t="s">
        <v>121</v>
      </c>
      <c r="R427" s="30">
        <v>4735636.0</v>
      </c>
      <c r="S427" s="30">
        <v>4735636.0</v>
      </c>
      <c r="T427" s="30">
        <v>4735636.0</v>
      </c>
      <c r="U427" s="20" t="s">
        <v>71</v>
      </c>
      <c r="V427" s="20"/>
      <c r="W427" s="30">
        <v>4735636.0</v>
      </c>
      <c r="X427" s="20"/>
      <c r="Y427" s="30">
        <v>4735636.0</v>
      </c>
      <c r="Z427" s="24">
        <f t="shared" si="3"/>
        <v>1</v>
      </c>
      <c r="AA427" s="23">
        <f t="shared" si="5"/>
        <v>4735636</v>
      </c>
      <c r="AB427" s="20"/>
      <c r="AC427" s="25">
        <f t="shared" si="4"/>
        <v>0</v>
      </c>
      <c r="AD427" s="20" t="s">
        <v>72</v>
      </c>
      <c r="AE427" s="20"/>
      <c r="AF427" s="20"/>
      <c r="AG427" s="20"/>
      <c r="AH427" s="20"/>
      <c r="AI427" s="20"/>
      <c r="AJ427" s="20"/>
      <c r="AK427" s="20"/>
      <c r="AL427" s="20"/>
      <c r="AM427" s="20"/>
      <c r="AN427" s="20"/>
      <c r="AO427" s="20"/>
      <c r="AP427" s="20"/>
      <c r="AQ427" s="20"/>
      <c r="AR427" s="20"/>
      <c r="AS427" s="20"/>
      <c r="AT427" s="20"/>
    </row>
    <row r="428">
      <c r="A428" s="20">
        <v>426.0</v>
      </c>
      <c r="B428" s="29" t="s">
        <v>481</v>
      </c>
      <c r="C428" s="30"/>
      <c r="D428" s="20"/>
      <c r="E428" s="20"/>
      <c r="F428" s="20"/>
      <c r="G428" s="20"/>
      <c r="H428" s="33" t="s">
        <v>104</v>
      </c>
      <c r="I428" s="33" t="s">
        <v>104</v>
      </c>
      <c r="J428" s="21"/>
      <c r="K428" s="20" t="str">
        <f t="shared" si="1"/>
        <v>EDUCATION,INFORMATION AND ICT</v>
      </c>
      <c r="L428" s="20" t="s">
        <v>84</v>
      </c>
      <c r="M428" s="20" t="str">
        <f t="shared" si="2"/>
        <v>EDUCATION,INFORMATION AND ICT</v>
      </c>
      <c r="N428" s="22" t="s">
        <v>119</v>
      </c>
      <c r="O428" s="22" t="s">
        <v>120</v>
      </c>
      <c r="P428" s="20" t="s">
        <v>121</v>
      </c>
      <c r="Q428" s="20" t="s">
        <v>121</v>
      </c>
      <c r="R428" s="30">
        <v>843662.0</v>
      </c>
      <c r="S428" s="30">
        <v>843662.0</v>
      </c>
      <c r="T428" s="30">
        <v>843662.0</v>
      </c>
      <c r="U428" s="20" t="s">
        <v>71</v>
      </c>
      <c r="V428" s="20"/>
      <c r="W428" s="30">
        <v>843662.0</v>
      </c>
      <c r="X428" s="20"/>
      <c r="Y428" s="30">
        <v>843662.0</v>
      </c>
      <c r="Z428" s="24">
        <f t="shared" si="3"/>
        <v>1</v>
      </c>
      <c r="AA428" s="23">
        <f t="shared" si="5"/>
        <v>843662</v>
      </c>
      <c r="AB428" s="20"/>
      <c r="AC428" s="25">
        <f t="shared" si="4"/>
        <v>0</v>
      </c>
      <c r="AD428" s="20" t="s">
        <v>72</v>
      </c>
      <c r="AE428" s="20"/>
      <c r="AF428" s="20"/>
      <c r="AG428" s="20"/>
      <c r="AH428" s="20"/>
      <c r="AI428" s="20"/>
      <c r="AJ428" s="20"/>
      <c r="AK428" s="20"/>
      <c r="AL428" s="20"/>
      <c r="AM428" s="20"/>
      <c r="AN428" s="20"/>
      <c r="AO428" s="20"/>
      <c r="AP428" s="20"/>
      <c r="AQ428" s="20"/>
      <c r="AR428" s="20"/>
      <c r="AS428" s="20"/>
      <c r="AT428" s="20"/>
    </row>
    <row r="429">
      <c r="A429" s="20">
        <v>427.0</v>
      </c>
      <c r="B429" s="29" t="s">
        <v>482</v>
      </c>
      <c r="C429" s="30"/>
      <c r="D429" s="20"/>
      <c r="E429" s="20"/>
      <c r="F429" s="20"/>
      <c r="G429" s="20"/>
      <c r="H429" s="33" t="s">
        <v>65</v>
      </c>
      <c r="I429" s="33" t="s">
        <v>66</v>
      </c>
      <c r="J429" s="21"/>
      <c r="K429" s="20" t="str">
        <f t="shared" si="1"/>
        <v>ROADS,TRANSPORT AND PUBLIC WORKS</v>
      </c>
      <c r="L429" s="20" t="s">
        <v>107</v>
      </c>
      <c r="M429" s="20" t="str">
        <f t="shared" si="2"/>
        <v>ROADS,TRANSPORT AND PUBLIC WORKS</v>
      </c>
      <c r="N429" s="22" t="s">
        <v>119</v>
      </c>
      <c r="O429" s="22" t="s">
        <v>120</v>
      </c>
      <c r="P429" s="20" t="s">
        <v>121</v>
      </c>
      <c r="Q429" s="20" t="s">
        <v>121</v>
      </c>
      <c r="R429" s="30">
        <v>1449755.0</v>
      </c>
      <c r="S429" s="30">
        <v>1449755.0</v>
      </c>
      <c r="T429" s="30">
        <v>1449755.0</v>
      </c>
      <c r="U429" s="20" t="s">
        <v>71</v>
      </c>
      <c r="V429" s="20"/>
      <c r="W429" s="30">
        <v>1449755.0</v>
      </c>
      <c r="X429" s="20"/>
      <c r="Y429" s="30">
        <v>1449755.0</v>
      </c>
      <c r="Z429" s="24">
        <f t="shared" si="3"/>
        <v>1</v>
      </c>
      <c r="AA429" s="23">
        <f t="shared" si="5"/>
        <v>1449755</v>
      </c>
      <c r="AB429" s="20"/>
      <c r="AC429" s="25">
        <f t="shared" si="4"/>
        <v>0</v>
      </c>
      <c r="AD429" s="20" t="s">
        <v>72</v>
      </c>
      <c r="AE429" s="20"/>
      <c r="AF429" s="20"/>
      <c r="AG429" s="20"/>
      <c r="AH429" s="20"/>
      <c r="AI429" s="20"/>
      <c r="AJ429" s="20"/>
      <c r="AK429" s="20"/>
      <c r="AL429" s="20"/>
      <c r="AM429" s="20"/>
      <c r="AN429" s="20"/>
      <c r="AO429" s="20"/>
      <c r="AP429" s="20"/>
      <c r="AQ429" s="20"/>
      <c r="AR429" s="20"/>
      <c r="AS429" s="20"/>
      <c r="AT429" s="20"/>
    </row>
    <row r="430">
      <c r="A430" s="20">
        <v>428.0</v>
      </c>
      <c r="B430" s="29" t="s">
        <v>483</v>
      </c>
      <c r="C430" s="30"/>
      <c r="D430" s="20"/>
      <c r="E430" s="20"/>
      <c r="F430" s="20"/>
      <c r="G430" s="20"/>
      <c r="H430" s="33" t="s">
        <v>65</v>
      </c>
      <c r="I430" s="33" t="s">
        <v>66</v>
      </c>
      <c r="J430" s="21"/>
      <c r="K430" s="20" t="str">
        <f t="shared" si="1"/>
        <v>WATER,ENVIRONMENT,CLIMATE CHANGE AND NATURAL RESOURCES</v>
      </c>
      <c r="L430" s="20" t="s">
        <v>75</v>
      </c>
      <c r="M430" s="20" t="str">
        <f t="shared" si="2"/>
        <v>WATER,ENVIRONMENT,CLIMATE CHANGE AND NATURAL RESOURCES</v>
      </c>
      <c r="N430" s="22" t="s">
        <v>119</v>
      </c>
      <c r="O430" s="22" t="s">
        <v>120</v>
      </c>
      <c r="P430" s="20" t="s">
        <v>121</v>
      </c>
      <c r="Q430" s="20" t="s">
        <v>121</v>
      </c>
      <c r="R430" s="30">
        <v>4750500.0</v>
      </c>
      <c r="S430" s="30">
        <v>4750500.0</v>
      </c>
      <c r="T430" s="30">
        <v>4750500.0</v>
      </c>
      <c r="U430" s="20" t="s">
        <v>71</v>
      </c>
      <c r="V430" s="20"/>
      <c r="W430" s="30">
        <v>4750500.0</v>
      </c>
      <c r="X430" s="20"/>
      <c r="Y430" s="30">
        <v>4750500.0</v>
      </c>
      <c r="Z430" s="24">
        <f t="shared" si="3"/>
        <v>1</v>
      </c>
      <c r="AA430" s="23">
        <f t="shared" si="5"/>
        <v>4750500</v>
      </c>
      <c r="AB430" s="20"/>
      <c r="AC430" s="25">
        <f t="shared" si="4"/>
        <v>0</v>
      </c>
      <c r="AD430" s="20" t="s">
        <v>72</v>
      </c>
      <c r="AE430" s="20"/>
      <c r="AF430" s="20"/>
      <c r="AG430" s="20"/>
      <c r="AH430" s="20"/>
      <c r="AI430" s="20"/>
      <c r="AJ430" s="20"/>
      <c r="AK430" s="20"/>
      <c r="AL430" s="20"/>
      <c r="AM430" s="20"/>
      <c r="AN430" s="20"/>
      <c r="AO430" s="20"/>
      <c r="AP430" s="20"/>
      <c r="AQ430" s="20"/>
      <c r="AR430" s="20"/>
      <c r="AS430" s="20"/>
      <c r="AT430" s="20"/>
    </row>
    <row r="431">
      <c r="A431" s="20">
        <v>429.0</v>
      </c>
      <c r="B431" s="29" t="s">
        <v>484</v>
      </c>
      <c r="C431" s="30"/>
      <c r="D431" s="20"/>
      <c r="E431" s="20"/>
      <c r="F431" s="20"/>
      <c r="G431" s="20"/>
      <c r="H431" s="33" t="s">
        <v>65</v>
      </c>
      <c r="I431" s="33" t="s">
        <v>66</v>
      </c>
      <c r="J431" s="21"/>
      <c r="K431" s="20" t="str">
        <f t="shared" si="1"/>
        <v>WATER,ENVIRONMENT,CLIMATE CHANGE AND NATURAL RESOURCES</v>
      </c>
      <c r="L431" s="20" t="s">
        <v>75</v>
      </c>
      <c r="M431" s="20" t="str">
        <f t="shared" si="2"/>
        <v>WATER,ENVIRONMENT,CLIMATE CHANGE AND NATURAL RESOURCES</v>
      </c>
      <c r="N431" s="22" t="s">
        <v>119</v>
      </c>
      <c r="O431" s="22" t="s">
        <v>120</v>
      </c>
      <c r="P431" s="20" t="s">
        <v>121</v>
      </c>
      <c r="Q431" s="20" t="s">
        <v>121</v>
      </c>
      <c r="R431" s="30">
        <v>4845220.0</v>
      </c>
      <c r="S431" s="30">
        <v>4845220.0</v>
      </c>
      <c r="T431" s="30">
        <v>4845220.0</v>
      </c>
      <c r="U431" s="20" t="s">
        <v>71</v>
      </c>
      <c r="V431" s="20"/>
      <c r="W431" s="30">
        <v>4845220.0</v>
      </c>
      <c r="X431" s="20"/>
      <c r="Y431" s="30">
        <v>4845220.0</v>
      </c>
      <c r="Z431" s="24">
        <f t="shared" si="3"/>
        <v>1</v>
      </c>
      <c r="AA431" s="23">
        <f t="shared" si="5"/>
        <v>4845220</v>
      </c>
      <c r="AB431" s="20"/>
      <c r="AC431" s="25">
        <f t="shared" si="4"/>
        <v>0</v>
      </c>
      <c r="AD431" s="20" t="s">
        <v>72</v>
      </c>
      <c r="AE431" s="20"/>
      <c r="AF431" s="20"/>
      <c r="AG431" s="20"/>
      <c r="AH431" s="20"/>
      <c r="AI431" s="20"/>
      <c r="AJ431" s="20"/>
      <c r="AK431" s="20"/>
      <c r="AL431" s="20"/>
      <c r="AM431" s="20"/>
      <c r="AN431" s="20"/>
      <c r="AO431" s="20"/>
      <c r="AP431" s="20"/>
      <c r="AQ431" s="20"/>
      <c r="AR431" s="20"/>
      <c r="AS431" s="20"/>
      <c r="AT431" s="20"/>
    </row>
    <row r="432">
      <c r="A432" s="20">
        <v>430.0</v>
      </c>
      <c r="B432" s="29" t="s">
        <v>485</v>
      </c>
      <c r="C432" s="30"/>
      <c r="D432" s="20"/>
      <c r="E432" s="20"/>
      <c r="F432" s="20"/>
      <c r="G432" s="20"/>
      <c r="H432" s="33" t="s">
        <v>65</v>
      </c>
      <c r="I432" s="33" t="s">
        <v>66</v>
      </c>
      <c r="J432" s="21"/>
      <c r="K432" s="20" t="str">
        <f t="shared" si="1"/>
        <v>WATER,ENVIRONMENT,CLIMATE CHANGE AND NATURAL RESOURCES</v>
      </c>
      <c r="L432" s="20" t="s">
        <v>75</v>
      </c>
      <c r="M432" s="20" t="str">
        <f t="shared" si="2"/>
        <v>WATER,ENVIRONMENT,CLIMATE CHANGE AND NATURAL RESOURCES</v>
      </c>
      <c r="N432" s="22" t="s">
        <v>119</v>
      </c>
      <c r="O432" s="22" t="s">
        <v>120</v>
      </c>
      <c r="P432" s="20" t="s">
        <v>121</v>
      </c>
      <c r="Q432" s="20" t="s">
        <v>121</v>
      </c>
      <c r="R432" s="30">
        <v>4926300.0</v>
      </c>
      <c r="S432" s="30">
        <v>4926300.0</v>
      </c>
      <c r="T432" s="30">
        <v>4926300.0</v>
      </c>
      <c r="U432" s="20" t="s">
        <v>71</v>
      </c>
      <c r="V432" s="20"/>
      <c r="W432" s="30">
        <v>4926300.0</v>
      </c>
      <c r="X432" s="20"/>
      <c r="Y432" s="30">
        <v>4926300.0</v>
      </c>
      <c r="Z432" s="24">
        <f t="shared" si="3"/>
        <v>1</v>
      </c>
      <c r="AA432" s="23">
        <f t="shared" si="5"/>
        <v>4926300</v>
      </c>
      <c r="AB432" s="20"/>
      <c r="AC432" s="25">
        <f t="shared" si="4"/>
        <v>0</v>
      </c>
      <c r="AD432" s="20" t="s">
        <v>72</v>
      </c>
      <c r="AE432" s="20"/>
      <c r="AF432" s="20"/>
      <c r="AG432" s="20"/>
      <c r="AH432" s="20"/>
      <c r="AI432" s="20"/>
      <c r="AJ432" s="20"/>
      <c r="AK432" s="20"/>
      <c r="AL432" s="20"/>
      <c r="AM432" s="20"/>
      <c r="AN432" s="20"/>
      <c r="AO432" s="20"/>
      <c r="AP432" s="20"/>
      <c r="AQ432" s="20"/>
      <c r="AR432" s="20"/>
      <c r="AS432" s="20"/>
      <c r="AT432" s="20"/>
    </row>
    <row r="433">
      <c r="A433" s="20">
        <v>431.0</v>
      </c>
      <c r="B433" s="29" t="s">
        <v>486</v>
      </c>
      <c r="C433" s="30"/>
      <c r="D433" s="20"/>
      <c r="E433" s="20"/>
      <c r="F433" s="20"/>
      <c r="G433" s="20"/>
      <c r="H433" s="33" t="s">
        <v>160</v>
      </c>
      <c r="I433" s="33" t="s">
        <v>160</v>
      </c>
      <c r="J433" s="21"/>
      <c r="K433" s="20" t="str">
        <f t="shared" si="1"/>
        <v>WATER,ENVIRONMENT,CLIMATE CHANGE AND NATURAL RESOURCES</v>
      </c>
      <c r="L433" s="20" t="s">
        <v>75</v>
      </c>
      <c r="M433" s="20" t="str">
        <f t="shared" si="2"/>
        <v>WATER,ENVIRONMENT,CLIMATE CHANGE AND NATURAL RESOURCES</v>
      </c>
      <c r="N433" s="22" t="s">
        <v>119</v>
      </c>
      <c r="O433" s="22" t="s">
        <v>120</v>
      </c>
      <c r="P433" s="20" t="s">
        <v>121</v>
      </c>
      <c r="Q433" s="20" t="s">
        <v>121</v>
      </c>
      <c r="R433" s="30">
        <v>5510000.0</v>
      </c>
      <c r="S433" s="30">
        <v>5510000.0</v>
      </c>
      <c r="T433" s="30">
        <v>5510000.0</v>
      </c>
      <c r="U433" s="20" t="s">
        <v>71</v>
      </c>
      <c r="V433" s="20"/>
      <c r="W433" s="30">
        <v>5510000.0</v>
      </c>
      <c r="X433" s="20"/>
      <c r="Y433" s="30">
        <v>5510000.0</v>
      </c>
      <c r="Z433" s="24">
        <f t="shared" si="3"/>
        <v>1</v>
      </c>
      <c r="AA433" s="23">
        <f t="shared" si="5"/>
        <v>5510000</v>
      </c>
      <c r="AB433" s="20"/>
      <c r="AC433" s="25">
        <f t="shared" si="4"/>
        <v>0</v>
      </c>
      <c r="AD433" s="20" t="s">
        <v>72</v>
      </c>
      <c r="AE433" s="20"/>
      <c r="AF433" s="20"/>
      <c r="AG433" s="20"/>
      <c r="AH433" s="20"/>
      <c r="AI433" s="20"/>
      <c r="AJ433" s="20"/>
      <c r="AK433" s="20"/>
      <c r="AL433" s="20"/>
      <c r="AM433" s="20"/>
      <c r="AN433" s="20"/>
      <c r="AO433" s="20"/>
      <c r="AP433" s="20"/>
      <c r="AQ433" s="20"/>
      <c r="AR433" s="20"/>
      <c r="AS433" s="20"/>
      <c r="AT433" s="20"/>
    </row>
    <row r="434">
      <c r="A434" s="20">
        <v>432.0</v>
      </c>
      <c r="B434" s="29" t="s">
        <v>487</v>
      </c>
      <c r="C434" s="30"/>
      <c r="D434" s="20"/>
      <c r="E434" s="20"/>
      <c r="F434" s="20"/>
      <c r="G434" s="20"/>
      <c r="H434" s="33" t="s">
        <v>160</v>
      </c>
      <c r="I434" s="33" t="s">
        <v>160</v>
      </c>
      <c r="J434" s="21"/>
      <c r="K434" s="20" t="str">
        <f t="shared" si="1"/>
        <v>ROADS,TRANSPORT AND PUBLIC WORKS</v>
      </c>
      <c r="L434" s="20" t="s">
        <v>107</v>
      </c>
      <c r="M434" s="20" t="str">
        <f t="shared" si="2"/>
        <v>ROADS,TRANSPORT AND PUBLIC WORKS</v>
      </c>
      <c r="N434" s="22" t="s">
        <v>119</v>
      </c>
      <c r="O434" s="22" t="s">
        <v>120</v>
      </c>
      <c r="P434" s="20" t="s">
        <v>121</v>
      </c>
      <c r="Q434" s="20" t="s">
        <v>121</v>
      </c>
      <c r="R434" s="30">
        <v>2087603.0</v>
      </c>
      <c r="S434" s="30">
        <v>2087603.0</v>
      </c>
      <c r="T434" s="30">
        <v>2087603.0</v>
      </c>
      <c r="U434" s="20" t="s">
        <v>71</v>
      </c>
      <c r="V434" s="20"/>
      <c r="W434" s="30">
        <v>2087603.0</v>
      </c>
      <c r="X434" s="20"/>
      <c r="Y434" s="30">
        <v>2087603.0</v>
      </c>
      <c r="Z434" s="24">
        <f t="shared" si="3"/>
        <v>1</v>
      </c>
      <c r="AA434" s="23">
        <f t="shared" si="5"/>
        <v>2087603</v>
      </c>
      <c r="AB434" s="20"/>
      <c r="AC434" s="25">
        <f t="shared" si="4"/>
        <v>0</v>
      </c>
      <c r="AD434" s="20" t="s">
        <v>72</v>
      </c>
      <c r="AE434" s="20"/>
      <c r="AF434" s="20"/>
      <c r="AG434" s="20"/>
      <c r="AH434" s="20"/>
      <c r="AI434" s="20"/>
      <c r="AJ434" s="20"/>
      <c r="AK434" s="20"/>
      <c r="AL434" s="20"/>
      <c r="AM434" s="20"/>
      <c r="AN434" s="20"/>
      <c r="AO434" s="20"/>
      <c r="AP434" s="20"/>
      <c r="AQ434" s="20"/>
      <c r="AR434" s="20"/>
      <c r="AS434" s="20"/>
      <c r="AT434" s="20"/>
    </row>
    <row r="435">
      <c r="A435" s="20">
        <v>433.0</v>
      </c>
      <c r="B435" s="29" t="s">
        <v>488</v>
      </c>
      <c r="C435" s="30"/>
      <c r="D435" s="20"/>
      <c r="E435" s="20"/>
      <c r="F435" s="20"/>
      <c r="G435" s="20"/>
      <c r="H435" s="33" t="s">
        <v>104</v>
      </c>
      <c r="I435" s="33" t="s">
        <v>199</v>
      </c>
      <c r="J435" s="21"/>
      <c r="K435" s="20" t="str">
        <f t="shared" si="1"/>
        <v>ROADS,TRANSPORT AND PUBLIC WORKS</v>
      </c>
      <c r="L435" s="20" t="s">
        <v>107</v>
      </c>
      <c r="M435" s="20" t="str">
        <f t="shared" si="2"/>
        <v>ROADS,TRANSPORT AND PUBLIC WORKS</v>
      </c>
      <c r="N435" s="22" t="s">
        <v>119</v>
      </c>
      <c r="O435" s="22" t="s">
        <v>120</v>
      </c>
      <c r="P435" s="20" t="s">
        <v>121</v>
      </c>
      <c r="Q435" s="20" t="s">
        <v>121</v>
      </c>
      <c r="R435" s="30">
        <v>1200000.0</v>
      </c>
      <c r="S435" s="30">
        <v>1200000.0</v>
      </c>
      <c r="T435" s="30">
        <v>1200000.0</v>
      </c>
      <c r="U435" s="20" t="s">
        <v>71</v>
      </c>
      <c r="V435" s="20"/>
      <c r="W435" s="30">
        <v>1200000.0</v>
      </c>
      <c r="X435" s="20"/>
      <c r="Y435" s="30">
        <v>1200000.0</v>
      </c>
      <c r="Z435" s="24">
        <f t="shared" si="3"/>
        <v>1</v>
      </c>
      <c r="AA435" s="23">
        <f t="shared" si="5"/>
        <v>1200000</v>
      </c>
      <c r="AB435" s="20"/>
      <c r="AC435" s="25">
        <f t="shared" si="4"/>
        <v>0</v>
      </c>
      <c r="AD435" s="20" t="s">
        <v>72</v>
      </c>
      <c r="AE435" s="20"/>
      <c r="AF435" s="20"/>
      <c r="AG435" s="20"/>
      <c r="AH435" s="20"/>
      <c r="AI435" s="20"/>
      <c r="AJ435" s="20"/>
      <c r="AK435" s="20"/>
      <c r="AL435" s="20"/>
      <c r="AM435" s="20"/>
      <c r="AN435" s="20"/>
      <c r="AO435" s="20"/>
      <c r="AP435" s="20"/>
      <c r="AQ435" s="20"/>
      <c r="AR435" s="20"/>
      <c r="AS435" s="20"/>
      <c r="AT435" s="20"/>
    </row>
    <row r="436">
      <c r="A436" s="20">
        <v>434.0</v>
      </c>
      <c r="B436" s="29" t="s">
        <v>462</v>
      </c>
      <c r="C436" s="30"/>
      <c r="D436" s="20"/>
      <c r="E436" s="20"/>
      <c r="F436" s="20"/>
      <c r="G436" s="20"/>
      <c r="H436" s="33" t="s">
        <v>160</v>
      </c>
      <c r="I436" s="33" t="s">
        <v>356</v>
      </c>
      <c r="J436" s="21"/>
      <c r="K436" s="20" t="str">
        <f t="shared" si="1"/>
        <v>ROADS,TRANSPORT AND PUBLIC WORKS</v>
      </c>
      <c r="L436" s="20" t="s">
        <v>107</v>
      </c>
      <c r="M436" s="20" t="str">
        <f t="shared" si="2"/>
        <v>ROADS,TRANSPORT AND PUBLIC WORKS</v>
      </c>
      <c r="N436" s="22" t="s">
        <v>119</v>
      </c>
      <c r="O436" s="22" t="s">
        <v>120</v>
      </c>
      <c r="P436" s="20" t="s">
        <v>121</v>
      </c>
      <c r="Q436" s="20" t="s">
        <v>121</v>
      </c>
      <c r="R436" s="30">
        <v>2100000.0</v>
      </c>
      <c r="S436" s="30">
        <v>2100000.0</v>
      </c>
      <c r="T436" s="30">
        <v>2100000.0</v>
      </c>
      <c r="U436" s="20" t="s">
        <v>71</v>
      </c>
      <c r="V436" s="20"/>
      <c r="W436" s="30">
        <v>2100000.0</v>
      </c>
      <c r="X436" s="20"/>
      <c r="Y436" s="30">
        <v>2100000.0</v>
      </c>
      <c r="Z436" s="24">
        <f t="shared" si="3"/>
        <v>1</v>
      </c>
      <c r="AA436" s="23">
        <f t="shared" si="5"/>
        <v>2100000</v>
      </c>
      <c r="AB436" s="20"/>
      <c r="AC436" s="25">
        <f t="shared" si="4"/>
        <v>0</v>
      </c>
      <c r="AD436" s="20" t="s">
        <v>72</v>
      </c>
      <c r="AE436" s="20"/>
      <c r="AF436" s="20"/>
      <c r="AG436" s="20"/>
      <c r="AH436" s="20"/>
      <c r="AI436" s="20"/>
      <c r="AJ436" s="20"/>
      <c r="AK436" s="20"/>
      <c r="AL436" s="20"/>
      <c r="AM436" s="20"/>
      <c r="AN436" s="20"/>
      <c r="AO436" s="20"/>
      <c r="AP436" s="20"/>
      <c r="AQ436" s="20"/>
      <c r="AR436" s="20"/>
      <c r="AS436" s="20"/>
      <c r="AT436" s="20"/>
    </row>
    <row r="437">
      <c r="A437" s="20">
        <v>435.0</v>
      </c>
      <c r="B437" s="29" t="s">
        <v>489</v>
      </c>
      <c r="C437" s="30"/>
      <c r="D437" s="20"/>
      <c r="E437" s="20"/>
      <c r="F437" s="20"/>
      <c r="G437" s="20"/>
      <c r="H437" s="33" t="s">
        <v>65</v>
      </c>
      <c r="I437" s="33" t="s">
        <v>66</v>
      </c>
      <c r="J437" s="21"/>
      <c r="K437" s="20" t="str">
        <f t="shared" si="1"/>
        <v>WATER,ENVIRONMENT,CLIMATE CHANGE AND NATURAL RESOURCES</v>
      </c>
      <c r="L437" s="20" t="s">
        <v>75</v>
      </c>
      <c r="M437" s="20" t="str">
        <f t="shared" si="2"/>
        <v>WATER,ENVIRONMENT,CLIMATE CHANGE AND NATURAL RESOURCES</v>
      </c>
      <c r="N437" s="22" t="s">
        <v>119</v>
      </c>
      <c r="O437" s="22" t="s">
        <v>120</v>
      </c>
      <c r="P437" s="20" t="s">
        <v>121</v>
      </c>
      <c r="Q437" s="20" t="s">
        <v>121</v>
      </c>
      <c r="R437" s="30">
        <v>4727200.0</v>
      </c>
      <c r="S437" s="30">
        <v>4727200.0</v>
      </c>
      <c r="T437" s="30">
        <v>4727200.0</v>
      </c>
      <c r="U437" s="20" t="s">
        <v>71</v>
      </c>
      <c r="V437" s="20"/>
      <c r="W437" s="30">
        <v>4727200.0</v>
      </c>
      <c r="X437" s="20"/>
      <c r="Y437" s="30">
        <v>4727200.0</v>
      </c>
      <c r="Z437" s="24">
        <f t="shared" si="3"/>
        <v>1</v>
      </c>
      <c r="AA437" s="23">
        <f t="shared" si="5"/>
        <v>4727200</v>
      </c>
      <c r="AB437" s="20"/>
      <c r="AC437" s="25">
        <f t="shared" si="4"/>
        <v>0</v>
      </c>
      <c r="AD437" s="20" t="s">
        <v>72</v>
      </c>
      <c r="AE437" s="20"/>
      <c r="AF437" s="20"/>
      <c r="AG437" s="20"/>
      <c r="AH437" s="20"/>
      <c r="AI437" s="20"/>
      <c r="AJ437" s="20"/>
      <c r="AK437" s="20"/>
      <c r="AL437" s="20"/>
      <c r="AM437" s="20"/>
      <c r="AN437" s="20"/>
      <c r="AO437" s="20"/>
      <c r="AP437" s="20"/>
      <c r="AQ437" s="20"/>
      <c r="AR437" s="20"/>
      <c r="AS437" s="20"/>
      <c r="AT437" s="20"/>
    </row>
    <row r="438">
      <c r="A438" s="20">
        <v>436.0</v>
      </c>
      <c r="B438" s="29" t="s">
        <v>490</v>
      </c>
      <c r="C438" s="30"/>
      <c r="D438" s="20"/>
      <c r="E438" s="20"/>
      <c r="F438" s="20"/>
      <c r="G438" s="20"/>
      <c r="H438" s="33" t="s">
        <v>65</v>
      </c>
      <c r="I438" s="33" t="s">
        <v>66</v>
      </c>
      <c r="J438" s="21"/>
      <c r="K438" s="20" t="str">
        <f t="shared" si="1"/>
        <v>ROADS,TRANSPORT AND PUBLIC WORKS</v>
      </c>
      <c r="L438" s="20" t="s">
        <v>107</v>
      </c>
      <c r="M438" s="20" t="str">
        <f t="shared" si="2"/>
        <v>ROADS,TRANSPORT AND PUBLIC WORKS</v>
      </c>
      <c r="N438" s="22" t="s">
        <v>119</v>
      </c>
      <c r="O438" s="22" t="s">
        <v>120</v>
      </c>
      <c r="P438" s="20" t="s">
        <v>121</v>
      </c>
      <c r="Q438" s="20" t="s">
        <v>121</v>
      </c>
      <c r="R438" s="30">
        <v>4560000.0</v>
      </c>
      <c r="S438" s="30">
        <v>4560000.0</v>
      </c>
      <c r="T438" s="30">
        <v>4560000.0</v>
      </c>
      <c r="U438" s="20" t="s">
        <v>71</v>
      </c>
      <c r="V438" s="20"/>
      <c r="W438" s="30">
        <v>4560000.0</v>
      </c>
      <c r="X438" s="20"/>
      <c r="Y438" s="30">
        <v>4560000.0</v>
      </c>
      <c r="Z438" s="24">
        <f t="shared" si="3"/>
        <v>1</v>
      </c>
      <c r="AA438" s="23">
        <f t="shared" si="5"/>
        <v>4560000</v>
      </c>
      <c r="AB438" s="20"/>
      <c r="AC438" s="25">
        <f t="shared" si="4"/>
        <v>0</v>
      </c>
      <c r="AD438" s="20" t="s">
        <v>72</v>
      </c>
      <c r="AE438" s="20"/>
      <c r="AF438" s="20"/>
      <c r="AG438" s="20"/>
      <c r="AH438" s="20"/>
      <c r="AI438" s="20"/>
      <c r="AJ438" s="20"/>
      <c r="AK438" s="20"/>
      <c r="AL438" s="20"/>
      <c r="AM438" s="20"/>
      <c r="AN438" s="20"/>
      <c r="AO438" s="20"/>
      <c r="AP438" s="20"/>
      <c r="AQ438" s="20"/>
      <c r="AR438" s="20"/>
      <c r="AS438" s="20"/>
      <c r="AT438" s="20"/>
    </row>
    <row r="439">
      <c r="A439" s="20">
        <v>437.0</v>
      </c>
      <c r="B439" s="29" t="s">
        <v>491</v>
      </c>
      <c r="C439" s="34"/>
      <c r="D439" s="20"/>
      <c r="E439" s="20"/>
      <c r="F439" s="20"/>
      <c r="G439" s="20"/>
      <c r="H439" s="33" t="s">
        <v>65</v>
      </c>
      <c r="I439" s="33" t="s">
        <v>66</v>
      </c>
      <c r="J439" s="21"/>
      <c r="K439" s="20" t="str">
        <f t="shared" si="1"/>
        <v>ROADS,TRANSPORT AND PUBLIC WORKS</v>
      </c>
      <c r="L439" s="20" t="s">
        <v>107</v>
      </c>
      <c r="M439" s="20" t="str">
        <f t="shared" si="2"/>
        <v>ROADS,TRANSPORT AND PUBLIC WORKS</v>
      </c>
      <c r="N439" s="22" t="s">
        <v>119</v>
      </c>
      <c r="O439" s="22" t="s">
        <v>120</v>
      </c>
      <c r="P439" s="20" t="s">
        <v>121</v>
      </c>
      <c r="Q439" s="20" t="s">
        <v>121</v>
      </c>
      <c r="R439" s="34">
        <v>500000.0</v>
      </c>
      <c r="S439" s="34">
        <v>500000.0</v>
      </c>
      <c r="T439" s="34">
        <v>500000.0</v>
      </c>
      <c r="U439" s="20" t="s">
        <v>71</v>
      </c>
      <c r="V439" s="20"/>
      <c r="W439" s="34">
        <v>500000.0</v>
      </c>
      <c r="X439" s="20"/>
      <c r="Y439" s="34">
        <v>500000.0</v>
      </c>
      <c r="Z439" s="24">
        <f t="shared" si="3"/>
        <v>1</v>
      </c>
      <c r="AA439" s="23">
        <f t="shared" si="5"/>
        <v>500000</v>
      </c>
      <c r="AB439" s="20"/>
      <c r="AC439" s="35">
        <f t="shared" si="4"/>
        <v>0</v>
      </c>
      <c r="AD439" s="20" t="s">
        <v>72</v>
      </c>
      <c r="AE439" s="20"/>
      <c r="AF439" s="20"/>
      <c r="AG439" s="20"/>
      <c r="AH439" s="20"/>
      <c r="AI439" s="20"/>
      <c r="AJ439" s="20"/>
      <c r="AK439" s="20"/>
      <c r="AL439" s="20"/>
      <c r="AM439" s="20"/>
      <c r="AN439" s="20"/>
      <c r="AO439" s="20"/>
      <c r="AP439" s="20"/>
      <c r="AQ439" s="20"/>
      <c r="AR439" s="20"/>
      <c r="AS439" s="20"/>
      <c r="AT439" s="20"/>
    </row>
    <row r="440">
      <c r="A440" s="20">
        <v>438.0</v>
      </c>
      <c r="B440" s="29" t="s">
        <v>492</v>
      </c>
      <c r="C440" s="34"/>
      <c r="D440" s="20"/>
      <c r="E440" s="20"/>
      <c r="F440" s="20"/>
      <c r="G440" s="20"/>
      <c r="H440" s="33" t="s">
        <v>65</v>
      </c>
      <c r="I440" s="33" t="s">
        <v>66</v>
      </c>
      <c r="J440" s="21"/>
      <c r="K440" s="20" t="str">
        <f t="shared" si="1"/>
        <v>EDUCATION,INFORMATION AND ICT</v>
      </c>
      <c r="L440" s="20" t="s">
        <v>84</v>
      </c>
      <c r="M440" s="20" t="str">
        <f t="shared" si="2"/>
        <v>EDUCATION,INFORMATION AND ICT</v>
      </c>
      <c r="N440" s="22" t="s">
        <v>119</v>
      </c>
      <c r="O440" s="22" t="s">
        <v>120</v>
      </c>
      <c r="P440" s="20" t="s">
        <v>121</v>
      </c>
      <c r="Q440" s="20" t="s">
        <v>121</v>
      </c>
      <c r="R440" s="34">
        <v>2090000.0</v>
      </c>
      <c r="S440" s="34">
        <v>2090000.0</v>
      </c>
      <c r="T440" s="34">
        <v>2090000.0</v>
      </c>
      <c r="U440" s="20" t="s">
        <v>71</v>
      </c>
      <c r="V440" s="20"/>
      <c r="W440" s="34">
        <v>2090000.0</v>
      </c>
      <c r="X440" s="20"/>
      <c r="Y440" s="34">
        <v>2090000.0</v>
      </c>
      <c r="Z440" s="24">
        <f t="shared" si="3"/>
        <v>1</v>
      </c>
      <c r="AA440" s="23">
        <f t="shared" si="5"/>
        <v>2090000</v>
      </c>
      <c r="AB440" s="20"/>
      <c r="AC440" s="35">
        <f t="shared" si="4"/>
        <v>0</v>
      </c>
      <c r="AD440" s="20" t="s">
        <v>72</v>
      </c>
      <c r="AE440" s="20"/>
      <c r="AF440" s="20"/>
      <c r="AG440" s="20"/>
      <c r="AH440" s="20"/>
      <c r="AI440" s="20"/>
      <c r="AJ440" s="20"/>
      <c r="AK440" s="20"/>
      <c r="AL440" s="20"/>
      <c r="AM440" s="20"/>
      <c r="AN440" s="20"/>
      <c r="AO440" s="20"/>
      <c r="AP440" s="20"/>
      <c r="AQ440" s="20"/>
      <c r="AR440" s="20"/>
      <c r="AS440" s="20"/>
      <c r="AT440" s="20"/>
    </row>
    <row r="441">
      <c r="A441" s="20">
        <v>439.0</v>
      </c>
      <c r="B441" s="29" t="s">
        <v>493</v>
      </c>
      <c r="C441" s="34"/>
      <c r="D441" s="20"/>
      <c r="E441" s="20"/>
      <c r="F441" s="20"/>
      <c r="G441" s="20"/>
      <c r="H441" s="33" t="s">
        <v>77</v>
      </c>
      <c r="I441" s="33" t="s">
        <v>180</v>
      </c>
      <c r="J441" s="21"/>
      <c r="K441" s="20" t="str">
        <f t="shared" si="1"/>
        <v>ROADS,TRANSPORT AND PUBLIC WORKS</v>
      </c>
      <c r="L441" s="20" t="s">
        <v>107</v>
      </c>
      <c r="M441" s="20" t="str">
        <f t="shared" si="2"/>
        <v>ROADS,TRANSPORT AND PUBLIC WORKS</v>
      </c>
      <c r="N441" s="22" t="s">
        <v>119</v>
      </c>
      <c r="O441" s="22" t="s">
        <v>120</v>
      </c>
      <c r="P441" s="20" t="s">
        <v>121</v>
      </c>
      <c r="Q441" s="20" t="s">
        <v>121</v>
      </c>
      <c r="R441" s="34">
        <v>2090000.0</v>
      </c>
      <c r="S441" s="34">
        <v>2090000.0</v>
      </c>
      <c r="T441" s="34">
        <v>2090000.0</v>
      </c>
      <c r="U441" s="20" t="s">
        <v>71</v>
      </c>
      <c r="V441" s="20"/>
      <c r="W441" s="34">
        <v>2090000.0</v>
      </c>
      <c r="X441" s="20"/>
      <c r="Y441" s="34">
        <v>2090000.0</v>
      </c>
      <c r="Z441" s="24">
        <f t="shared" si="3"/>
        <v>1</v>
      </c>
      <c r="AA441" s="23">
        <f t="shared" si="5"/>
        <v>2090000</v>
      </c>
      <c r="AB441" s="20"/>
      <c r="AC441" s="35">
        <f t="shared" si="4"/>
        <v>0</v>
      </c>
      <c r="AD441" s="20" t="s">
        <v>72</v>
      </c>
      <c r="AE441" s="20"/>
      <c r="AF441" s="20"/>
      <c r="AG441" s="20"/>
      <c r="AH441" s="20"/>
      <c r="AI441" s="20"/>
      <c r="AJ441" s="20"/>
      <c r="AK441" s="20"/>
      <c r="AL441" s="20"/>
      <c r="AM441" s="20"/>
      <c r="AN441" s="20"/>
      <c r="AO441" s="20"/>
      <c r="AP441" s="20"/>
      <c r="AQ441" s="20"/>
      <c r="AR441" s="20"/>
      <c r="AS441" s="20"/>
      <c r="AT441" s="20"/>
    </row>
    <row r="442">
      <c r="A442" s="20">
        <v>440.0</v>
      </c>
      <c r="B442" s="29" t="s">
        <v>494</v>
      </c>
      <c r="C442" s="34"/>
      <c r="D442" s="20"/>
      <c r="E442" s="20"/>
      <c r="F442" s="20"/>
      <c r="G442" s="20"/>
      <c r="H442" s="33" t="s">
        <v>104</v>
      </c>
      <c r="I442" s="33" t="s">
        <v>348</v>
      </c>
      <c r="J442" s="21"/>
      <c r="K442" s="20" t="str">
        <f t="shared" si="1"/>
        <v>ROADS,TRANSPORT AND PUBLIC WORKS</v>
      </c>
      <c r="L442" s="20" t="s">
        <v>107</v>
      </c>
      <c r="M442" s="20" t="str">
        <f t="shared" si="2"/>
        <v>ROADS,TRANSPORT AND PUBLIC WORKS</v>
      </c>
      <c r="N442" s="22" t="s">
        <v>119</v>
      </c>
      <c r="O442" s="22" t="s">
        <v>120</v>
      </c>
      <c r="P442" s="20" t="s">
        <v>121</v>
      </c>
      <c r="Q442" s="20" t="s">
        <v>121</v>
      </c>
      <c r="R442" s="34">
        <v>2090000.0</v>
      </c>
      <c r="S442" s="34">
        <v>2090000.0</v>
      </c>
      <c r="T442" s="34">
        <v>2090000.0</v>
      </c>
      <c r="U442" s="20" t="s">
        <v>71</v>
      </c>
      <c r="V442" s="20"/>
      <c r="W442" s="34">
        <v>2090000.0</v>
      </c>
      <c r="X442" s="20"/>
      <c r="Y442" s="34">
        <v>2090000.0</v>
      </c>
      <c r="Z442" s="24">
        <f t="shared" si="3"/>
        <v>1</v>
      </c>
      <c r="AA442" s="23">
        <f t="shared" si="5"/>
        <v>2090000</v>
      </c>
      <c r="AB442" s="20"/>
      <c r="AC442" s="35">
        <f t="shared" si="4"/>
        <v>0</v>
      </c>
      <c r="AD442" s="20" t="s">
        <v>72</v>
      </c>
      <c r="AE442" s="20"/>
      <c r="AF442" s="20"/>
      <c r="AG442" s="20"/>
      <c r="AH442" s="20"/>
      <c r="AI442" s="20"/>
      <c r="AJ442" s="20"/>
      <c r="AK442" s="20"/>
      <c r="AL442" s="20"/>
      <c r="AM442" s="20"/>
      <c r="AN442" s="20"/>
      <c r="AO442" s="20"/>
      <c r="AP442" s="20"/>
      <c r="AQ442" s="20"/>
      <c r="AR442" s="20"/>
      <c r="AS442" s="20"/>
      <c r="AT442" s="20"/>
    </row>
    <row r="443">
      <c r="A443" s="20">
        <v>441.0</v>
      </c>
      <c r="B443" s="29" t="s">
        <v>495</v>
      </c>
      <c r="C443" s="34"/>
      <c r="D443" s="20"/>
      <c r="E443" s="20"/>
      <c r="F443" s="20"/>
      <c r="G443" s="20"/>
      <c r="H443" s="33" t="s">
        <v>65</v>
      </c>
      <c r="I443" s="33" t="s">
        <v>66</v>
      </c>
      <c r="J443" s="21"/>
      <c r="K443" s="20" t="str">
        <f t="shared" si="1"/>
        <v>ROADS,TRANSPORT AND PUBLIC WORKS</v>
      </c>
      <c r="L443" s="20" t="s">
        <v>107</v>
      </c>
      <c r="M443" s="20" t="str">
        <f t="shared" si="2"/>
        <v>ROADS,TRANSPORT AND PUBLIC WORKS</v>
      </c>
      <c r="N443" s="22" t="s">
        <v>119</v>
      </c>
      <c r="O443" s="22" t="s">
        <v>120</v>
      </c>
      <c r="P443" s="20" t="s">
        <v>121</v>
      </c>
      <c r="Q443" s="20" t="s">
        <v>121</v>
      </c>
      <c r="R443" s="34">
        <v>3990000.0</v>
      </c>
      <c r="S443" s="34">
        <v>3990000.0</v>
      </c>
      <c r="T443" s="34">
        <v>3990000.0</v>
      </c>
      <c r="U443" s="20" t="s">
        <v>71</v>
      </c>
      <c r="V443" s="20"/>
      <c r="W443" s="34">
        <v>3990000.0</v>
      </c>
      <c r="X443" s="20"/>
      <c r="Y443" s="34">
        <v>3990000.0</v>
      </c>
      <c r="Z443" s="24">
        <f t="shared" si="3"/>
        <v>1</v>
      </c>
      <c r="AA443" s="23">
        <f t="shared" si="5"/>
        <v>3990000</v>
      </c>
      <c r="AB443" s="20"/>
      <c r="AC443" s="35">
        <f t="shared" si="4"/>
        <v>0</v>
      </c>
      <c r="AD443" s="20" t="s">
        <v>72</v>
      </c>
      <c r="AE443" s="20"/>
      <c r="AF443" s="20"/>
      <c r="AG443" s="20"/>
      <c r="AH443" s="20"/>
      <c r="AI443" s="20"/>
      <c r="AJ443" s="20"/>
      <c r="AK443" s="20"/>
      <c r="AL443" s="20"/>
      <c r="AM443" s="20"/>
      <c r="AN443" s="20"/>
      <c r="AO443" s="20"/>
      <c r="AP443" s="20"/>
      <c r="AQ443" s="20"/>
      <c r="AR443" s="20"/>
      <c r="AS443" s="20"/>
      <c r="AT443" s="20"/>
    </row>
    <row r="444">
      <c r="A444" s="20">
        <v>442.0</v>
      </c>
      <c r="B444" s="29" t="s">
        <v>496</v>
      </c>
      <c r="C444" s="34"/>
      <c r="D444" s="20"/>
      <c r="E444" s="20"/>
      <c r="F444" s="20"/>
      <c r="G444" s="20"/>
      <c r="H444" s="33" t="s">
        <v>160</v>
      </c>
      <c r="I444" s="33" t="s">
        <v>356</v>
      </c>
      <c r="J444" s="21"/>
      <c r="K444" s="20" t="str">
        <f t="shared" si="1"/>
        <v>EDUCATION,INFORMATION AND ICT</v>
      </c>
      <c r="L444" s="20" t="s">
        <v>84</v>
      </c>
      <c r="M444" s="20" t="str">
        <f t="shared" si="2"/>
        <v>EDUCATION,INFORMATION AND ICT</v>
      </c>
      <c r="N444" s="22" t="s">
        <v>119</v>
      </c>
      <c r="O444" s="22" t="s">
        <v>120</v>
      </c>
      <c r="P444" s="20" t="s">
        <v>121</v>
      </c>
      <c r="Q444" s="20" t="s">
        <v>121</v>
      </c>
      <c r="R444" s="34">
        <v>1330000.0</v>
      </c>
      <c r="S444" s="34">
        <v>1330000.0</v>
      </c>
      <c r="T444" s="34">
        <v>1330000.0</v>
      </c>
      <c r="U444" s="20" t="s">
        <v>71</v>
      </c>
      <c r="V444" s="20"/>
      <c r="W444" s="34">
        <v>1330000.0</v>
      </c>
      <c r="X444" s="20"/>
      <c r="Y444" s="34">
        <v>1330000.0</v>
      </c>
      <c r="Z444" s="24">
        <f t="shared" si="3"/>
        <v>1</v>
      </c>
      <c r="AA444" s="23">
        <f t="shared" si="5"/>
        <v>1330000</v>
      </c>
      <c r="AB444" s="20"/>
      <c r="AC444" s="35">
        <f t="shared" si="4"/>
        <v>0</v>
      </c>
      <c r="AD444" s="20" t="s">
        <v>72</v>
      </c>
      <c r="AE444" s="20"/>
      <c r="AF444" s="20"/>
      <c r="AG444" s="20"/>
      <c r="AH444" s="20"/>
      <c r="AI444" s="20"/>
      <c r="AJ444" s="20"/>
      <c r="AK444" s="20"/>
      <c r="AL444" s="20"/>
      <c r="AM444" s="20"/>
      <c r="AN444" s="20"/>
      <c r="AO444" s="20"/>
      <c r="AP444" s="20"/>
      <c r="AQ444" s="20"/>
      <c r="AR444" s="20"/>
      <c r="AS444" s="20"/>
      <c r="AT444" s="20"/>
    </row>
    <row r="445">
      <c r="A445" s="20">
        <v>443.0</v>
      </c>
      <c r="B445" s="29" t="s">
        <v>497</v>
      </c>
      <c r="C445" s="34"/>
      <c r="D445" s="20"/>
      <c r="E445" s="20"/>
      <c r="F445" s="20"/>
      <c r="G445" s="20"/>
      <c r="H445" s="33" t="s">
        <v>77</v>
      </c>
      <c r="I445" s="33" t="s">
        <v>77</v>
      </c>
      <c r="J445" s="21"/>
      <c r="K445" s="20" t="str">
        <f t="shared" si="1"/>
        <v>EDUCATION,INFORMATION AND ICT</v>
      </c>
      <c r="L445" s="20" t="s">
        <v>84</v>
      </c>
      <c r="M445" s="20" t="str">
        <f t="shared" si="2"/>
        <v>EDUCATION,INFORMATION AND ICT</v>
      </c>
      <c r="N445" s="22" t="s">
        <v>119</v>
      </c>
      <c r="O445" s="22" t="s">
        <v>120</v>
      </c>
      <c r="P445" s="20" t="s">
        <v>121</v>
      </c>
      <c r="Q445" s="20" t="s">
        <v>121</v>
      </c>
      <c r="R445" s="34">
        <v>1330000.0</v>
      </c>
      <c r="S445" s="34">
        <v>1330000.0</v>
      </c>
      <c r="T445" s="34">
        <v>1330000.0</v>
      </c>
      <c r="U445" s="20" t="s">
        <v>71</v>
      </c>
      <c r="V445" s="20"/>
      <c r="W445" s="34">
        <v>1330000.0</v>
      </c>
      <c r="X445" s="20"/>
      <c r="Y445" s="34">
        <v>1330000.0</v>
      </c>
      <c r="Z445" s="24">
        <f t="shared" si="3"/>
        <v>1</v>
      </c>
      <c r="AA445" s="23">
        <f t="shared" si="5"/>
        <v>1330000</v>
      </c>
      <c r="AB445" s="20"/>
      <c r="AC445" s="35">
        <f t="shared" si="4"/>
        <v>0</v>
      </c>
      <c r="AD445" s="20" t="s">
        <v>72</v>
      </c>
      <c r="AE445" s="20"/>
      <c r="AF445" s="20"/>
      <c r="AG445" s="20"/>
      <c r="AH445" s="20"/>
      <c r="AI445" s="20"/>
      <c r="AJ445" s="20"/>
      <c r="AK445" s="20"/>
      <c r="AL445" s="20"/>
      <c r="AM445" s="20"/>
      <c r="AN445" s="20"/>
      <c r="AO445" s="20"/>
      <c r="AP445" s="20"/>
      <c r="AQ445" s="20"/>
      <c r="AR445" s="20"/>
      <c r="AS445" s="20"/>
      <c r="AT445" s="20"/>
    </row>
    <row r="446">
      <c r="A446" s="20">
        <v>444.0</v>
      </c>
      <c r="B446" s="29" t="s">
        <v>498</v>
      </c>
      <c r="C446" s="34"/>
      <c r="D446" s="20"/>
      <c r="E446" s="20"/>
      <c r="F446" s="20"/>
      <c r="G446" s="20"/>
      <c r="H446" s="33" t="s">
        <v>65</v>
      </c>
      <c r="I446" s="33" t="s">
        <v>66</v>
      </c>
      <c r="J446" s="21"/>
      <c r="K446" s="20" t="str">
        <f t="shared" si="1"/>
        <v>EDUCATION,INFORMATION AND ICT</v>
      </c>
      <c r="L446" s="20" t="s">
        <v>84</v>
      </c>
      <c r="M446" s="20" t="str">
        <f t="shared" si="2"/>
        <v>EDUCATION,INFORMATION AND ICT</v>
      </c>
      <c r="N446" s="22" t="s">
        <v>119</v>
      </c>
      <c r="O446" s="22" t="s">
        <v>120</v>
      </c>
      <c r="P446" s="20" t="s">
        <v>121</v>
      </c>
      <c r="Q446" s="20" t="s">
        <v>121</v>
      </c>
      <c r="R446" s="34">
        <v>1330000.0</v>
      </c>
      <c r="S446" s="34">
        <v>1330000.0</v>
      </c>
      <c r="T446" s="34">
        <v>1330000.0</v>
      </c>
      <c r="U446" s="20" t="s">
        <v>71</v>
      </c>
      <c r="V446" s="20"/>
      <c r="W446" s="34">
        <v>1330000.0</v>
      </c>
      <c r="X446" s="20"/>
      <c r="Y446" s="34">
        <v>1330000.0</v>
      </c>
      <c r="Z446" s="24">
        <f t="shared" si="3"/>
        <v>1</v>
      </c>
      <c r="AA446" s="23">
        <f t="shared" si="5"/>
        <v>1330000</v>
      </c>
      <c r="AB446" s="20"/>
      <c r="AC446" s="35">
        <f t="shared" si="4"/>
        <v>0</v>
      </c>
      <c r="AD446" s="20" t="s">
        <v>72</v>
      </c>
      <c r="AE446" s="20"/>
      <c r="AF446" s="20"/>
      <c r="AG446" s="20"/>
      <c r="AH446" s="20"/>
      <c r="AI446" s="20"/>
      <c r="AJ446" s="20"/>
      <c r="AK446" s="20"/>
      <c r="AL446" s="20"/>
      <c r="AM446" s="20"/>
      <c r="AN446" s="20"/>
      <c r="AO446" s="20"/>
      <c r="AP446" s="20"/>
      <c r="AQ446" s="20"/>
      <c r="AR446" s="20"/>
      <c r="AS446" s="20"/>
      <c r="AT446" s="20"/>
    </row>
    <row r="447">
      <c r="A447" s="20">
        <v>445.0</v>
      </c>
      <c r="B447" s="29" t="s">
        <v>499</v>
      </c>
      <c r="C447" s="34"/>
      <c r="D447" s="20"/>
      <c r="E447" s="20"/>
      <c r="F447" s="20"/>
      <c r="G447" s="20"/>
      <c r="H447" s="33" t="s">
        <v>65</v>
      </c>
      <c r="I447" s="33" t="s">
        <v>66</v>
      </c>
      <c r="J447" s="21"/>
      <c r="K447" s="20" t="str">
        <f t="shared" si="1"/>
        <v>WATER,ENVIRONMENT,CLIMATE CHANGE AND NATURAL RESOURCES</v>
      </c>
      <c r="L447" s="20" t="s">
        <v>75</v>
      </c>
      <c r="M447" s="20" t="str">
        <f t="shared" si="2"/>
        <v>WATER,ENVIRONMENT,CLIMATE CHANGE AND NATURAL RESOURCES</v>
      </c>
      <c r="N447" s="22" t="s">
        <v>119</v>
      </c>
      <c r="O447" s="22" t="s">
        <v>120</v>
      </c>
      <c r="P447" s="20" t="s">
        <v>121</v>
      </c>
      <c r="Q447" s="20" t="s">
        <v>121</v>
      </c>
      <c r="R447" s="34">
        <v>840000.0</v>
      </c>
      <c r="S447" s="34">
        <v>840000.0</v>
      </c>
      <c r="T447" s="34">
        <v>840000.0</v>
      </c>
      <c r="U447" s="20" t="s">
        <v>71</v>
      </c>
      <c r="V447" s="20"/>
      <c r="W447" s="34">
        <v>840000.0</v>
      </c>
      <c r="X447" s="20"/>
      <c r="Y447" s="34">
        <v>840000.0</v>
      </c>
      <c r="Z447" s="24">
        <f t="shared" si="3"/>
        <v>1</v>
      </c>
      <c r="AA447" s="23">
        <f t="shared" si="5"/>
        <v>840000</v>
      </c>
      <c r="AB447" s="20"/>
      <c r="AC447" s="35">
        <f t="shared" si="4"/>
        <v>0</v>
      </c>
      <c r="AD447" s="20" t="s">
        <v>72</v>
      </c>
      <c r="AE447" s="20"/>
      <c r="AF447" s="20"/>
      <c r="AG447" s="20"/>
      <c r="AH447" s="20"/>
      <c r="AI447" s="20"/>
      <c r="AJ447" s="20"/>
      <c r="AK447" s="20"/>
      <c r="AL447" s="20"/>
      <c r="AM447" s="20"/>
      <c r="AN447" s="20"/>
      <c r="AO447" s="20"/>
      <c r="AP447" s="20"/>
      <c r="AQ447" s="20"/>
      <c r="AR447" s="20"/>
      <c r="AS447" s="20"/>
      <c r="AT447" s="20"/>
    </row>
    <row r="448">
      <c r="A448" s="20">
        <v>446.0</v>
      </c>
      <c r="B448" s="29" t="s">
        <v>500</v>
      </c>
      <c r="C448" s="34"/>
      <c r="D448" s="20"/>
      <c r="E448" s="20"/>
      <c r="F448" s="20"/>
      <c r="G448" s="20"/>
      <c r="H448" s="33" t="s">
        <v>65</v>
      </c>
      <c r="I448" s="33" t="s">
        <v>66</v>
      </c>
      <c r="J448" s="21"/>
      <c r="K448" s="20" t="str">
        <f t="shared" si="1"/>
        <v>EDUCATION,INFORMATION AND ICT</v>
      </c>
      <c r="L448" s="20" t="s">
        <v>84</v>
      </c>
      <c r="M448" s="20" t="str">
        <f t="shared" si="2"/>
        <v>EDUCATION,INFORMATION AND ICT</v>
      </c>
      <c r="N448" s="22" t="s">
        <v>119</v>
      </c>
      <c r="O448" s="22" t="s">
        <v>120</v>
      </c>
      <c r="P448" s="20" t="s">
        <v>121</v>
      </c>
      <c r="Q448" s="20" t="s">
        <v>121</v>
      </c>
      <c r="R448" s="34">
        <v>1520000.0</v>
      </c>
      <c r="S448" s="34">
        <v>1520000.0</v>
      </c>
      <c r="T448" s="34">
        <v>1520000.0</v>
      </c>
      <c r="U448" s="20" t="s">
        <v>71</v>
      </c>
      <c r="V448" s="20"/>
      <c r="W448" s="34">
        <v>1520000.0</v>
      </c>
      <c r="X448" s="20"/>
      <c r="Y448" s="34">
        <v>1520000.0</v>
      </c>
      <c r="Z448" s="24">
        <f t="shared" si="3"/>
        <v>1</v>
      </c>
      <c r="AA448" s="23">
        <f t="shared" si="5"/>
        <v>1520000</v>
      </c>
      <c r="AB448" s="20"/>
      <c r="AC448" s="35">
        <f t="shared" si="4"/>
        <v>0</v>
      </c>
      <c r="AD448" s="20" t="s">
        <v>72</v>
      </c>
      <c r="AE448" s="20"/>
      <c r="AF448" s="20"/>
      <c r="AG448" s="20"/>
      <c r="AH448" s="20"/>
      <c r="AI448" s="20"/>
      <c r="AJ448" s="20"/>
      <c r="AK448" s="20"/>
      <c r="AL448" s="20"/>
      <c r="AM448" s="20"/>
      <c r="AN448" s="20"/>
      <c r="AO448" s="20"/>
      <c r="AP448" s="20"/>
      <c r="AQ448" s="20"/>
      <c r="AR448" s="20"/>
      <c r="AS448" s="20"/>
      <c r="AT448" s="20"/>
    </row>
    <row r="449">
      <c r="A449" s="20">
        <v>447.0</v>
      </c>
      <c r="B449" s="29" t="s">
        <v>501</v>
      </c>
      <c r="C449" s="34"/>
      <c r="D449" s="20"/>
      <c r="E449" s="20"/>
      <c r="F449" s="20"/>
      <c r="G449" s="20"/>
      <c r="H449" s="33" t="s">
        <v>65</v>
      </c>
      <c r="I449" s="33" t="s">
        <v>66</v>
      </c>
      <c r="J449" s="21"/>
      <c r="K449" s="20" t="str">
        <f t="shared" si="1"/>
        <v>WATER,ENVIRONMENT,CLIMATE CHANGE AND NATURAL RESOURCES</v>
      </c>
      <c r="L449" s="20" t="s">
        <v>75</v>
      </c>
      <c r="M449" s="20" t="str">
        <f t="shared" si="2"/>
        <v>WATER,ENVIRONMENT,CLIMATE CHANGE AND NATURAL RESOURCES</v>
      </c>
      <c r="N449" s="22" t="s">
        <v>119</v>
      </c>
      <c r="O449" s="22" t="s">
        <v>120</v>
      </c>
      <c r="P449" s="20" t="s">
        <v>121</v>
      </c>
      <c r="Q449" s="20" t="s">
        <v>121</v>
      </c>
      <c r="R449" s="34">
        <v>2090000.0</v>
      </c>
      <c r="S449" s="34">
        <v>2090000.0</v>
      </c>
      <c r="T449" s="34">
        <v>2090000.0</v>
      </c>
      <c r="U449" s="20" t="s">
        <v>71</v>
      </c>
      <c r="V449" s="20"/>
      <c r="W449" s="34">
        <v>2090000.0</v>
      </c>
      <c r="X449" s="20"/>
      <c r="Y449" s="34">
        <v>2090000.0</v>
      </c>
      <c r="Z449" s="24">
        <f t="shared" si="3"/>
        <v>1</v>
      </c>
      <c r="AA449" s="23">
        <f t="shared" si="5"/>
        <v>2090000</v>
      </c>
      <c r="AB449" s="20"/>
      <c r="AC449" s="35">
        <f t="shared" si="4"/>
        <v>0</v>
      </c>
      <c r="AD449" s="20" t="s">
        <v>72</v>
      </c>
      <c r="AE449" s="20"/>
      <c r="AF449" s="20"/>
      <c r="AG449" s="20"/>
      <c r="AH449" s="20"/>
      <c r="AI449" s="20"/>
      <c r="AJ449" s="20"/>
      <c r="AK449" s="20"/>
      <c r="AL449" s="20"/>
      <c r="AM449" s="20"/>
      <c r="AN449" s="20"/>
      <c r="AO449" s="20"/>
      <c r="AP449" s="20"/>
      <c r="AQ449" s="20"/>
      <c r="AR449" s="20"/>
      <c r="AS449" s="20"/>
      <c r="AT449" s="20"/>
    </row>
    <row r="450">
      <c r="A450" s="20">
        <v>448.0</v>
      </c>
      <c r="B450" s="29" t="s">
        <v>502</v>
      </c>
      <c r="C450" s="34"/>
      <c r="D450" s="20"/>
      <c r="E450" s="20"/>
      <c r="F450" s="20"/>
      <c r="G450" s="20"/>
      <c r="H450" s="33" t="s">
        <v>113</v>
      </c>
      <c r="I450" s="33" t="s">
        <v>397</v>
      </c>
      <c r="J450" s="21"/>
      <c r="K450" s="20" t="str">
        <f t="shared" si="1"/>
        <v>ROADS,TRANSPORT AND PUBLIC WORKS</v>
      </c>
      <c r="L450" s="20" t="s">
        <v>107</v>
      </c>
      <c r="M450" s="20" t="str">
        <f t="shared" si="2"/>
        <v>ROADS,TRANSPORT AND PUBLIC WORKS</v>
      </c>
      <c r="N450" s="22" t="s">
        <v>119</v>
      </c>
      <c r="O450" s="22" t="s">
        <v>120</v>
      </c>
      <c r="P450" s="20" t="s">
        <v>121</v>
      </c>
      <c r="Q450" s="20" t="s">
        <v>121</v>
      </c>
      <c r="R450" s="34">
        <v>855000.0</v>
      </c>
      <c r="S450" s="34">
        <v>855000.0</v>
      </c>
      <c r="T450" s="34">
        <v>855000.0</v>
      </c>
      <c r="U450" s="20" t="s">
        <v>71</v>
      </c>
      <c r="V450" s="20"/>
      <c r="W450" s="34">
        <v>855000.0</v>
      </c>
      <c r="X450" s="20"/>
      <c r="Y450" s="34">
        <v>855000.0</v>
      </c>
      <c r="Z450" s="24">
        <f t="shared" si="3"/>
        <v>1</v>
      </c>
      <c r="AA450" s="23">
        <f t="shared" si="5"/>
        <v>855000</v>
      </c>
      <c r="AB450" s="20"/>
      <c r="AC450" s="35">
        <f t="shared" si="4"/>
        <v>0</v>
      </c>
      <c r="AD450" s="20" t="s">
        <v>72</v>
      </c>
      <c r="AE450" s="20"/>
      <c r="AF450" s="20"/>
      <c r="AG450" s="20"/>
      <c r="AH450" s="20"/>
      <c r="AI450" s="20"/>
      <c r="AJ450" s="20"/>
      <c r="AK450" s="20"/>
      <c r="AL450" s="20"/>
      <c r="AM450" s="20"/>
      <c r="AN450" s="20"/>
      <c r="AO450" s="20"/>
      <c r="AP450" s="20"/>
      <c r="AQ450" s="20"/>
      <c r="AR450" s="20"/>
      <c r="AS450" s="20"/>
      <c r="AT450" s="20"/>
    </row>
    <row r="451">
      <c r="A451" s="20">
        <v>449.0</v>
      </c>
      <c r="B451" s="29" t="s">
        <v>305</v>
      </c>
      <c r="C451" s="34"/>
      <c r="D451" s="20"/>
      <c r="E451" s="20"/>
      <c r="F451" s="20"/>
      <c r="G451" s="20"/>
      <c r="H451" s="33" t="s">
        <v>65</v>
      </c>
      <c r="I451" s="33" t="s">
        <v>66</v>
      </c>
      <c r="J451" s="21"/>
      <c r="K451" s="20" t="str">
        <f t="shared" si="1"/>
        <v>ROADS,TRANSPORT AND PUBLIC WORKS</v>
      </c>
      <c r="L451" s="20" t="s">
        <v>107</v>
      </c>
      <c r="M451" s="20" t="str">
        <f t="shared" si="2"/>
        <v>ROADS,TRANSPORT AND PUBLIC WORKS</v>
      </c>
      <c r="N451" s="22" t="s">
        <v>119</v>
      </c>
      <c r="O451" s="22" t="s">
        <v>120</v>
      </c>
      <c r="P451" s="20" t="s">
        <v>121</v>
      </c>
      <c r="Q451" s="20" t="s">
        <v>121</v>
      </c>
      <c r="R451" s="34">
        <v>2130755.0</v>
      </c>
      <c r="S451" s="34">
        <v>2130755.0</v>
      </c>
      <c r="T451" s="34">
        <v>2130755.0</v>
      </c>
      <c r="U451" s="20" t="s">
        <v>71</v>
      </c>
      <c r="V451" s="20"/>
      <c r="W451" s="34">
        <v>2130755.0</v>
      </c>
      <c r="X451" s="20"/>
      <c r="Y451" s="34">
        <v>2130755.0</v>
      </c>
      <c r="Z451" s="24">
        <f t="shared" si="3"/>
        <v>1</v>
      </c>
      <c r="AA451" s="23">
        <f t="shared" si="5"/>
        <v>2130755</v>
      </c>
      <c r="AB451" s="20"/>
      <c r="AC451" s="35">
        <f t="shared" si="4"/>
        <v>0</v>
      </c>
      <c r="AD451" s="20" t="s">
        <v>72</v>
      </c>
      <c r="AE451" s="20"/>
      <c r="AF451" s="20"/>
      <c r="AG451" s="20"/>
      <c r="AH451" s="20"/>
      <c r="AI451" s="20"/>
      <c r="AJ451" s="20"/>
      <c r="AK451" s="20"/>
      <c r="AL451" s="20"/>
      <c r="AM451" s="20"/>
      <c r="AN451" s="20"/>
      <c r="AO451" s="20"/>
      <c r="AP451" s="20"/>
      <c r="AQ451" s="20"/>
      <c r="AR451" s="20"/>
      <c r="AS451" s="20"/>
      <c r="AT451" s="20"/>
    </row>
    <row r="452">
      <c r="A452" s="20">
        <v>450.0</v>
      </c>
      <c r="B452" s="29" t="s">
        <v>305</v>
      </c>
      <c r="C452" s="34"/>
      <c r="D452" s="20"/>
      <c r="E452" s="20"/>
      <c r="F452" s="20"/>
      <c r="G452" s="20"/>
      <c r="H452" s="33" t="s">
        <v>65</v>
      </c>
      <c r="I452" s="33" t="s">
        <v>66</v>
      </c>
      <c r="J452" s="21"/>
      <c r="K452" s="20" t="str">
        <f t="shared" si="1"/>
        <v>ROADS,TRANSPORT AND PUBLIC WORKS</v>
      </c>
      <c r="L452" s="20" t="s">
        <v>107</v>
      </c>
      <c r="M452" s="20" t="str">
        <f t="shared" si="2"/>
        <v>ROADS,TRANSPORT AND PUBLIC WORKS</v>
      </c>
      <c r="N452" s="22" t="s">
        <v>119</v>
      </c>
      <c r="O452" s="22" t="s">
        <v>120</v>
      </c>
      <c r="P452" s="20" t="s">
        <v>121</v>
      </c>
      <c r="Q452" s="20" t="s">
        <v>121</v>
      </c>
      <c r="R452" s="34">
        <v>2414137.0</v>
      </c>
      <c r="S452" s="34">
        <v>2414137.0</v>
      </c>
      <c r="T452" s="34">
        <v>2414137.0</v>
      </c>
      <c r="U452" s="20" t="s">
        <v>71</v>
      </c>
      <c r="V452" s="20"/>
      <c r="W452" s="34">
        <v>2414137.0</v>
      </c>
      <c r="X452" s="20"/>
      <c r="Y452" s="34">
        <v>2414137.0</v>
      </c>
      <c r="Z452" s="24">
        <f t="shared" si="3"/>
        <v>1</v>
      </c>
      <c r="AA452" s="23">
        <f t="shared" si="5"/>
        <v>2414137</v>
      </c>
      <c r="AB452" s="20"/>
      <c r="AC452" s="35">
        <f t="shared" si="4"/>
        <v>0</v>
      </c>
      <c r="AD452" s="20" t="s">
        <v>72</v>
      </c>
      <c r="AE452" s="20"/>
      <c r="AF452" s="20"/>
      <c r="AG452" s="20"/>
      <c r="AH452" s="20"/>
      <c r="AI452" s="20"/>
      <c r="AJ452" s="20"/>
      <c r="AK452" s="20"/>
      <c r="AL452" s="20"/>
      <c r="AM452" s="20"/>
      <c r="AN452" s="20"/>
      <c r="AO452" s="20"/>
      <c r="AP452" s="20"/>
      <c r="AQ452" s="20"/>
      <c r="AR452" s="20"/>
      <c r="AS452" s="20"/>
      <c r="AT452" s="20"/>
    </row>
    <row r="453">
      <c r="A453" s="20">
        <v>451.0</v>
      </c>
      <c r="B453" s="29" t="s">
        <v>503</v>
      </c>
      <c r="C453" s="30"/>
      <c r="D453" s="20"/>
      <c r="E453" s="20"/>
      <c r="F453" s="20"/>
      <c r="G453" s="20"/>
      <c r="H453" s="33" t="s">
        <v>65</v>
      </c>
      <c r="I453" s="33" t="s">
        <v>66</v>
      </c>
      <c r="J453" s="21"/>
      <c r="K453" s="20" t="str">
        <f t="shared" si="1"/>
        <v>ROADS,TRANSPORT AND PUBLIC WORKS</v>
      </c>
      <c r="L453" s="20" t="s">
        <v>107</v>
      </c>
      <c r="M453" s="20" t="str">
        <f t="shared" si="2"/>
        <v>ROADS,TRANSPORT AND PUBLIC WORKS</v>
      </c>
      <c r="N453" s="22" t="s">
        <v>119</v>
      </c>
      <c r="O453" s="22" t="s">
        <v>120</v>
      </c>
      <c r="P453" s="20" t="s">
        <v>121</v>
      </c>
      <c r="Q453" s="20" t="s">
        <v>121</v>
      </c>
      <c r="R453" s="30">
        <v>1.986478E7</v>
      </c>
      <c r="S453" s="30">
        <v>1.986478E7</v>
      </c>
      <c r="T453" s="30">
        <v>1.986478E7</v>
      </c>
      <c r="U453" s="20" t="s">
        <v>71</v>
      </c>
      <c r="V453" s="20"/>
      <c r="W453" s="30">
        <v>1.986478E7</v>
      </c>
      <c r="X453" s="20"/>
      <c r="Y453" s="30">
        <v>1.986478E7</v>
      </c>
      <c r="Z453" s="24">
        <f t="shared" si="3"/>
        <v>1</v>
      </c>
      <c r="AA453" s="23">
        <f t="shared" si="5"/>
        <v>19864780</v>
      </c>
      <c r="AB453" s="20"/>
      <c r="AC453" s="25">
        <f t="shared" si="4"/>
        <v>0</v>
      </c>
      <c r="AD453" s="20" t="s">
        <v>72</v>
      </c>
      <c r="AE453" s="20"/>
      <c r="AF453" s="20"/>
      <c r="AG453" s="20"/>
      <c r="AH453" s="20"/>
      <c r="AI453" s="20"/>
      <c r="AJ453" s="20"/>
      <c r="AK453" s="20"/>
      <c r="AL453" s="20"/>
      <c r="AM453" s="20"/>
      <c r="AN453" s="20"/>
      <c r="AO453" s="20"/>
      <c r="AP453" s="20"/>
      <c r="AQ453" s="20"/>
      <c r="AR453" s="20"/>
      <c r="AS453" s="20"/>
      <c r="AT453" s="20"/>
    </row>
    <row r="454">
      <c r="A454" s="20">
        <v>452.0</v>
      </c>
      <c r="B454" s="29" t="s">
        <v>504</v>
      </c>
      <c r="C454" s="30"/>
      <c r="D454" s="20"/>
      <c r="E454" s="20"/>
      <c r="F454" s="20"/>
      <c r="G454" s="20"/>
      <c r="H454" s="33" t="s">
        <v>65</v>
      </c>
      <c r="I454" s="33" t="s">
        <v>66</v>
      </c>
      <c r="J454" s="21"/>
      <c r="K454" s="20" t="str">
        <f t="shared" si="1"/>
        <v>ROADS,TRANSPORT AND PUBLIC WORKS</v>
      </c>
      <c r="L454" s="20" t="s">
        <v>107</v>
      </c>
      <c r="M454" s="20" t="str">
        <f t="shared" si="2"/>
        <v>ROADS,TRANSPORT AND PUBLIC WORKS</v>
      </c>
      <c r="N454" s="22" t="s">
        <v>119</v>
      </c>
      <c r="O454" s="22" t="s">
        <v>120</v>
      </c>
      <c r="P454" s="20" t="s">
        <v>121</v>
      </c>
      <c r="Q454" s="20" t="s">
        <v>121</v>
      </c>
      <c r="R454" s="30">
        <v>2450000.0</v>
      </c>
      <c r="S454" s="30">
        <v>2450000.0</v>
      </c>
      <c r="T454" s="30">
        <v>2450000.0</v>
      </c>
      <c r="U454" s="20" t="s">
        <v>71</v>
      </c>
      <c r="V454" s="20"/>
      <c r="W454" s="30">
        <v>2450000.0</v>
      </c>
      <c r="X454" s="20"/>
      <c r="Y454" s="30">
        <v>2450000.0</v>
      </c>
      <c r="Z454" s="24">
        <f t="shared" si="3"/>
        <v>1</v>
      </c>
      <c r="AA454" s="23">
        <f t="shared" si="5"/>
        <v>2450000</v>
      </c>
      <c r="AB454" s="20"/>
      <c r="AC454" s="25">
        <f t="shared" si="4"/>
        <v>0</v>
      </c>
      <c r="AD454" s="20" t="s">
        <v>72</v>
      </c>
      <c r="AE454" s="20"/>
      <c r="AF454" s="20"/>
      <c r="AG454" s="20"/>
      <c r="AH454" s="20"/>
      <c r="AI454" s="20"/>
      <c r="AJ454" s="20"/>
      <c r="AK454" s="20"/>
      <c r="AL454" s="20"/>
      <c r="AM454" s="20"/>
      <c r="AN454" s="20"/>
      <c r="AO454" s="20"/>
      <c r="AP454" s="20"/>
      <c r="AQ454" s="20"/>
      <c r="AR454" s="20"/>
      <c r="AS454" s="20"/>
      <c r="AT454" s="20"/>
    </row>
    <row r="455">
      <c r="A455" s="20">
        <v>453.0</v>
      </c>
      <c r="B455" s="29" t="s">
        <v>305</v>
      </c>
      <c r="C455" s="34"/>
      <c r="D455" s="20"/>
      <c r="E455" s="20"/>
      <c r="F455" s="20"/>
      <c r="G455" s="20"/>
      <c r="H455" s="33" t="s">
        <v>65</v>
      </c>
      <c r="I455" s="33" t="s">
        <v>66</v>
      </c>
      <c r="J455" s="21"/>
      <c r="K455" s="20" t="str">
        <f t="shared" si="1"/>
        <v>ROADS,TRANSPORT AND PUBLIC WORKS</v>
      </c>
      <c r="L455" s="20" t="s">
        <v>107</v>
      </c>
      <c r="M455" s="20" t="str">
        <f t="shared" si="2"/>
        <v>ROADS,TRANSPORT AND PUBLIC WORKS</v>
      </c>
      <c r="N455" s="22" t="s">
        <v>119</v>
      </c>
      <c r="O455" s="22" t="s">
        <v>120</v>
      </c>
      <c r="P455" s="20" t="s">
        <v>121</v>
      </c>
      <c r="Q455" s="20" t="s">
        <v>121</v>
      </c>
      <c r="R455" s="34">
        <v>2519665.0</v>
      </c>
      <c r="S455" s="34">
        <v>2519665.0</v>
      </c>
      <c r="T455" s="34">
        <v>2519665.0</v>
      </c>
      <c r="U455" s="20" t="s">
        <v>71</v>
      </c>
      <c r="V455" s="20"/>
      <c r="W455" s="34">
        <v>2519665.0</v>
      </c>
      <c r="X455" s="20"/>
      <c r="Y455" s="34">
        <v>2519665.0</v>
      </c>
      <c r="Z455" s="24">
        <f t="shared" si="3"/>
        <v>1</v>
      </c>
      <c r="AA455" s="23">
        <f t="shared" si="5"/>
        <v>2519665</v>
      </c>
      <c r="AB455" s="20"/>
      <c r="AC455" s="35">
        <f t="shared" si="4"/>
        <v>0</v>
      </c>
      <c r="AD455" s="20" t="s">
        <v>72</v>
      </c>
      <c r="AE455" s="20"/>
      <c r="AF455" s="20"/>
      <c r="AG455" s="20"/>
      <c r="AH455" s="20"/>
      <c r="AI455" s="20"/>
      <c r="AJ455" s="20"/>
      <c r="AK455" s="20"/>
      <c r="AL455" s="20"/>
      <c r="AM455" s="20"/>
      <c r="AN455" s="20"/>
      <c r="AO455" s="20"/>
      <c r="AP455" s="20"/>
      <c r="AQ455" s="20"/>
      <c r="AR455" s="20"/>
      <c r="AS455" s="20"/>
      <c r="AT455" s="20"/>
    </row>
    <row r="456">
      <c r="A456" s="20">
        <v>454.0</v>
      </c>
      <c r="B456" s="29" t="s">
        <v>305</v>
      </c>
      <c r="C456" s="34"/>
      <c r="D456" s="20"/>
      <c r="E456" s="20"/>
      <c r="F456" s="20"/>
      <c r="G456" s="20"/>
      <c r="H456" s="33" t="s">
        <v>65</v>
      </c>
      <c r="I456" s="33" t="s">
        <v>66</v>
      </c>
      <c r="J456" s="21"/>
      <c r="K456" s="20" t="str">
        <f t="shared" si="1"/>
        <v>ROADS,TRANSPORT AND PUBLIC WORKS</v>
      </c>
      <c r="L456" s="20" t="s">
        <v>107</v>
      </c>
      <c r="M456" s="20" t="str">
        <f t="shared" si="2"/>
        <v>ROADS,TRANSPORT AND PUBLIC WORKS</v>
      </c>
      <c r="N456" s="22" t="s">
        <v>119</v>
      </c>
      <c r="O456" s="22" t="s">
        <v>120</v>
      </c>
      <c r="P456" s="20" t="s">
        <v>121</v>
      </c>
      <c r="Q456" s="20" t="s">
        <v>121</v>
      </c>
      <c r="R456" s="34">
        <v>2811759.0</v>
      </c>
      <c r="S456" s="34">
        <v>2811759.0</v>
      </c>
      <c r="T456" s="34">
        <v>2811759.0</v>
      </c>
      <c r="U456" s="20" t="s">
        <v>71</v>
      </c>
      <c r="V456" s="20"/>
      <c r="W456" s="34">
        <v>2811759.0</v>
      </c>
      <c r="X456" s="20"/>
      <c r="Y456" s="34">
        <v>2811759.0</v>
      </c>
      <c r="Z456" s="24">
        <f t="shared" si="3"/>
        <v>1</v>
      </c>
      <c r="AA456" s="23">
        <f t="shared" si="5"/>
        <v>2811759</v>
      </c>
      <c r="AB456" s="20"/>
      <c r="AC456" s="35">
        <f t="shared" si="4"/>
        <v>0</v>
      </c>
      <c r="AD456" s="20" t="s">
        <v>72</v>
      </c>
      <c r="AE456" s="20"/>
      <c r="AF456" s="20"/>
      <c r="AG456" s="20"/>
      <c r="AH456" s="20"/>
      <c r="AI456" s="20"/>
      <c r="AJ456" s="20"/>
      <c r="AK456" s="20"/>
      <c r="AL456" s="20"/>
      <c r="AM456" s="20"/>
      <c r="AN456" s="20"/>
      <c r="AO456" s="20"/>
      <c r="AP456" s="20"/>
      <c r="AQ456" s="20"/>
      <c r="AR456" s="20"/>
      <c r="AS456" s="20"/>
      <c r="AT456" s="20"/>
    </row>
    <row r="457">
      <c r="A457" s="20">
        <v>455.0</v>
      </c>
      <c r="B457" s="29" t="s">
        <v>294</v>
      </c>
      <c r="C457" s="30"/>
      <c r="D457" s="20"/>
      <c r="E457" s="20"/>
      <c r="F457" s="20"/>
      <c r="G457" s="20"/>
      <c r="H457" s="33" t="s">
        <v>65</v>
      </c>
      <c r="I457" s="33" t="s">
        <v>66</v>
      </c>
      <c r="J457" s="21"/>
      <c r="K457" s="20" t="str">
        <f t="shared" si="1"/>
        <v>WATER,ENVIRONMENT,CLIMATE CHANGE AND NATURAL RESOURCES</v>
      </c>
      <c r="L457" s="20" t="s">
        <v>75</v>
      </c>
      <c r="M457" s="20" t="str">
        <f t="shared" si="2"/>
        <v>WATER,ENVIRONMENT,CLIMATE CHANGE AND NATURAL RESOURCES</v>
      </c>
      <c r="N457" s="22" t="s">
        <v>119</v>
      </c>
      <c r="O457" s="22" t="s">
        <v>120</v>
      </c>
      <c r="P457" s="20" t="s">
        <v>121</v>
      </c>
      <c r="Q457" s="20" t="s">
        <v>121</v>
      </c>
      <c r="R457" s="30">
        <v>3388887.0</v>
      </c>
      <c r="S457" s="30">
        <v>3388887.0</v>
      </c>
      <c r="T457" s="30">
        <v>3388887.0</v>
      </c>
      <c r="U457" s="20" t="s">
        <v>71</v>
      </c>
      <c r="V457" s="20"/>
      <c r="W457" s="30">
        <v>3388887.0</v>
      </c>
      <c r="X457" s="20"/>
      <c r="Y457" s="30">
        <v>3388887.0</v>
      </c>
      <c r="Z457" s="24">
        <f t="shared" si="3"/>
        <v>1</v>
      </c>
      <c r="AA457" s="23">
        <f t="shared" si="5"/>
        <v>3388887</v>
      </c>
      <c r="AB457" s="20"/>
      <c r="AC457" s="25">
        <f t="shared" si="4"/>
        <v>0</v>
      </c>
      <c r="AD457" s="20" t="s">
        <v>72</v>
      </c>
      <c r="AE457" s="20"/>
      <c r="AF457" s="20"/>
      <c r="AG457" s="20"/>
      <c r="AH457" s="20"/>
      <c r="AI457" s="20"/>
      <c r="AJ457" s="20"/>
      <c r="AK457" s="20"/>
      <c r="AL457" s="20"/>
      <c r="AM457" s="20"/>
      <c r="AN457" s="20"/>
      <c r="AO457" s="20"/>
      <c r="AP457" s="20"/>
      <c r="AQ457" s="20"/>
      <c r="AR457" s="20"/>
      <c r="AS457" s="20"/>
      <c r="AT457" s="20"/>
    </row>
    <row r="458">
      <c r="A458" s="20">
        <v>456.0</v>
      </c>
      <c r="B458" s="29" t="s">
        <v>194</v>
      </c>
      <c r="C458" s="30"/>
      <c r="D458" s="20"/>
      <c r="E458" s="20"/>
      <c r="F458" s="20"/>
      <c r="G458" s="20"/>
      <c r="H458" s="33" t="s">
        <v>65</v>
      </c>
      <c r="I458" s="33" t="s">
        <v>66</v>
      </c>
      <c r="J458" s="21"/>
      <c r="K458" s="20" t="str">
        <f t="shared" si="1"/>
        <v>EDUCATION,INFORMATION AND ICT</v>
      </c>
      <c r="L458" s="20" t="s">
        <v>84</v>
      </c>
      <c r="M458" s="20" t="str">
        <f t="shared" si="2"/>
        <v>EDUCATION,INFORMATION AND ICT</v>
      </c>
      <c r="N458" s="22" t="s">
        <v>119</v>
      </c>
      <c r="O458" s="22" t="s">
        <v>120</v>
      </c>
      <c r="P458" s="20" t="s">
        <v>121</v>
      </c>
      <c r="Q458" s="20" t="s">
        <v>121</v>
      </c>
      <c r="R458" s="30">
        <v>1200000.0</v>
      </c>
      <c r="S458" s="30">
        <v>1200000.0</v>
      </c>
      <c r="T458" s="30">
        <v>1200000.0</v>
      </c>
      <c r="U458" s="20" t="s">
        <v>71</v>
      </c>
      <c r="V458" s="20"/>
      <c r="W458" s="30">
        <v>1200000.0</v>
      </c>
      <c r="X458" s="20"/>
      <c r="Y458" s="30">
        <v>1200000.0</v>
      </c>
      <c r="Z458" s="24">
        <f t="shared" si="3"/>
        <v>1</v>
      </c>
      <c r="AA458" s="23">
        <f t="shared" si="5"/>
        <v>1200000</v>
      </c>
      <c r="AB458" s="20"/>
      <c r="AC458" s="25">
        <f t="shared" si="4"/>
        <v>0</v>
      </c>
      <c r="AD458" s="20" t="s">
        <v>72</v>
      </c>
      <c r="AE458" s="20"/>
      <c r="AF458" s="20"/>
      <c r="AG458" s="20"/>
      <c r="AH458" s="20"/>
      <c r="AI458" s="20"/>
      <c r="AJ458" s="20"/>
      <c r="AK458" s="20"/>
      <c r="AL458" s="20"/>
      <c r="AM458" s="20"/>
      <c r="AN458" s="20"/>
      <c r="AO458" s="20"/>
      <c r="AP458" s="20"/>
      <c r="AQ458" s="20"/>
      <c r="AR458" s="20"/>
      <c r="AS458" s="20"/>
      <c r="AT458" s="20"/>
    </row>
    <row r="459">
      <c r="A459" s="20">
        <v>457.0</v>
      </c>
      <c r="B459" s="29" t="s">
        <v>505</v>
      </c>
      <c r="C459" s="30"/>
      <c r="D459" s="20"/>
      <c r="E459" s="20"/>
      <c r="F459" s="20"/>
      <c r="G459" s="20"/>
      <c r="H459" s="33" t="s">
        <v>65</v>
      </c>
      <c r="I459" s="33" t="s">
        <v>66</v>
      </c>
      <c r="J459" s="21"/>
      <c r="K459" s="20" t="str">
        <f t="shared" si="1"/>
        <v>ROADS,TRANSPORT AND PUBLIC WORKS</v>
      </c>
      <c r="L459" s="20" t="s">
        <v>107</v>
      </c>
      <c r="M459" s="20" t="str">
        <f t="shared" si="2"/>
        <v>ROADS,TRANSPORT AND PUBLIC WORKS</v>
      </c>
      <c r="N459" s="22" t="s">
        <v>119</v>
      </c>
      <c r="O459" s="22" t="s">
        <v>120</v>
      </c>
      <c r="P459" s="20" t="s">
        <v>121</v>
      </c>
      <c r="Q459" s="20" t="s">
        <v>121</v>
      </c>
      <c r="R459" s="30">
        <v>3865000.0</v>
      </c>
      <c r="S459" s="30">
        <v>3865000.0</v>
      </c>
      <c r="T459" s="30">
        <v>3865000.0</v>
      </c>
      <c r="U459" s="20" t="s">
        <v>71</v>
      </c>
      <c r="V459" s="20"/>
      <c r="W459" s="30">
        <v>3865000.0</v>
      </c>
      <c r="X459" s="20"/>
      <c r="Y459" s="30">
        <v>3865000.0</v>
      </c>
      <c r="Z459" s="24">
        <f t="shared" si="3"/>
        <v>1</v>
      </c>
      <c r="AA459" s="23">
        <f t="shared" si="5"/>
        <v>3865000</v>
      </c>
      <c r="AB459" s="20"/>
      <c r="AC459" s="25">
        <f t="shared" si="4"/>
        <v>0</v>
      </c>
      <c r="AD459" s="20" t="s">
        <v>72</v>
      </c>
      <c r="AE459" s="20"/>
      <c r="AF459" s="20"/>
      <c r="AG459" s="20"/>
      <c r="AH459" s="20"/>
      <c r="AI459" s="20"/>
      <c r="AJ459" s="20"/>
      <c r="AK459" s="20"/>
      <c r="AL459" s="20"/>
      <c r="AM459" s="20"/>
      <c r="AN459" s="20"/>
      <c r="AO459" s="20"/>
      <c r="AP459" s="20"/>
      <c r="AQ459" s="20"/>
      <c r="AR459" s="20"/>
      <c r="AS459" s="20"/>
      <c r="AT459" s="20"/>
    </row>
    <row r="460">
      <c r="A460" s="20">
        <v>458.0</v>
      </c>
      <c r="B460" s="29" t="s">
        <v>506</v>
      </c>
      <c r="C460" s="30"/>
      <c r="D460" s="20"/>
      <c r="E460" s="20"/>
      <c r="F460" s="20"/>
      <c r="G460" s="20"/>
      <c r="H460" s="33" t="s">
        <v>77</v>
      </c>
      <c r="I460" s="33" t="s">
        <v>77</v>
      </c>
      <c r="J460" s="21"/>
      <c r="K460" s="20" t="str">
        <f t="shared" si="1"/>
        <v>ROADS,TRANSPORT AND PUBLIC WORKS</v>
      </c>
      <c r="L460" s="20" t="s">
        <v>107</v>
      </c>
      <c r="M460" s="20" t="str">
        <f t="shared" si="2"/>
        <v>ROADS,TRANSPORT AND PUBLIC WORKS</v>
      </c>
      <c r="N460" s="22" t="s">
        <v>119</v>
      </c>
      <c r="O460" s="22" t="s">
        <v>120</v>
      </c>
      <c r="P460" s="20" t="s">
        <v>121</v>
      </c>
      <c r="Q460" s="20" t="s">
        <v>121</v>
      </c>
      <c r="R460" s="30">
        <v>4526200.0</v>
      </c>
      <c r="S460" s="30">
        <v>4526200.0</v>
      </c>
      <c r="T460" s="30">
        <v>4526200.0</v>
      </c>
      <c r="U460" s="20" t="s">
        <v>71</v>
      </c>
      <c r="V460" s="20"/>
      <c r="W460" s="30">
        <v>4526200.0</v>
      </c>
      <c r="X460" s="20"/>
      <c r="Y460" s="30">
        <v>4526200.0</v>
      </c>
      <c r="Z460" s="24">
        <f t="shared" si="3"/>
        <v>1</v>
      </c>
      <c r="AA460" s="23">
        <f t="shared" si="5"/>
        <v>4526200</v>
      </c>
      <c r="AB460" s="20"/>
      <c r="AC460" s="25">
        <f t="shared" si="4"/>
        <v>0</v>
      </c>
      <c r="AD460" s="20" t="s">
        <v>72</v>
      </c>
      <c r="AE460" s="20"/>
      <c r="AF460" s="20"/>
      <c r="AG460" s="20"/>
      <c r="AH460" s="20"/>
      <c r="AI460" s="20"/>
      <c r="AJ460" s="20"/>
      <c r="AK460" s="20"/>
      <c r="AL460" s="20"/>
      <c r="AM460" s="20"/>
      <c r="AN460" s="20"/>
      <c r="AO460" s="20"/>
      <c r="AP460" s="20"/>
      <c r="AQ460" s="20"/>
      <c r="AR460" s="20"/>
      <c r="AS460" s="20"/>
      <c r="AT460" s="20"/>
    </row>
    <row r="461">
      <c r="A461" s="20">
        <v>459.0</v>
      </c>
      <c r="B461" s="29" t="s">
        <v>475</v>
      </c>
      <c r="C461" s="30"/>
      <c r="D461" s="20"/>
      <c r="E461" s="20"/>
      <c r="F461" s="20"/>
      <c r="G461" s="20"/>
      <c r="H461" s="33" t="s">
        <v>65</v>
      </c>
      <c r="I461" s="33" t="s">
        <v>66</v>
      </c>
      <c r="J461" s="21"/>
      <c r="K461" s="20" t="str">
        <f t="shared" si="1"/>
        <v>ROADS,TRANSPORT AND PUBLIC WORKS</v>
      </c>
      <c r="L461" s="20" t="s">
        <v>107</v>
      </c>
      <c r="M461" s="20" t="str">
        <f t="shared" si="2"/>
        <v>ROADS,TRANSPORT AND PUBLIC WORKS</v>
      </c>
      <c r="N461" s="22" t="s">
        <v>119</v>
      </c>
      <c r="O461" s="22" t="s">
        <v>120</v>
      </c>
      <c r="P461" s="20" t="s">
        <v>121</v>
      </c>
      <c r="Q461" s="20" t="s">
        <v>121</v>
      </c>
      <c r="R461" s="30">
        <v>5000000.0</v>
      </c>
      <c r="S461" s="30">
        <v>5000000.0</v>
      </c>
      <c r="T461" s="30">
        <v>5000000.0</v>
      </c>
      <c r="U461" s="20" t="s">
        <v>71</v>
      </c>
      <c r="V461" s="20"/>
      <c r="W461" s="30">
        <v>5000000.0</v>
      </c>
      <c r="X461" s="20"/>
      <c r="Y461" s="30">
        <v>5000000.0</v>
      </c>
      <c r="Z461" s="24">
        <f t="shared" si="3"/>
        <v>1</v>
      </c>
      <c r="AA461" s="23">
        <f t="shared" si="5"/>
        <v>5000000</v>
      </c>
      <c r="AB461" s="20"/>
      <c r="AC461" s="25">
        <f t="shared" si="4"/>
        <v>0</v>
      </c>
      <c r="AD461" s="20" t="s">
        <v>72</v>
      </c>
      <c r="AE461" s="20"/>
      <c r="AF461" s="20"/>
      <c r="AG461" s="20"/>
      <c r="AH461" s="20"/>
      <c r="AI461" s="20"/>
      <c r="AJ461" s="20"/>
      <c r="AK461" s="20"/>
      <c r="AL461" s="20"/>
      <c r="AM461" s="20"/>
      <c r="AN461" s="20"/>
      <c r="AO461" s="20"/>
      <c r="AP461" s="20"/>
      <c r="AQ461" s="20"/>
      <c r="AR461" s="20"/>
      <c r="AS461" s="20"/>
      <c r="AT461" s="20"/>
    </row>
    <row r="462">
      <c r="A462" s="20">
        <v>460.0</v>
      </c>
      <c r="B462" s="29" t="s">
        <v>507</v>
      </c>
      <c r="C462" s="30"/>
      <c r="D462" s="20"/>
      <c r="E462" s="20"/>
      <c r="F462" s="20"/>
      <c r="G462" s="20"/>
      <c r="H462" s="33" t="s">
        <v>65</v>
      </c>
      <c r="I462" s="33" t="s">
        <v>66</v>
      </c>
      <c r="J462" s="21"/>
      <c r="K462" s="20" t="str">
        <f t="shared" si="1"/>
        <v>ROADS,TRANSPORT AND PUBLIC WORKS</v>
      </c>
      <c r="L462" s="20" t="s">
        <v>107</v>
      </c>
      <c r="M462" s="20" t="str">
        <f t="shared" si="2"/>
        <v>ROADS,TRANSPORT AND PUBLIC WORKS</v>
      </c>
      <c r="N462" s="22" t="s">
        <v>119</v>
      </c>
      <c r="O462" s="22" t="s">
        <v>120</v>
      </c>
      <c r="P462" s="20" t="s">
        <v>121</v>
      </c>
      <c r="Q462" s="20" t="s">
        <v>121</v>
      </c>
      <c r="R462" s="30">
        <v>9975000.0</v>
      </c>
      <c r="S462" s="30">
        <v>9975000.0</v>
      </c>
      <c r="T462" s="30">
        <v>9975000.0</v>
      </c>
      <c r="U462" s="20" t="s">
        <v>71</v>
      </c>
      <c r="V462" s="20"/>
      <c r="W462" s="30">
        <v>9975000.0</v>
      </c>
      <c r="X462" s="20"/>
      <c r="Y462" s="30">
        <v>9975000.0</v>
      </c>
      <c r="Z462" s="24">
        <f t="shared" si="3"/>
        <v>1</v>
      </c>
      <c r="AA462" s="23">
        <f t="shared" si="5"/>
        <v>9975000</v>
      </c>
      <c r="AB462" s="20"/>
      <c r="AC462" s="25">
        <f t="shared" si="4"/>
        <v>0</v>
      </c>
      <c r="AD462" s="20" t="s">
        <v>72</v>
      </c>
      <c r="AE462" s="20"/>
      <c r="AF462" s="20"/>
      <c r="AG462" s="20"/>
      <c r="AH462" s="20"/>
      <c r="AI462" s="20"/>
      <c r="AJ462" s="20"/>
      <c r="AK462" s="20"/>
      <c r="AL462" s="20"/>
      <c r="AM462" s="20"/>
      <c r="AN462" s="20"/>
      <c r="AO462" s="20"/>
      <c r="AP462" s="20"/>
      <c r="AQ462" s="20"/>
      <c r="AR462" s="20"/>
      <c r="AS462" s="20"/>
      <c r="AT462" s="20"/>
    </row>
    <row r="463">
      <c r="A463" s="20">
        <v>461.0</v>
      </c>
      <c r="B463" s="29" t="s">
        <v>508</v>
      </c>
      <c r="C463" s="30"/>
      <c r="D463" s="20"/>
      <c r="E463" s="20"/>
      <c r="F463" s="20"/>
      <c r="G463" s="20"/>
      <c r="H463" s="33" t="s">
        <v>65</v>
      </c>
      <c r="I463" s="33" t="s">
        <v>66</v>
      </c>
      <c r="J463" s="21"/>
      <c r="K463" s="20" t="str">
        <f t="shared" si="1"/>
        <v>WATER,ENVIRONMENT,CLIMATE CHANGE AND NATURAL RESOURCES</v>
      </c>
      <c r="L463" s="20" t="s">
        <v>75</v>
      </c>
      <c r="M463" s="20" t="str">
        <f t="shared" si="2"/>
        <v>WATER,ENVIRONMENT,CLIMATE CHANGE AND NATURAL RESOURCES</v>
      </c>
      <c r="N463" s="22" t="s">
        <v>119</v>
      </c>
      <c r="O463" s="22" t="s">
        <v>120</v>
      </c>
      <c r="P463" s="20" t="s">
        <v>121</v>
      </c>
      <c r="Q463" s="20" t="s">
        <v>121</v>
      </c>
      <c r="R463" s="30">
        <v>1500000.0</v>
      </c>
      <c r="S463" s="30">
        <v>1500000.0</v>
      </c>
      <c r="T463" s="30">
        <v>1500000.0</v>
      </c>
      <c r="U463" s="20" t="s">
        <v>71</v>
      </c>
      <c r="V463" s="20"/>
      <c r="W463" s="30">
        <v>1500000.0</v>
      </c>
      <c r="X463" s="20"/>
      <c r="Y463" s="30">
        <v>1500000.0</v>
      </c>
      <c r="Z463" s="24">
        <f t="shared" si="3"/>
        <v>1</v>
      </c>
      <c r="AA463" s="23">
        <f t="shared" si="5"/>
        <v>1500000</v>
      </c>
      <c r="AB463" s="20"/>
      <c r="AC463" s="25">
        <f t="shared" si="4"/>
        <v>0</v>
      </c>
      <c r="AD463" s="20" t="s">
        <v>72</v>
      </c>
      <c r="AE463" s="20"/>
      <c r="AF463" s="20"/>
      <c r="AG463" s="20"/>
      <c r="AH463" s="20"/>
      <c r="AI463" s="20"/>
      <c r="AJ463" s="20"/>
      <c r="AK463" s="20"/>
      <c r="AL463" s="20"/>
      <c r="AM463" s="20"/>
      <c r="AN463" s="20"/>
      <c r="AO463" s="20"/>
      <c r="AP463" s="20"/>
      <c r="AQ463" s="20"/>
      <c r="AR463" s="20"/>
      <c r="AS463" s="20"/>
      <c r="AT463" s="20"/>
    </row>
    <row r="464">
      <c r="A464" s="20">
        <v>462.0</v>
      </c>
      <c r="B464" s="29" t="s">
        <v>509</v>
      </c>
      <c r="C464" s="20"/>
      <c r="D464" s="20"/>
      <c r="E464" s="20"/>
      <c r="F464" s="20"/>
      <c r="G464" s="20"/>
      <c r="H464" s="33" t="s">
        <v>65</v>
      </c>
      <c r="I464" s="33" t="s">
        <v>66</v>
      </c>
      <c r="J464" s="21"/>
      <c r="K464" s="20" t="str">
        <f t="shared" si="1"/>
        <v>ROADS,TRANSPORT AND PUBLIC WORKS</v>
      </c>
      <c r="L464" s="20" t="s">
        <v>107</v>
      </c>
      <c r="M464" s="20" t="str">
        <f t="shared" si="2"/>
        <v>ROADS,TRANSPORT AND PUBLIC WORKS</v>
      </c>
      <c r="N464" s="22" t="s">
        <v>510</v>
      </c>
      <c r="O464" s="22" t="s">
        <v>511</v>
      </c>
      <c r="P464" s="20" t="s">
        <v>512</v>
      </c>
      <c r="Q464" s="20" t="s">
        <v>512</v>
      </c>
      <c r="R464" s="34">
        <v>2.07E7</v>
      </c>
      <c r="S464" s="34">
        <v>2.07E7</v>
      </c>
      <c r="T464" s="34">
        <v>2.07E7</v>
      </c>
      <c r="U464" s="20" t="s">
        <v>71</v>
      </c>
      <c r="V464" s="20"/>
      <c r="W464" s="38">
        <f t="shared" ref="W464:W868" si="6">T464</f>
        <v>20700000</v>
      </c>
      <c r="X464" s="20"/>
      <c r="Y464" s="38">
        <f t="shared" ref="Y464:Y868" si="7">W464</f>
        <v>20700000</v>
      </c>
      <c r="Z464" s="24">
        <f t="shared" si="3"/>
        <v>1</v>
      </c>
      <c r="AA464" s="23">
        <f t="shared" si="5"/>
        <v>20700000</v>
      </c>
      <c r="AB464" s="20"/>
      <c r="AC464" s="20"/>
      <c r="AD464" s="20"/>
      <c r="AE464" s="20"/>
      <c r="AF464" s="20"/>
      <c r="AG464" s="20"/>
      <c r="AH464" s="20"/>
      <c r="AI464" s="20"/>
      <c r="AJ464" s="20"/>
      <c r="AK464" s="20"/>
      <c r="AL464" s="20"/>
      <c r="AM464" s="20"/>
      <c r="AN464" s="20"/>
      <c r="AO464" s="20"/>
      <c r="AP464" s="20"/>
      <c r="AQ464" s="20"/>
      <c r="AR464" s="20"/>
      <c r="AS464" s="20"/>
      <c r="AT464" s="20"/>
    </row>
    <row r="465">
      <c r="A465" s="20">
        <v>463.0</v>
      </c>
      <c r="B465" s="29" t="s">
        <v>509</v>
      </c>
      <c r="C465" s="20"/>
      <c r="D465" s="20"/>
      <c r="E465" s="20"/>
      <c r="F465" s="20"/>
      <c r="G465" s="20"/>
      <c r="H465" s="33" t="s">
        <v>65</v>
      </c>
      <c r="I465" s="33" t="s">
        <v>66</v>
      </c>
      <c r="J465" s="21"/>
      <c r="K465" s="20" t="str">
        <f t="shared" si="1"/>
        <v>ROADS,TRANSPORT AND PUBLIC WORKS</v>
      </c>
      <c r="L465" s="20" t="s">
        <v>107</v>
      </c>
      <c r="M465" s="20" t="str">
        <f t="shared" si="2"/>
        <v>ROADS,TRANSPORT AND PUBLIC WORKS</v>
      </c>
      <c r="N465" s="22" t="s">
        <v>510</v>
      </c>
      <c r="O465" s="22" t="s">
        <v>511</v>
      </c>
      <c r="P465" s="20" t="s">
        <v>512</v>
      </c>
      <c r="Q465" s="20" t="s">
        <v>512</v>
      </c>
      <c r="R465" s="34">
        <v>2.3E7</v>
      </c>
      <c r="S465" s="34">
        <v>2.3E7</v>
      </c>
      <c r="T465" s="34">
        <v>2.3E7</v>
      </c>
      <c r="U465" s="20" t="s">
        <v>71</v>
      </c>
      <c r="V465" s="20"/>
      <c r="W465" s="38">
        <f t="shared" si="6"/>
        <v>23000000</v>
      </c>
      <c r="X465" s="20"/>
      <c r="Y465" s="38">
        <f t="shared" si="7"/>
        <v>23000000</v>
      </c>
      <c r="Z465" s="24">
        <f t="shared" si="3"/>
        <v>1</v>
      </c>
      <c r="AA465" s="23">
        <f t="shared" si="5"/>
        <v>23000000</v>
      </c>
      <c r="AB465" s="20"/>
      <c r="AC465" s="20"/>
      <c r="AD465" s="20"/>
      <c r="AE465" s="20"/>
      <c r="AF465" s="20"/>
      <c r="AG465" s="20"/>
      <c r="AH465" s="20"/>
      <c r="AI465" s="20"/>
      <c r="AJ465" s="20"/>
      <c r="AK465" s="20"/>
      <c r="AL465" s="20"/>
      <c r="AM465" s="20"/>
      <c r="AN465" s="20"/>
      <c r="AO465" s="20"/>
      <c r="AP465" s="20"/>
      <c r="AQ465" s="20"/>
      <c r="AR465" s="20"/>
      <c r="AS465" s="20"/>
      <c r="AT465" s="20"/>
    </row>
    <row r="466">
      <c r="A466" s="20">
        <v>464.0</v>
      </c>
      <c r="B466" s="31" t="s">
        <v>513</v>
      </c>
      <c r="C466" s="20"/>
      <c r="D466" s="20"/>
      <c r="E466" s="20"/>
      <c r="F466" s="20"/>
      <c r="G466" s="20"/>
      <c r="H466" s="33" t="s">
        <v>65</v>
      </c>
      <c r="I466" s="33" t="s">
        <v>66</v>
      </c>
      <c r="J466" s="21"/>
      <c r="K466" s="20" t="str">
        <f t="shared" si="1"/>
        <v>Health services</v>
      </c>
      <c r="L466" s="20" t="s">
        <v>67</v>
      </c>
      <c r="M466" s="20" t="str">
        <f t="shared" si="2"/>
        <v>Health services</v>
      </c>
      <c r="N466" s="22" t="s">
        <v>510</v>
      </c>
      <c r="O466" s="22" t="s">
        <v>511</v>
      </c>
      <c r="P466" s="20" t="s">
        <v>512</v>
      </c>
      <c r="Q466" s="20" t="s">
        <v>512</v>
      </c>
      <c r="R466" s="39">
        <v>2223000.0</v>
      </c>
      <c r="S466" s="39">
        <v>2223000.0</v>
      </c>
      <c r="T466" s="39">
        <v>2223000.0</v>
      </c>
      <c r="U466" s="20" t="s">
        <v>71</v>
      </c>
      <c r="V466" s="20"/>
      <c r="W466" s="38">
        <f t="shared" si="6"/>
        <v>2223000</v>
      </c>
      <c r="X466" s="20"/>
      <c r="Y466" s="38">
        <f t="shared" si="7"/>
        <v>2223000</v>
      </c>
      <c r="Z466" s="24">
        <f t="shared" si="3"/>
        <v>1</v>
      </c>
      <c r="AA466" s="23">
        <f t="shared" si="5"/>
        <v>2223000</v>
      </c>
      <c r="AB466" s="20"/>
      <c r="AC466" s="20"/>
      <c r="AD466" s="20"/>
      <c r="AE466" s="20"/>
      <c r="AF466" s="20"/>
      <c r="AG466" s="20"/>
      <c r="AH466" s="20"/>
      <c r="AI466" s="20"/>
      <c r="AJ466" s="20"/>
      <c r="AK466" s="20"/>
      <c r="AL466" s="20"/>
      <c r="AM466" s="20"/>
      <c r="AN466" s="20"/>
      <c r="AO466" s="20"/>
      <c r="AP466" s="20"/>
      <c r="AQ466" s="20"/>
      <c r="AR466" s="20"/>
      <c r="AS466" s="20"/>
      <c r="AT466" s="20"/>
    </row>
    <row r="467">
      <c r="A467" s="20">
        <v>465.0</v>
      </c>
      <c r="B467" s="31" t="s">
        <v>514</v>
      </c>
      <c r="C467" s="20"/>
      <c r="D467" s="20"/>
      <c r="E467" s="20"/>
      <c r="F467" s="20"/>
      <c r="G467" s="20"/>
      <c r="H467" s="33" t="s">
        <v>65</v>
      </c>
      <c r="I467" s="33" t="s">
        <v>66</v>
      </c>
      <c r="J467" s="21"/>
      <c r="K467" s="20" t="str">
        <f t="shared" si="1"/>
        <v>Health services</v>
      </c>
      <c r="L467" s="20" t="s">
        <v>67</v>
      </c>
      <c r="M467" s="20" t="str">
        <f t="shared" si="2"/>
        <v>Health services</v>
      </c>
      <c r="N467" s="22" t="s">
        <v>510</v>
      </c>
      <c r="O467" s="22" t="s">
        <v>511</v>
      </c>
      <c r="P467" s="20" t="s">
        <v>512</v>
      </c>
      <c r="Q467" s="20" t="s">
        <v>512</v>
      </c>
      <c r="R467" s="39">
        <v>1.4680498E7</v>
      </c>
      <c r="S467" s="39">
        <v>1.4680498E7</v>
      </c>
      <c r="T467" s="39">
        <v>1.4680498E7</v>
      </c>
      <c r="U467" s="20" t="s">
        <v>71</v>
      </c>
      <c r="V467" s="20"/>
      <c r="W467" s="38">
        <f t="shared" si="6"/>
        <v>14680498</v>
      </c>
      <c r="X467" s="20"/>
      <c r="Y467" s="38">
        <f t="shared" si="7"/>
        <v>14680498</v>
      </c>
      <c r="Z467" s="24">
        <f t="shared" si="3"/>
        <v>1</v>
      </c>
      <c r="AA467" s="23">
        <f t="shared" si="5"/>
        <v>14680498</v>
      </c>
      <c r="AB467" s="20"/>
      <c r="AC467" s="20"/>
      <c r="AD467" s="20"/>
      <c r="AE467" s="20"/>
      <c r="AF467" s="20"/>
      <c r="AG467" s="20"/>
      <c r="AH467" s="20"/>
      <c r="AI467" s="20"/>
      <c r="AJ467" s="20"/>
      <c r="AK467" s="20"/>
      <c r="AL467" s="20"/>
      <c r="AM467" s="20"/>
      <c r="AN467" s="20"/>
      <c r="AO467" s="20"/>
      <c r="AP467" s="20"/>
      <c r="AQ467" s="20"/>
      <c r="AR467" s="20"/>
      <c r="AS467" s="20"/>
      <c r="AT467" s="20"/>
    </row>
    <row r="468">
      <c r="A468" s="20">
        <v>466.0</v>
      </c>
      <c r="B468" s="31" t="s">
        <v>514</v>
      </c>
      <c r="C468" s="20"/>
      <c r="D468" s="20"/>
      <c r="E468" s="20"/>
      <c r="F468" s="20"/>
      <c r="G468" s="20"/>
      <c r="H468" s="33" t="s">
        <v>65</v>
      </c>
      <c r="I468" s="33" t="s">
        <v>66</v>
      </c>
      <c r="J468" s="21"/>
      <c r="K468" s="20" t="str">
        <f t="shared" si="1"/>
        <v>Health services</v>
      </c>
      <c r="L468" s="20" t="s">
        <v>67</v>
      </c>
      <c r="M468" s="20" t="str">
        <f t="shared" si="2"/>
        <v>Health services</v>
      </c>
      <c r="N468" s="22" t="s">
        <v>510</v>
      </c>
      <c r="O468" s="22" t="s">
        <v>511</v>
      </c>
      <c r="P468" s="20" t="s">
        <v>512</v>
      </c>
      <c r="Q468" s="20" t="s">
        <v>512</v>
      </c>
      <c r="R468" s="39">
        <v>3560000.0</v>
      </c>
      <c r="S468" s="39">
        <v>3560000.0</v>
      </c>
      <c r="T468" s="39">
        <v>3560000.0</v>
      </c>
      <c r="U468" s="20" t="s">
        <v>71</v>
      </c>
      <c r="V468" s="20"/>
      <c r="W468" s="38">
        <f t="shared" si="6"/>
        <v>3560000</v>
      </c>
      <c r="X468" s="20"/>
      <c r="Y468" s="38">
        <f t="shared" si="7"/>
        <v>3560000</v>
      </c>
      <c r="Z468" s="24">
        <f t="shared" si="3"/>
        <v>1</v>
      </c>
      <c r="AA468" s="23">
        <f t="shared" si="5"/>
        <v>3560000</v>
      </c>
      <c r="AB468" s="20"/>
      <c r="AC468" s="20"/>
      <c r="AD468" s="20"/>
      <c r="AE468" s="20"/>
      <c r="AF468" s="20"/>
      <c r="AG468" s="20"/>
      <c r="AH468" s="20"/>
      <c r="AI468" s="20"/>
      <c r="AJ468" s="20"/>
      <c r="AK468" s="20"/>
      <c r="AL468" s="20"/>
      <c r="AM468" s="20"/>
      <c r="AN468" s="20"/>
      <c r="AO468" s="20"/>
      <c r="AP468" s="20"/>
      <c r="AQ468" s="20"/>
      <c r="AR468" s="20"/>
      <c r="AS468" s="20"/>
      <c r="AT468" s="20"/>
    </row>
    <row r="469">
      <c r="A469" s="20">
        <v>467.0</v>
      </c>
      <c r="B469" s="31" t="s">
        <v>514</v>
      </c>
      <c r="C469" s="20"/>
      <c r="D469" s="20"/>
      <c r="E469" s="20"/>
      <c r="F469" s="20"/>
      <c r="G469" s="20"/>
      <c r="H469" s="33" t="s">
        <v>65</v>
      </c>
      <c r="I469" s="33" t="s">
        <v>66</v>
      </c>
      <c r="J469" s="21"/>
      <c r="K469" s="20" t="str">
        <f t="shared" si="1"/>
        <v>Health services</v>
      </c>
      <c r="L469" s="20" t="s">
        <v>67</v>
      </c>
      <c r="M469" s="20" t="str">
        <f t="shared" si="2"/>
        <v>Health services</v>
      </c>
      <c r="N469" s="22" t="s">
        <v>510</v>
      </c>
      <c r="O469" s="22" t="s">
        <v>511</v>
      </c>
      <c r="P469" s="20" t="s">
        <v>512</v>
      </c>
      <c r="Q469" s="20" t="s">
        <v>512</v>
      </c>
      <c r="R469" s="39">
        <v>5802000.0</v>
      </c>
      <c r="S469" s="39">
        <v>5802000.0</v>
      </c>
      <c r="T469" s="39">
        <v>5802000.0</v>
      </c>
      <c r="U469" s="20" t="s">
        <v>71</v>
      </c>
      <c r="V469" s="20"/>
      <c r="W469" s="38">
        <f t="shared" si="6"/>
        <v>5802000</v>
      </c>
      <c r="X469" s="20"/>
      <c r="Y469" s="38">
        <f t="shared" si="7"/>
        <v>5802000</v>
      </c>
      <c r="Z469" s="24">
        <f t="shared" si="3"/>
        <v>1</v>
      </c>
      <c r="AA469" s="23">
        <f t="shared" si="5"/>
        <v>5802000</v>
      </c>
      <c r="AB469" s="20"/>
      <c r="AC469" s="20"/>
      <c r="AD469" s="20"/>
      <c r="AE469" s="20"/>
      <c r="AF469" s="20"/>
      <c r="AG469" s="20"/>
      <c r="AH469" s="20"/>
      <c r="AI469" s="20"/>
      <c r="AJ469" s="20"/>
      <c r="AK469" s="20"/>
      <c r="AL469" s="20"/>
      <c r="AM469" s="20"/>
      <c r="AN469" s="20"/>
      <c r="AO469" s="20"/>
      <c r="AP469" s="20"/>
      <c r="AQ469" s="20"/>
      <c r="AR469" s="20"/>
      <c r="AS469" s="20"/>
      <c r="AT469" s="20"/>
    </row>
    <row r="470">
      <c r="A470" s="20">
        <v>468.0</v>
      </c>
      <c r="B470" s="31" t="s">
        <v>514</v>
      </c>
      <c r="C470" s="20"/>
      <c r="D470" s="20"/>
      <c r="E470" s="20"/>
      <c r="F470" s="20"/>
      <c r="G470" s="20"/>
      <c r="H470" s="33" t="s">
        <v>65</v>
      </c>
      <c r="I470" s="33" t="s">
        <v>66</v>
      </c>
      <c r="J470" s="21"/>
      <c r="K470" s="20" t="str">
        <f t="shared" si="1"/>
        <v>Health services</v>
      </c>
      <c r="L470" s="20" t="s">
        <v>67</v>
      </c>
      <c r="M470" s="20" t="str">
        <f t="shared" si="2"/>
        <v>Health services</v>
      </c>
      <c r="N470" s="22" t="s">
        <v>510</v>
      </c>
      <c r="O470" s="22" t="s">
        <v>511</v>
      </c>
      <c r="P470" s="20" t="s">
        <v>512</v>
      </c>
      <c r="Q470" s="20" t="s">
        <v>512</v>
      </c>
      <c r="R470" s="39">
        <v>6379852.1</v>
      </c>
      <c r="S470" s="39">
        <v>6379852.1</v>
      </c>
      <c r="T470" s="39">
        <v>6379852.1</v>
      </c>
      <c r="U470" s="20" t="s">
        <v>71</v>
      </c>
      <c r="V470" s="20"/>
      <c r="W470" s="38">
        <f t="shared" si="6"/>
        <v>6379852.1</v>
      </c>
      <c r="X470" s="20"/>
      <c r="Y470" s="38">
        <f t="shared" si="7"/>
        <v>6379852.1</v>
      </c>
      <c r="Z470" s="24">
        <f t="shared" si="3"/>
        <v>1</v>
      </c>
      <c r="AA470" s="23">
        <f t="shared" si="5"/>
        <v>6379852.1</v>
      </c>
      <c r="AB470" s="20"/>
      <c r="AC470" s="20"/>
      <c r="AD470" s="20"/>
      <c r="AE470" s="20"/>
      <c r="AF470" s="20"/>
      <c r="AG470" s="20"/>
      <c r="AH470" s="20"/>
      <c r="AI470" s="20"/>
      <c r="AJ470" s="20"/>
      <c r="AK470" s="20"/>
      <c r="AL470" s="20"/>
      <c r="AM470" s="20"/>
      <c r="AN470" s="20"/>
      <c r="AO470" s="20"/>
      <c r="AP470" s="20"/>
      <c r="AQ470" s="20"/>
      <c r="AR470" s="20"/>
      <c r="AS470" s="20"/>
      <c r="AT470" s="20"/>
    </row>
    <row r="471">
      <c r="A471" s="20">
        <v>469.0</v>
      </c>
      <c r="B471" s="29" t="s">
        <v>515</v>
      </c>
      <c r="C471" s="20"/>
      <c r="D471" s="20"/>
      <c r="E471" s="20"/>
      <c r="F471" s="20"/>
      <c r="G471" s="20"/>
      <c r="H471" s="33" t="s">
        <v>81</v>
      </c>
      <c r="I471" s="33" t="s">
        <v>83</v>
      </c>
      <c r="J471" s="21"/>
      <c r="K471" s="20" t="str">
        <f t="shared" si="1"/>
        <v>WATER,ENVIRONMENT,CLIMATE CHANGE AND NATURAL RESOURCES</v>
      </c>
      <c r="L471" s="20" t="s">
        <v>75</v>
      </c>
      <c r="M471" s="20" t="str">
        <f t="shared" si="2"/>
        <v>WATER,ENVIRONMENT,CLIMATE CHANGE AND NATURAL RESOURCES</v>
      </c>
      <c r="N471" s="22" t="s">
        <v>510</v>
      </c>
      <c r="O471" s="22" t="s">
        <v>511</v>
      </c>
      <c r="P471" s="20" t="s">
        <v>512</v>
      </c>
      <c r="Q471" s="20" t="s">
        <v>512</v>
      </c>
      <c r="R471" s="34">
        <v>1.7E7</v>
      </c>
      <c r="S471" s="34">
        <v>1.7E7</v>
      </c>
      <c r="T471" s="34">
        <v>1.7E7</v>
      </c>
      <c r="U471" s="20" t="s">
        <v>71</v>
      </c>
      <c r="V471" s="20"/>
      <c r="W471" s="38">
        <f t="shared" si="6"/>
        <v>17000000</v>
      </c>
      <c r="X471" s="20"/>
      <c r="Y471" s="38">
        <f t="shared" si="7"/>
        <v>17000000</v>
      </c>
      <c r="Z471" s="24">
        <f t="shared" si="3"/>
        <v>1</v>
      </c>
      <c r="AA471" s="23">
        <f t="shared" si="5"/>
        <v>17000000</v>
      </c>
      <c r="AB471" s="20"/>
      <c r="AC471" s="20"/>
      <c r="AD471" s="20"/>
      <c r="AE471" s="20"/>
      <c r="AF471" s="20"/>
      <c r="AG471" s="20"/>
      <c r="AH471" s="20"/>
      <c r="AI471" s="20"/>
      <c r="AJ471" s="20"/>
      <c r="AK471" s="20"/>
      <c r="AL471" s="20"/>
      <c r="AM471" s="20"/>
      <c r="AN471" s="20"/>
      <c r="AO471" s="20"/>
      <c r="AP471" s="20"/>
      <c r="AQ471" s="20"/>
      <c r="AR471" s="20"/>
      <c r="AS471" s="20"/>
      <c r="AT471" s="20"/>
    </row>
    <row r="472">
      <c r="A472" s="20">
        <v>470.0</v>
      </c>
      <c r="B472" s="29" t="s">
        <v>516</v>
      </c>
      <c r="C472" s="20"/>
      <c r="D472" s="20"/>
      <c r="E472" s="20"/>
      <c r="F472" s="20"/>
      <c r="G472" s="20"/>
      <c r="H472" s="33" t="s">
        <v>65</v>
      </c>
      <c r="I472" s="33" t="s">
        <v>66</v>
      </c>
      <c r="J472" s="21"/>
      <c r="K472" s="20" t="str">
        <f t="shared" si="1"/>
        <v>ROADS,TRANSPORT AND PUBLIC WORKS</v>
      </c>
      <c r="L472" s="20" t="s">
        <v>107</v>
      </c>
      <c r="M472" s="20" t="str">
        <f t="shared" si="2"/>
        <v>ROADS,TRANSPORT AND PUBLIC WORKS</v>
      </c>
      <c r="N472" s="22" t="s">
        <v>510</v>
      </c>
      <c r="O472" s="22" t="s">
        <v>511</v>
      </c>
      <c r="P472" s="20" t="s">
        <v>512</v>
      </c>
      <c r="Q472" s="20" t="s">
        <v>512</v>
      </c>
      <c r="R472" s="34">
        <v>5144896.55</v>
      </c>
      <c r="S472" s="34">
        <v>5144896.55</v>
      </c>
      <c r="T472" s="34">
        <v>5144896.55</v>
      </c>
      <c r="U472" s="20" t="s">
        <v>71</v>
      </c>
      <c r="V472" s="20"/>
      <c r="W472" s="38">
        <f t="shared" si="6"/>
        <v>5144896.55</v>
      </c>
      <c r="X472" s="20"/>
      <c r="Y472" s="38">
        <f t="shared" si="7"/>
        <v>5144896.55</v>
      </c>
      <c r="Z472" s="24">
        <f t="shared" si="3"/>
        <v>1</v>
      </c>
      <c r="AA472" s="23">
        <f t="shared" si="5"/>
        <v>5144896.55</v>
      </c>
      <c r="AB472" s="20"/>
      <c r="AC472" s="20"/>
      <c r="AD472" s="20"/>
      <c r="AE472" s="20"/>
      <c r="AF472" s="20"/>
      <c r="AG472" s="20"/>
      <c r="AH472" s="20"/>
      <c r="AI472" s="20"/>
      <c r="AJ472" s="20"/>
      <c r="AK472" s="20"/>
      <c r="AL472" s="20"/>
      <c r="AM472" s="20"/>
      <c r="AN472" s="20"/>
      <c r="AO472" s="20"/>
      <c r="AP472" s="20"/>
      <c r="AQ472" s="20"/>
      <c r="AR472" s="20"/>
      <c r="AS472" s="20"/>
      <c r="AT472" s="20"/>
    </row>
    <row r="473">
      <c r="A473" s="20">
        <v>471.0</v>
      </c>
      <c r="B473" s="29" t="s">
        <v>515</v>
      </c>
      <c r="C473" s="20"/>
      <c r="D473" s="20"/>
      <c r="E473" s="20"/>
      <c r="F473" s="20"/>
      <c r="G473" s="20"/>
      <c r="H473" s="33" t="s">
        <v>81</v>
      </c>
      <c r="I473" s="33" t="s">
        <v>83</v>
      </c>
      <c r="J473" s="21"/>
      <c r="K473" s="20" t="str">
        <f t="shared" si="1"/>
        <v>WATER,ENVIRONMENT,CLIMATE CHANGE AND NATURAL RESOURCES</v>
      </c>
      <c r="L473" s="20" t="s">
        <v>75</v>
      </c>
      <c r="M473" s="20" t="str">
        <f t="shared" si="2"/>
        <v>WATER,ENVIRONMENT,CLIMATE CHANGE AND NATURAL RESOURCES</v>
      </c>
      <c r="N473" s="22" t="s">
        <v>510</v>
      </c>
      <c r="O473" s="22" t="s">
        <v>511</v>
      </c>
      <c r="P473" s="20" t="s">
        <v>512</v>
      </c>
      <c r="Q473" s="20" t="s">
        <v>512</v>
      </c>
      <c r="R473" s="34">
        <v>1.103878E7</v>
      </c>
      <c r="S473" s="34">
        <v>1.103878E7</v>
      </c>
      <c r="T473" s="34">
        <v>1.103878E7</v>
      </c>
      <c r="U473" s="20" t="s">
        <v>71</v>
      </c>
      <c r="V473" s="20"/>
      <c r="W473" s="38">
        <f t="shared" si="6"/>
        <v>11038780</v>
      </c>
      <c r="X473" s="20"/>
      <c r="Y473" s="38">
        <f t="shared" si="7"/>
        <v>11038780</v>
      </c>
      <c r="Z473" s="24">
        <f t="shared" si="3"/>
        <v>1</v>
      </c>
      <c r="AA473" s="23">
        <f t="shared" si="5"/>
        <v>11038780</v>
      </c>
      <c r="AB473" s="20"/>
      <c r="AC473" s="20"/>
      <c r="AD473" s="20"/>
      <c r="AE473" s="20"/>
      <c r="AF473" s="20"/>
      <c r="AG473" s="20"/>
      <c r="AH473" s="20"/>
      <c r="AI473" s="20"/>
      <c r="AJ473" s="20"/>
      <c r="AK473" s="20"/>
      <c r="AL473" s="20"/>
      <c r="AM473" s="20"/>
      <c r="AN473" s="20"/>
      <c r="AO473" s="20"/>
      <c r="AP473" s="20"/>
      <c r="AQ473" s="20"/>
      <c r="AR473" s="20"/>
      <c r="AS473" s="20"/>
      <c r="AT473" s="20"/>
    </row>
    <row r="474">
      <c r="A474" s="20">
        <v>472.0</v>
      </c>
      <c r="B474" s="29" t="s">
        <v>517</v>
      </c>
      <c r="C474" s="20"/>
      <c r="D474" s="20"/>
      <c r="E474" s="20"/>
      <c r="F474" s="20"/>
      <c r="G474" s="20"/>
      <c r="H474" s="33" t="s">
        <v>65</v>
      </c>
      <c r="I474" s="33" t="s">
        <v>66</v>
      </c>
      <c r="J474" s="21"/>
      <c r="K474" s="20" t="str">
        <f t="shared" si="1"/>
        <v>ROADS,TRANSPORT AND PUBLIC WORKS</v>
      </c>
      <c r="L474" s="20" t="s">
        <v>107</v>
      </c>
      <c r="M474" s="20" t="str">
        <f t="shared" si="2"/>
        <v>ROADS,TRANSPORT AND PUBLIC WORKS</v>
      </c>
      <c r="N474" s="22" t="s">
        <v>510</v>
      </c>
      <c r="O474" s="22" t="s">
        <v>511</v>
      </c>
      <c r="P474" s="20" t="s">
        <v>512</v>
      </c>
      <c r="Q474" s="20" t="s">
        <v>512</v>
      </c>
      <c r="R474" s="34">
        <v>2.15123797E7</v>
      </c>
      <c r="S474" s="34">
        <v>2.15123797E7</v>
      </c>
      <c r="T474" s="34">
        <v>2.15123797E7</v>
      </c>
      <c r="U474" s="20" t="s">
        <v>71</v>
      </c>
      <c r="V474" s="20"/>
      <c r="W474" s="38">
        <f t="shared" si="6"/>
        <v>21512379.7</v>
      </c>
      <c r="X474" s="20"/>
      <c r="Y474" s="38">
        <f t="shared" si="7"/>
        <v>21512379.7</v>
      </c>
      <c r="Z474" s="24">
        <f t="shared" si="3"/>
        <v>1</v>
      </c>
      <c r="AA474" s="23">
        <f t="shared" si="5"/>
        <v>21512379.7</v>
      </c>
      <c r="AB474" s="20"/>
      <c r="AC474" s="20"/>
      <c r="AD474" s="20"/>
      <c r="AE474" s="20"/>
      <c r="AF474" s="20"/>
      <c r="AG474" s="20"/>
      <c r="AH474" s="20"/>
      <c r="AI474" s="20"/>
      <c r="AJ474" s="20"/>
      <c r="AK474" s="20"/>
      <c r="AL474" s="20"/>
      <c r="AM474" s="20"/>
      <c r="AN474" s="20"/>
      <c r="AO474" s="20"/>
      <c r="AP474" s="20"/>
      <c r="AQ474" s="20"/>
      <c r="AR474" s="20"/>
      <c r="AS474" s="20"/>
      <c r="AT474" s="20"/>
    </row>
    <row r="475">
      <c r="A475" s="20">
        <v>473.0</v>
      </c>
      <c r="B475" s="29" t="s">
        <v>516</v>
      </c>
      <c r="C475" s="20"/>
      <c r="D475" s="20"/>
      <c r="E475" s="20"/>
      <c r="F475" s="20"/>
      <c r="G475" s="20"/>
      <c r="H475" s="33" t="s">
        <v>65</v>
      </c>
      <c r="I475" s="33" t="s">
        <v>66</v>
      </c>
      <c r="J475" s="21"/>
      <c r="K475" s="20" t="str">
        <f t="shared" si="1"/>
        <v>ROADS,TRANSPORT AND PUBLIC WORKS</v>
      </c>
      <c r="L475" s="20" t="s">
        <v>107</v>
      </c>
      <c r="M475" s="20" t="str">
        <f t="shared" si="2"/>
        <v>ROADS,TRANSPORT AND PUBLIC WORKS</v>
      </c>
      <c r="N475" s="22" t="s">
        <v>510</v>
      </c>
      <c r="O475" s="22" t="s">
        <v>511</v>
      </c>
      <c r="P475" s="20" t="s">
        <v>512</v>
      </c>
      <c r="Q475" s="20" t="s">
        <v>512</v>
      </c>
      <c r="R475" s="34">
        <v>6000000.0</v>
      </c>
      <c r="S475" s="34">
        <v>6000000.0</v>
      </c>
      <c r="T475" s="34">
        <v>6000000.0</v>
      </c>
      <c r="U475" s="20" t="s">
        <v>71</v>
      </c>
      <c r="V475" s="20"/>
      <c r="W475" s="38">
        <f t="shared" si="6"/>
        <v>6000000</v>
      </c>
      <c r="X475" s="20"/>
      <c r="Y475" s="38">
        <f t="shared" si="7"/>
        <v>6000000</v>
      </c>
      <c r="Z475" s="24">
        <f t="shared" si="3"/>
        <v>1</v>
      </c>
      <c r="AA475" s="23">
        <f t="shared" si="5"/>
        <v>6000000</v>
      </c>
      <c r="AB475" s="20"/>
      <c r="AC475" s="20"/>
      <c r="AD475" s="20"/>
      <c r="AE475" s="20"/>
      <c r="AF475" s="20"/>
      <c r="AG475" s="20"/>
      <c r="AH475" s="20"/>
      <c r="AI475" s="20"/>
      <c r="AJ475" s="20"/>
      <c r="AK475" s="20"/>
      <c r="AL475" s="20"/>
      <c r="AM475" s="20"/>
      <c r="AN475" s="20"/>
      <c r="AO475" s="20"/>
      <c r="AP475" s="20"/>
      <c r="AQ475" s="20"/>
      <c r="AR475" s="20"/>
      <c r="AS475" s="20"/>
      <c r="AT475" s="20"/>
    </row>
    <row r="476">
      <c r="A476" s="20">
        <v>474.0</v>
      </c>
      <c r="B476" s="29" t="s">
        <v>518</v>
      </c>
      <c r="C476" s="20"/>
      <c r="D476" s="20"/>
      <c r="E476" s="20"/>
      <c r="F476" s="20"/>
      <c r="G476" s="20"/>
      <c r="H476" s="33" t="s">
        <v>65</v>
      </c>
      <c r="I476" s="33" t="s">
        <v>66</v>
      </c>
      <c r="J476" s="21"/>
      <c r="K476" s="20" t="str">
        <f t="shared" si="1"/>
        <v>Health services</v>
      </c>
      <c r="L476" s="20" t="s">
        <v>67</v>
      </c>
      <c r="M476" s="20" t="str">
        <f t="shared" si="2"/>
        <v>Health services</v>
      </c>
      <c r="N476" s="22" t="s">
        <v>510</v>
      </c>
      <c r="O476" s="22" t="s">
        <v>511</v>
      </c>
      <c r="P476" s="20" t="s">
        <v>512</v>
      </c>
      <c r="Q476" s="20" t="s">
        <v>512</v>
      </c>
      <c r="R476" s="34">
        <v>1.26799067E7</v>
      </c>
      <c r="S476" s="34">
        <v>1.26799067E7</v>
      </c>
      <c r="T476" s="34">
        <v>1.26799067E7</v>
      </c>
      <c r="U476" s="20" t="s">
        <v>71</v>
      </c>
      <c r="V476" s="20"/>
      <c r="W476" s="38">
        <f t="shared" si="6"/>
        <v>12679906.7</v>
      </c>
      <c r="X476" s="20"/>
      <c r="Y476" s="38">
        <f t="shared" si="7"/>
        <v>12679906.7</v>
      </c>
      <c r="Z476" s="24">
        <f t="shared" si="3"/>
        <v>1</v>
      </c>
      <c r="AA476" s="23">
        <f t="shared" si="5"/>
        <v>12679906.7</v>
      </c>
      <c r="AB476" s="20"/>
      <c r="AC476" s="20"/>
      <c r="AD476" s="20"/>
      <c r="AE476" s="20"/>
      <c r="AF476" s="20"/>
      <c r="AG476" s="20"/>
      <c r="AH476" s="20"/>
      <c r="AI476" s="20"/>
      <c r="AJ476" s="20"/>
      <c r="AK476" s="20"/>
      <c r="AL476" s="20"/>
      <c r="AM476" s="20"/>
      <c r="AN476" s="20"/>
      <c r="AO476" s="20"/>
      <c r="AP476" s="20"/>
      <c r="AQ476" s="20"/>
      <c r="AR476" s="20"/>
      <c r="AS476" s="20"/>
      <c r="AT476" s="20"/>
    </row>
    <row r="477">
      <c r="A477" s="20">
        <v>475.0</v>
      </c>
      <c r="B477" s="29" t="s">
        <v>516</v>
      </c>
      <c r="C477" s="20"/>
      <c r="D477" s="20"/>
      <c r="E477" s="20"/>
      <c r="F477" s="20"/>
      <c r="G477" s="20"/>
      <c r="H477" s="33" t="s">
        <v>65</v>
      </c>
      <c r="I477" s="33" t="s">
        <v>66</v>
      </c>
      <c r="J477" s="21"/>
      <c r="K477" s="20" t="str">
        <f t="shared" si="1"/>
        <v>ROADS,TRANSPORT AND PUBLIC WORKS</v>
      </c>
      <c r="L477" s="20" t="s">
        <v>107</v>
      </c>
      <c r="M477" s="20" t="str">
        <f t="shared" si="2"/>
        <v>ROADS,TRANSPORT AND PUBLIC WORKS</v>
      </c>
      <c r="N477" s="22" t="s">
        <v>510</v>
      </c>
      <c r="O477" s="22" t="s">
        <v>511</v>
      </c>
      <c r="P477" s="20" t="s">
        <v>512</v>
      </c>
      <c r="Q477" s="20" t="s">
        <v>512</v>
      </c>
      <c r="R477" s="34">
        <v>5100000.0</v>
      </c>
      <c r="S477" s="34">
        <v>5100000.0</v>
      </c>
      <c r="T477" s="34">
        <v>5100000.0</v>
      </c>
      <c r="U477" s="20" t="s">
        <v>71</v>
      </c>
      <c r="V477" s="20"/>
      <c r="W477" s="38">
        <f t="shared" si="6"/>
        <v>5100000</v>
      </c>
      <c r="X477" s="20"/>
      <c r="Y477" s="38">
        <f t="shared" si="7"/>
        <v>5100000</v>
      </c>
      <c r="Z477" s="24">
        <f t="shared" si="3"/>
        <v>1</v>
      </c>
      <c r="AA477" s="23">
        <f t="shared" si="5"/>
        <v>5100000</v>
      </c>
      <c r="AB477" s="20"/>
      <c r="AC477" s="20"/>
      <c r="AD477" s="20"/>
      <c r="AE477" s="20"/>
      <c r="AF477" s="20"/>
      <c r="AG477" s="20"/>
      <c r="AH477" s="20"/>
      <c r="AI477" s="20"/>
      <c r="AJ477" s="20"/>
      <c r="AK477" s="20"/>
      <c r="AL477" s="20"/>
      <c r="AM477" s="20"/>
      <c r="AN477" s="20"/>
      <c r="AO477" s="20"/>
      <c r="AP477" s="20"/>
      <c r="AQ477" s="20"/>
      <c r="AR477" s="20"/>
      <c r="AS477" s="20"/>
      <c r="AT477" s="20"/>
    </row>
    <row r="478">
      <c r="A478" s="20">
        <v>476.0</v>
      </c>
      <c r="B478" s="29" t="s">
        <v>519</v>
      </c>
      <c r="C478" s="20"/>
      <c r="D478" s="20"/>
      <c r="E478" s="20"/>
      <c r="F478" s="20"/>
      <c r="G478" s="20"/>
      <c r="H478" s="33" t="s">
        <v>104</v>
      </c>
      <c r="I478" s="33" t="s">
        <v>104</v>
      </c>
      <c r="J478" s="21"/>
      <c r="K478" s="20" t="str">
        <f t="shared" si="1"/>
        <v>EDUCATION,INFORMATION AND ICT</v>
      </c>
      <c r="L478" s="20" t="s">
        <v>84</v>
      </c>
      <c r="M478" s="20" t="str">
        <f t="shared" si="2"/>
        <v>EDUCATION,INFORMATION AND ICT</v>
      </c>
      <c r="N478" s="22" t="s">
        <v>510</v>
      </c>
      <c r="O478" s="22" t="s">
        <v>511</v>
      </c>
      <c r="P478" s="20" t="s">
        <v>512</v>
      </c>
      <c r="Q478" s="20" t="s">
        <v>512</v>
      </c>
      <c r="R478" s="34">
        <v>2175403.0</v>
      </c>
      <c r="S478" s="34">
        <v>2175403.0</v>
      </c>
      <c r="T478" s="34">
        <v>2175403.0</v>
      </c>
      <c r="U478" s="20" t="s">
        <v>71</v>
      </c>
      <c r="V478" s="20"/>
      <c r="W478" s="38">
        <f t="shared" si="6"/>
        <v>2175403</v>
      </c>
      <c r="X478" s="20"/>
      <c r="Y478" s="38">
        <f t="shared" si="7"/>
        <v>2175403</v>
      </c>
      <c r="Z478" s="24">
        <f t="shared" si="3"/>
        <v>1</v>
      </c>
      <c r="AA478" s="23">
        <f t="shared" si="5"/>
        <v>2175403</v>
      </c>
      <c r="AB478" s="20"/>
      <c r="AC478" s="20"/>
      <c r="AD478" s="20"/>
      <c r="AE478" s="20"/>
      <c r="AF478" s="20"/>
      <c r="AG478" s="20"/>
      <c r="AH478" s="20"/>
      <c r="AI478" s="20"/>
      <c r="AJ478" s="20"/>
      <c r="AK478" s="20"/>
      <c r="AL478" s="20"/>
      <c r="AM478" s="20"/>
      <c r="AN478" s="20"/>
      <c r="AO478" s="20"/>
      <c r="AP478" s="20"/>
      <c r="AQ478" s="20"/>
      <c r="AR478" s="20"/>
      <c r="AS478" s="20"/>
      <c r="AT478" s="20"/>
    </row>
    <row r="479">
      <c r="A479" s="20">
        <v>477.0</v>
      </c>
      <c r="B479" s="29" t="s">
        <v>520</v>
      </c>
      <c r="C479" s="20"/>
      <c r="D479" s="20"/>
      <c r="E479" s="20"/>
      <c r="F479" s="20"/>
      <c r="G479" s="20"/>
      <c r="H479" s="33" t="s">
        <v>81</v>
      </c>
      <c r="I479" s="33" t="s">
        <v>81</v>
      </c>
      <c r="J479" s="21"/>
      <c r="K479" s="20" t="str">
        <f t="shared" si="1"/>
        <v>EDUCATION,INFORMATION AND ICT</v>
      </c>
      <c r="L479" s="20" t="s">
        <v>84</v>
      </c>
      <c r="M479" s="20" t="str">
        <f t="shared" si="2"/>
        <v>EDUCATION,INFORMATION AND ICT</v>
      </c>
      <c r="N479" s="22" t="s">
        <v>510</v>
      </c>
      <c r="O479" s="22" t="s">
        <v>511</v>
      </c>
      <c r="P479" s="20" t="s">
        <v>512</v>
      </c>
      <c r="Q479" s="20" t="s">
        <v>512</v>
      </c>
      <c r="R479" s="34">
        <v>2337000.0</v>
      </c>
      <c r="S479" s="34">
        <v>2337000.0</v>
      </c>
      <c r="T479" s="34">
        <v>2337000.0</v>
      </c>
      <c r="U479" s="20" t="s">
        <v>71</v>
      </c>
      <c r="V479" s="20"/>
      <c r="W479" s="38">
        <f t="shared" si="6"/>
        <v>2337000</v>
      </c>
      <c r="X479" s="20"/>
      <c r="Y479" s="38">
        <f t="shared" si="7"/>
        <v>2337000</v>
      </c>
      <c r="Z479" s="24">
        <f t="shared" si="3"/>
        <v>1</v>
      </c>
      <c r="AA479" s="23">
        <f t="shared" si="5"/>
        <v>2337000</v>
      </c>
      <c r="AB479" s="20"/>
      <c r="AC479" s="20"/>
      <c r="AD479" s="20"/>
      <c r="AE479" s="20"/>
      <c r="AF479" s="20"/>
      <c r="AG479" s="20"/>
      <c r="AH479" s="20"/>
      <c r="AI479" s="20"/>
      <c r="AJ479" s="20"/>
      <c r="AK479" s="20"/>
      <c r="AL479" s="20"/>
      <c r="AM479" s="20"/>
      <c r="AN479" s="20"/>
      <c r="AO479" s="20"/>
      <c r="AP479" s="20"/>
      <c r="AQ479" s="20"/>
      <c r="AR479" s="20"/>
      <c r="AS479" s="20"/>
      <c r="AT479" s="20"/>
    </row>
    <row r="480">
      <c r="A480" s="20">
        <v>478.0</v>
      </c>
      <c r="B480" s="29" t="s">
        <v>521</v>
      </c>
      <c r="C480" s="20"/>
      <c r="D480" s="20"/>
      <c r="E480" s="20"/>
      <c r="F480" s="20"/>
      <c r="G480" s="20"/>
      <c r="H480" s="33" t="s">
        <v>65</v>
      </c>
      <c r="I480" s="33" t="s">
        <v>66</v>
      </c>
      <c r="J480" s="21"/>
      <c r="K480" s="20" t="str">
        <f t="shared" si="1"/>
        <v>ROADS,TRANSPORT AND PUBLIC WORKS</v>
      </c>
      <c r="L480" s="20" t="s">
        <v>107</v>
      </c>
      <c r="M480" s="20" t="str">
        <f t="shared" si="2"/>
        <v>ROADS,TRANSPORT AND PUBLIC WORKS</v>
      </c>
      <c r="N480" s="22" t="s">
        <v>510</v>
      </c>
      <c r="O480" s="22" t="s">
        <v>511</v>
      </c>
      <c r="P480" s="20" t="s">
        <v>512</v>
      </c>
      <c r="Q480" s="20" t="s">
        <v>512</v>
      </c>
      <c r="R480" s="34">
        <v>4409509.0</v>
      </c>
      <c r="S480" s="34">
        <v>4409509.0</v>
      </c>
      <c r="T480" s="34">
        <v>4409509.0</v>
      </c>
      <c r="U480" s="20" t="s">
        <v>71</v>
      </c>
      <c r="V480" s="20"/>
      <c r="W480" s="38">
        <f t="shared" si="6"/>
        <v>4409509</v>
      </c>
      <c r="X480" s="20"/>
      <c r="Y480" s="38">
        <f t="shared" si="7"/>
        <v>4409509</v>
      </c>
      <c r="Z480" s="24">
        <f t="shared" si="3"/>
        <v>1</v>
      </c>
      <c r="AA480" s="23">
        <f t="shared" si="5"/>
        <v>4409509</v>
      </c>
      <c r="AB480" s="20"/>
      <c r="AC480" s="20"/>
      <c r="AD480" s="20"/>
      <c r="AE480" s="20"/>
      <c r="AF480" s="20"/>
      <c r="AG480" s="20"/>
      <c r="AH480" s="20"/>
      <c r="AI480" s="20"/>
      <c r="AJ480" s="20"/>
      <c r="AK480" s="20"/>
      <c r="AL480" s="20"/>
      <c r="AM480" s="20"/>
      <c r="AN480" s="20"/>
      <c r="AO480" s="20"/>
      <c r="AP480" s="20"/>
      <c r="AQ480" s="20"/>
      <c r="AR480" s="20"/>
      <c r="AS480" s="20"/>
      <c r="AT480" s="20"/>
    </row>
    <row r="481">
      <c r="A481" s="20">
        <v>479.0</v>
      </c>
      <c r="B481" s="29" t="s">
        <v>522</v>
      </c>
      <c r="C481" s="20"/>
      <c r="D481" s="20"/>
      <c r="E481" s="20"/>
      <c r="F481" s="20"/>
      <c r="G481" s="20"/>
      <c r="H481" s="33" t="s">
        <v>65</v>
      </c>
      <c r="I481" s="33" t="s">
        <v>66</v>
      </c>
      <c r="J481" s="21"/>
      <c r="K481" s="20" t="str">
        <f t="shared" si="1"/>
        <v>EDUCATION,INFORMATION AND ICT</v>
      </c>
      <c r="L481" s="20" t="s">
        <v>84</v>
      </c>
      <c r="M481" s="20" t="str">
        <f t="shared" si="2"/>
        <v>EDUCATION,INFORMATION AND ICT</v>
      </c>
      <c r="N481" s="22" t="s">
        <v>510</v>
      </c>
      <c r="O481" s="22" t="s">
        <v>511</v>
      </c>
      <c r="P481" s="20" t="s">
        <v>512</v>
      </c>
      <c r="Q481" s="20" t="s">
        <v>512</v>
      </c>
      <c r="R481" s="34">
        <v>2200000.0</v>
      </c>
      <c r="S481" s="34">
        <v>2200000.0</v>
      </c>
      <c r="T481" s="34">
        <v>2200000.0</v>
      </c>
      <c r="U481" s="20" t="s">
        <v>71</v>
      </c>
      <c r="V481" s="20"/>
      <c r="W481" s="38">
        <f t="shared" si="6"/>
        <v>2200000</v>
      </c>
      <c r="X481" s="20"/>
      <c r="Y481" s="38">
        <f t="shared" si="7"/>
        <v>2200000</v>
      </c>
      <c r="Z481" s="24">
        <f t="shared" si="3"/>
        <v>1</v>
      </c>
      <c r="AA481" s="23">
        <f t="shared" si="5"/>
        <v>2200000</v>
      </c>
      <c r="AB481" s="20"/>
      <c r="AC481" s="20"/>
      <c r="AD481" s="20"/>
      <c r="AE481" s="20"/>
      <c r="AF481" s="20"/>
      <c r="AG481" s="20"/>
      <c r="AH481" s="20"/>
      <c r="AI481" s="20"/>
      <c r="AJ481" s="20"/>
      <c r="AK481" s="20"/>
      <c r="AL481" s="20"/>
      <c r="AM481" s="20"/>
      <c r="AN481" s="20"/>
      <c r="AO481" s="20"/>
      <c r="AP481" s="20"/>
      <c r="AQ481" s="20"/>
      <c r="AR481" s="20"/>
      <c r="AS481" s="20"/>
      <c r="AT481" s="20"/>
    </row>
    <row r="482">
      <c r="A482" s="20">
        <v>480.0</v>
      </c>
      <c r="B482" s="29" t="s">
        <v>523</v>
      </c>
      <c r="C482" s="20"/>
      <c r="D482" s="20"/>
      <c r="E482" s="20"/>
      <c r="F482" s="20"/>
      <c r="G482" s="20"/>
      <c r="H482" s="33" t="s">
        <v>65</v>
      </c>
      <c r="I482" s="33" t="s">
        <v>66</v>
      </c>
      <c r="J482" s="21"/>
      <c r="K482" s="20" t="str">
        <f t="shared" si="1"/>
        <v>ROADS,TRANSPORT AND PUBLIC WORKS</v>
      </c>
      <c r="L482" s="20" t="s">
        <v>107</v>
      </c>
      <c r="M482" s="20" t="str">
        <f t="shared" si="2"/>
        <v>ROADS,TRANSPORT AND PUBLIC WORKS</v>
      </c>
      <c r="N482" s="22" t="s">
        <v>510</v>
      </c>
      <c r="O482" s="22" t="s">
        <v>511</v>
      </c>
      <c r="P482" s="20" t="s">
        <v>512</v>
      </c>
      <c r="Q482" s="20" t="s">
        <v>512</v>
      </c>
      <c r="R482" s="34">
        <v>4636475.0</v>
      </c>
      <c r="S482" s="34">
        <v>4636475.0</v>
      </c>
      <c r="T482" s="34">
        <v>4636475.0</v>
      </c>
      <c r="U482" s="20" t="s">
        <v>71</v>
      </c>
      <c r="V482" s="20"/>
      <c r="W482" s="38">
        <f t="shared" si="6"/>
        <v>4636475</v>
      </c>
      <c r="X482" s="20"/>
      <c r="Y482" s="38">
        <f t="shared" si="7"/>
        <v>4636475</v>
      </c>
      <c r="Z482" s="24">
        <f t="shared" si="3"/>
        <v>1</v>
      </c>
      <c r="AA482" s="23">
        <f t="shared" si="5"/>
        <v>4636475</v>
      </c>
      <c r="AB482" s="20"/>
      <c r="AC482" s="20"/>
      <c r="AD482" s="20"/>
      <c r="AE482" s="20"/>
      <c r="AF482" s="20"/>
      <c r="AG482" s="20"/>
      <c r="AH482" s="20"/>
      <c r="AI482" s="20"/>
      <c r="AJ482" s="20"/>
      <c r="AK482" s="20"/>
      <c r="AL482" s="20"/>
      <c r="AM482" s="20"/>
      <c r="AN482" s="20"/>
      <c r="AO482" s="20"/>
      <c r="AP482" s="20"/>
      <c r="AQ482" s="20"/>
      <c r="AR482" s="20"/>
      <c r="AS482" s="20"/>
      <c r="AT482" s="20"/>
    </row>
    <row r="483">
      <c r="A483" s="20">
        <v>481.0</v>
      </c>
      <c r="B483" s="29" t="s">
        <v>524</v>
      </c>
      <c r="C483" s="20"/>
      <c r="D483" s="20"/>
      <c r="E483" s="20"/>
      <c r="F483" s="20"/>
      <c r="G483" s="20"/>
      <c r="H483" s="33" t="s">
        <v>65</v>
      </c>
      <c r="I483" s="33" t="s">
        <v>66</v>
      </c>
      <c r="J483" s="21"/>
      <c r="K483" s="20" t="str">
        <f t="shared" si="1"/>
        <v>EDUCATION,INFORMATION AND ICT</v>
      </c>
      <c r="L483" s="20" t="s">
        <v>84</v>
      </c>
      <c r="M483" s="20" t="str">
        <f t="shared" si="2"/>
        <v>EDUCATION,INFORMATION AND ICT</v>
      </c>
      <c r="N483" s="22" t="s">
        <v>510</v>
      </c>
      <c r="O483" s="22" t="s">
        <v>511</v>
      </c>
      <c r="P483" s="20" t="s">
        <v>512</v>
      </c>
      <c r="Q483" s="20" t="s">
        <v>512</v>
      </c>
      <c r="R483" s="34">
        <v>4602690.0</v>
      </c>
      <c r="S483" s="34">
        <v>4602690.0</v>
      </c>
      <c r="T483" s="34">
        <v>4602690.0</v>
      </c>
      <c r="U483" s="20" t="s">
        <v>71</v>
      </c>
      <c r="V483" s="20"/>
      <c r="W483" s="38">
        <f t="shared" si="6"/>
        <v>4602690</v>
      </c>
      <c r="X483" s="20"/>
      <c r="Y483" s="38">
        <f t="shared" si="7"/>
        <v>4602690</v>
      </c>
      <c r="Z483" s="24">
        <f t="shared" si="3"/>
        <v>1</v>
      </c>
      <c r="AA483" s="23">
        <f t="shared" si="5"/>
        <v>4602690</v>
      </c>
      <c r="AB483" s="20"/>
      <c r="AC483" s="20"/>
      <c r="AD483" s="20"/>
      <c r="AE483" s="20"/>
      <c r="AF483" s="20"/>
      <c r="AG483" s="20"/>
      <c r="AH483" s="20"/>
      <c r="AI483" s="20"/>
      <c r="AJ483" s="20"/>
      <c r="AK483" s="20"/>
      <c r="AL483" s="20"/>
      <c r="AM483" s="20"/>
      <c r="AN483" s="20"/>
      <c r="AO483" s="20"/>
      <c r="AP483" s="20"/>
      <c r="AQ483" s="20"/>
      <c r="AR483" s="20"/>
      <c r="AS483" s="20"/>
      <c r="AT483" s="20"/>
    </row>
    <row r="484">
      <c r="A484" s="20">
        <v>482.0</v>
      </c>
      <c r="B484" s="29" t="s">
        <v>525</v>
      </c>
      <c r="C484" s="20"/>
      <c r="D484" s="20"/>
      <c r="E484" s="20"/>
      <c r="F484" s="20"/>
      <c r="G484" s="20"/>
      <c r="H484" s="33" t="s">
        <v>77</v>
      </c>
      <c r="I484" s="33" t="s">
        <v>77</v>
      </c>
      <c r="J484" s="21"/>
      <c r="K484" s="20" t="str">
        <f t="shared" si="1"/>
        <v>Health services</v>
      </c>
      <c r="L484" s="20" t="s">
        <v>67</v>
      </c>
      <c r="M484" s="20" t="str">
        <f t="shared" si="2"/>
        <v>Health services</v>
      </c>
      <c r="N484" s="22" t="s">
        <v>510</v>
      </c>
      <c r="O484" s="22" t="s">
        <v>511</v>
      </c>
      <c r="P484" s="20" t="s">
        <v>512</v>
      </c>
      <c r="Q484" s="20" t="s">
        <v>512</v>
      </c>
      <c r="R484" s="34">
        <v>2175403.0</v>
      </c>
      <c r="S484" s="34">
        <v>2175403.0</v>
      </c>
      <c r="T484" s="34">
        <v>2175403.0</v>
      </c>
      <c r="U484" s="20" t="s">
        <v>71</v>
      </c>
      <c r="V484" s="20"/>
      <c r="W484" s="38">
        <f t="shared" si="6"/>
        <v>2175403</v>
      </c>
      <c r="X484" s="20"/>
      <c r="Y484" s="38">
        <f t="shared" si="7"/>
        <v>2175403</v>
      </c>
      <c r="Z484" s="24">
        <f t="shared" si="3"/>
        <v>1</v>
      </c>
      <c r="AA484" s="23">
        <f t="shared" si="5"/>
        <v>2175403</v>
      </c>
      <c r="AB484" s="20"/>
      <c r="AC484" s="20"/>
      <c r="AD484" s="20"/>
      <c r="AE484" s="20"/>
      <c r="AF484" s="20"/>
      <c r="AG484" s="20"/>
      <c r="AH484" s="20"/>
      <c r="AI484" s="20"/>
      <c r="AJ484" s="20"/>
      <c r="AK484" s="20"/>
      <c r="AL484" s="20"/>
      <c r="AM484" s="20"/>
      <c r="AN484" s="20"/>
      <c r="AO484" s="20"/>
      <c r="AP484" s="20"/>
      <c r="AQ484" s="20"/>
      <c r="AR484" s="20"/>
      <c r="AS484" s="20"/>
      <c r="AT484" s="20"/>
    </row>
    <row r="485">
      <c r="A485" s="20">
        <v>483.0</v>
      </c>
      <c r="B485" s="29" t="s">
        <v>526</v>
      </c>
      <c r="C485" s="20"/>
      <c r="D485" s="20"/>
      <c r="E485" s="20"/>
      <c r="F485" s="20"/>
      <c r="G485" s="20"/>
      <c r="H485" s="33" t="s">
        <v>77</v>
      </c>
      <c r="I485" s="33" t="s">
        <v>527</v>
      </c>
      <c r="J485" s="21"/>
      <c r="K485" s="20" t="str">
        <f t="shared" si="1"/>
        <v>Health services</v>
      </c>
      <c r="L485" s="20" t="s">
        <v>67</v>
      </c>
      <c r="M485" s="20" t="str">
        <f t="shared" si="2"/>
        <v>Health services</v>
      </c>
      <c r="N485" s="22" t="s">
        <v>510</v>
      </c>
      <c r="O485" s="22" t="s">
        <v>511</v>
      </c>
      <c r="P485" s="20" t="s">
        <v>512</v>
      </c>
      <c r="Q485" s="20" t="s">
        <v>512</v>
      </c>
      <c r="R485" s="34">
        <v>2226230.0</v>
      </c>
      <c r="S485" s="34">
        <v>2226230.0</v>
      </c>
      <c r="T485" s="34">
        <v>2226230.0</v>
      </c>
      <c r="U485" s="20" t="s">
        <v>71</v>
      </c>
      <c r="V485" s="20"/>
      <c r="W485" s="38">
        <f t="shared" si="6"/>
        <v>2226230</v>
      </c>
      <c r="X485" s="20"/>
      <c r="Y485" s="38">
        <f t="shared" si="7"/>
        <v>2226230</v>
      </c>
      <c r="Z485" s="24">
        <f t="shared" si="3"/>
        <v>1</v>
      </c>
      <c r="AA485" s="23">
        <f t="shared" si="5"/>
        <v>2226230</v>
      </c>
      <c r="AB485" s="20"/>
      <c r="AC485" s="20"/>
      <c r="AD485" s="20"/>
      <c r="AE485" s="20"/>
      <c r="AF485" s="20"/>
      <c r="AG485" s="20"/>
      <c r="AH485" s="20"/>
      <c r="AI485" s="20"/>
      <c r="AJ485" s="20"/>
      <c r="AK485" s="20"/>
      <c r="AL485" s="20"/>
      <c r="AM485" s="20"/>
      <c r="AN485" s="20"/>
      <c r="AO485" s="20"/>
      <c r="AP485" s="20"/>
      <c r="AQ485" s="20"/>
      <c r="AR485" s="20"/>
      <c r="AS485" s="20"/>
      <c r="AT485" s="20"/>
    </row>
    <row r="486">
      <c r="A486" s="20">
        <v>484.0</v>
      </c>
      <c r="B486" s="29" t="s">
        <v>528</v>
      </c>
      <c r="C486" s="20"/>
      <c r="D486" s="20"/>
      <c r="E486" s="20"/>
      <c r="F486" s="20"/>
      <c r="G486" s="20"/>
      <c r="H486" s="33" t="s">
        <v>160</v>
      </c>
      <c r="I486" s="33" t="s">
        <v>160</v>
      </c>
      <c r="J486" s="21"/>
      <c r="K486" s="20" t="str">
        <f t="shared" si="1"/>
        <v>Health services</v>
      </c>
      <c r="L486" s="20" t="s">
        <v>67</v>
      </c>
      <c r="M486" s="20" t="str">
        <f t="shared" si="2"/>
        <v>Health services</v>
      </c>
      <c r="N486" s="22" t="s">
        <v>510</v>
      </c>
      <c r="O486" s="22" t="s">
        <v>511</v>
      </c>
      <c r="P486" s="20" t="s">
        <v>512</v>
      </c>
      <c r="Q486" s="20" t="s">
        <v>512</v>
      </c>
      <c r="R486" s="34">
        <v>1747622.1</v>
      </c>
      <c r="S486" s="34">
        <v>1747622.1</v>
      </c>
      <c r="T486" s="34">
        <v>1747622.1</v>
      </c>
      <c r="U486" s="20" t="s">
        <v>71</v>
      </c>
      <c r="V486" s="20"/>
      <c r="W486" s="38">
        <f t="shared" si="6"/>
        <v>1747622.1</v>
      </c>
      <c r="X486" s="20"/>
      <c r="Y486" s="38">
        <f t="shared" si="7"/>
        <v>1747622.1</v>
      </c>
      <c r="Z486" s="24">
        <f t="shared" si="3"/>
        <v>1</v>
      </c>
      <c r="AA486" s="23">
        <f t="shared" si="5"/>
        <v>1747622.1</v>
      </c>
      <c r="AB486" s="20"/>
      <c r="AC486" s="20"/>
      <c r="AD486" s="20"/>
      <c r="AE486" s="20"/>
      <c r="AF486" s="20"/>
      <c r="AG486" s="20"/>
      <c r="AH486" s="20"/>
      <c r="AI486" s="20"/>
      <c r="AJ486" s="20"/>
      <c r="AK486" s="20"/>
      <c r="AL486" s="20"/>
      <c r="AM486" s="20"/>
      <c r="AN486" s="20"/>
      <c r="AO486" s="20"/>
      <c r="AP486" s="20"/>
      <c r="AQ486" s="20"/>
      <c r="AR486" s="20"/>
      <c r="AS486" s="20"/>
      <c r="AT486" s="20"/>
    </row>
    <row r="487">
      <c r="A487" s="20">
        <v>485.0</v>
      </c>
      <c r="B487" s="29" t="s">
        <v>529</v>
      </c>
      <c r="C487" s="20"/>
      <c r="D487" s="20"/>
      <c r="E487" s="20"/>
      <c r="F487" s="20"/>
      <c r="G487" s="20"/>
      <c r="H487" s="33" t="s">
        <v>113</v>
      </c>
      <c r="I487" s="33" t="s">
        <v>182</v>
      </c>
      <c r="J487" s="21"/>
      <c r="K487" s="20" t="str">
        <f t="shared" si="1"/>
        <v>WATER,ENVIRONMENT,CLIMATE CHANGE AND NATURAL RESOURCES</v>
      </c>
      <c r="L487" s="20" t="s">
        <v>75</v>
      </c>
      <c r="M487" s="20" t="str">
        <f t="shared" si="2"/>
        <v>WATER,ENVIRONMENT,CLIMATE CHANGE AND NATURAL RESOURCES</v>
      </c>
      <c r="N487" s="22" t="s">
        <v>510</v>
      </c>
      <c r="O487" s="22" t="s">
        <v>511</v>
      </c>
      <c r="P487" s="20" t="s">
        <v>512</v>
      </c>
      <c r="Q487" s="20" t="s">
        <v>512</v>
      </c>
      <c r="R487" s="34">
        <v>4.287413795E7</v>
      </c>
      <c r="S487" s="34">
        <v>4.287413795E7</v>
      </c>
      <c r="T487" s="34">
        <v>4.287413795E7</v>
      </c>
      <c r="U487" s="20" t="s">
        <v>71</v>
      </c>
      <c r="V487" s="20"/>
      <c r="W487" s="38">
        <f t="shared" si="6"/>
        <v>42874137.95</v>
      </c>
      <c r="X487" s="20"/>
      <c r="Y487" s="38">
        <f t="shared" si="7"/>
        <v>42874137.95</v>
      </c>
      <c r="Z487" s="24">
        <f t="shared" si="3"/>
        <v>1</v>
      </c>
      <c r="AA487" s="23">
        <f t="shared" si="5"/>
        <v>42874137.95</v>
      </c>
      <c r="AB487" s="20"/>
      <c r="AC487" s="20"/>
      <c r="AD487" s="20"/>
      <c r="AE487" s="20"/>
      <c r="AF487" s="20"/>
      <c r="AG487" s="20"/>
      <c r="AH487" s="20"/>
      <c r="AI487" s="20"/>
      <c r="AJ487" s="20"/>
      <c r="AK487" s="20"/>
      <c r="AL487" s="20"/>
      <c r="AM487" s="20"/>
      <c r="AN487" s="20"/>
      <c r="AO487" s="20"/>
      <c r="AP487" s="20"/>
      <c r="AQ487" s="20"/>
      <c r="AR487" s="20"/>
      <c r="AS487" s="20"/>
      <c r="AT487" s="20"/>
    </row>
    <row r="488">
      <c r="A488" s="20">
        <v>486.0</v>
      </c>
      <c r="B488" s="29" t="s">
        <v>529</v>
      </c>
      <c r="C488" s="20"/>
      <c r="D488" s="20"/>
      <c r="E488" s="20"/>
      <c r="F488" s="20"/>
      <c r="G488" s="20"/>
      <c r="H488" s="33" t="s">
        <v>113</v>
      </c>
      <c r="I488" s="33" t="s">
        <v>182</v>
      </c>
      <c r="J488" s="21"/>
      <c r="K488" s="20" t="str">
        <f t="shared" si="1"/>
        <v>WATER,ENVIRONMENT,CLIMATE CHANGE AND NATURAL RESOURCES</v>
      </c>
      <c r="L488" s="20" t="s">
        <v>75</v>
      </c>
      <c r="M488" s="20" t="str">
        <f t="shared" si="2"/>
        <v>WATER,ENVIRONMENT,CLIMATE CHANGE AND NATURAL RESOURCES</v>
      </c>
      <c r="N488" s="22" t="s">
        <v>510</v>
      </c>
      <c r="O488" s="22" t="s">
        <v>511</v>
      </c>
      <c r="P488" s="20" t="s">
        <v>512</v>
      </c>
      <c r="Q488" s="20" t="s">
        <v>512</v>
      </c>
      <c r="R488" s="34">
        <v>3.57E7</v>
      </c>
      <c r="S488" s="34">
        <v>3.57E7</v>
      </c>
      <c r="T488" s="34">
        <v>3.57E7</v>
      </c>
      <c r="U488" s="20" t="s">
        <v>71</v>
      </c>
      <c r="V488" s="20"/>
      <c r="W488" s="38">
        <f t="shared" si="6"/>
        <v>35700000</v>
      </c>
      <c r="X488" s="20"/>
      <c r="Y488" s="38">
        <f t="shared" si="7"/>
        <v>35700000</v>
      </c>
      <c r="Z488" s="24">
        <f t="shared" si="3"/>
        <v>1</v>
      </c>
      <c r="AA488" s="23">
        <f t="shared" si="5"/>
        <v>35700000</v>
      </c>
      <c r="AB488" s="20"/>
      <c r="AC488" s="20"/>
      <c r="AD488" s="20"/>
      <c r="AE488" s="20"/>
      <c r="AF488" s="20"/>
      <c r="AG488" s="20"/>
      <c r="AH488" s="20"/>
      <c r="AI488" s="20"/>
      <c r="AJ488" s="20"/>
      <c r="AK488" s="20"/>
      <c r="AL488" s="20"/>
      <c r="AM488" s="20"/>
      <c r="AN488" s="20"/>
      <c r="AO488" s="20"/>
      <c r="AP488" s="20"/>
      <c r="AQ488" s="20"/>
      <c r="AR488" s="20"/>
      <c r="AS488" s="20"/>
      <c r="AT488" s="20"/>
    </row>
    <row r="489">
      <c r="A489" s="20">
        <v>487.0</v>
      </c>
      <c r="B489" s="29" t="s">
        <v>529</v>
      </c>
      <c r="C489" s="20"/>
      <c r="D489" s="20"/>
      <c r="E489" s="20"/>
      <c r="F489" s="20"/>
      <c r="G489" s="20"/>
      <c r="H489" s="33" t="s">
        <v>113</v>
      </c>
      <c r="I489" s="33" t="s">
        <v>182</v>
      </c>
      <c r="J489" s="21"/>
      <c r="K489" s="20" t="str">
        <f t="shared" si="1"/>
        <v>WATER,ENVIRONMENT,CLIMATE CHANGE AND NATURAL RESOURCES</v>
      </c>
      <c r="L489" s="20" t="s">
        <v>75</v>
      </c>
      <c r="M489" s="20" t="str">
        <f t="shared" si="2"/>
        <v>WATER,ENVIRONMENT,CLIMATE CHANGE AND NATURAL RESOURCES</v>
      </c>
      <c r="N489" s="22" t="s">
        <v>510</v>
      </c>
      <c r="O489" s="22" t="s">
        <v>511</v>
      </c>
      <c r="P489" s="20" t="s">
        <v>512</v>
      </c>
      <c r="Q489" s="20" t="s">
        <v>512</v>
      </c>
      <c r="R489" s="34">
        <v>4.763793105E7</v>
      </c>
      <c r="S489" s="34">
        <v>4.763793105E7</v>
      </c>
      <c r="T489" s="34">
        <v>4.763793105E7</v>
      </c>
      <c r="U489" s="20" t="s">
        <v>71</v>
      </c>
      <c r="V489" s="20"/>
      <c r="W489" s="38">
        <f t="shared" si="6"/>
        <v>47637931.05</v>
      </c>
      <c r="X489" s="20"/>
      <c r="Y489" s="38">
        <f t="shared" si="7"/>
        <v>47637931.05</v>
      </c>
      <c r="Z489" s="24">
        <f t="shared" si="3"/>
        <v>1</v>
      </c>
      <c r="AA489" s="23">
        <f t="shared" si="5"/>
        <v>47637931.05</v>
      </c>
      <c r="AB489" s="20"/>
      <c r="AC489" s="20"/>
      <c r="AD489" s="20"/>
      <c r="AE489" s="20"/>
      <c r="AF489" s="20"/>
      <c r="AG489" s="20"/>
      <c r="AH489" s="20"/>
      <c r="AI489" s="20"/>
      <c r="AJ489" s="20"/>
      <c r="AK489" s="20"/>
      <c r="AL489" s="20"/>
      <c r="AM489" s="20"/>
      <c r="AN489" s="20"/>
      <c r="AO489" s="20"/>
      <c r="AP489" s="20"/>
      <c r="AQ489" s="20"/>
      <c r="AR489" s="20"/>
      <c r="AS489" s="20"/>
      <c r="AT489" s="20"/>
    </row>
    <row r="490">
      <c r="A490" s="20">
        <v>488.0</v>
      </c>
      <c r="B490" s="29" t="s">
        <v>530</v>
      </c>
      <c r="C490" s="20"/>
      <c r="D490" s="20"/>
      <c r="E490" s="20"/>
      <c r="F490" s="20"/>
      <c r="G490" s="20"/>
      <c r="H490" s="33" t="s">
        <v>65</v>
      </c>
      <c r="I490" s="33" t="s">
        <v>66</v>
      </c>
      <c r="J490" s="21"/>
      <c r="K490" s="20" t="str">
        <f t="shared" si="1"/>
        <v>ROADS,TRANSPORT AND PUBLIC WORKS</v>
      </c>
      <c r="L490" s="20" t="s">
        <v>107</v>
      </c>
      <c r="M490" s="20" t="str">
        <f t="shared" si="2"/>
        <v>ROADS,TRANSPORT AND PUBLIC WORKS</v>
      </c>
      <c r="N490" s="22" t="s">
        <v>510</v>
      </c>
      <c r="O490" s="22" t="s">
        <v>511</v>
      </c>
      <c r="P490" s="20" t="s">
        <v>512</v>
      </c>
      <c r="Q490" s="20" t="s">
        <v>512</v>
      </c>
      <c r="R490" s="34">
        <v>6342105.0</v>
      </c>
      <c r="S490" s="34">
        <v>6342105.0</v>
      </c>
      <c r="T490" s="34">
        <v>6342105.0</v>
      </c>
      <c r="U490" s="20" t="s">
        <v>71</v>
      </c>
      <c r="V490" s="20"/>
      <c r="W490" s="38">
        <f t="shared" si="6"/>
        <v>6342105</v>
      </c>
      <c r="X490" s="20"/>
      <c r="Y490" s="38">
        <f t="shared" si="7"/>
        <v>6342105</v>
      </c>
      <c r="Z490" s="24">
        <f t="shared" si="3"/>
        <v>1</v>
      </c>
      <c r="AA490" s="23">
        <f t="shared" si="5"/>
        <v>6342105</v>
      </c>
      <c r="AB490" s="20"/>
      <c r="AC490" s="20"/>
      <c r="AD490" s="20"/>
      <c r="AE490" s="20"/>
      <c r="AF490" s="20"/>
      <c r="AG490" s="20"/>
      <c r="AH490" s="20"/>
      <c r="AI490" s="20"/>
      <c r="AJ490" s="20"/>
      <c r="AK490" s="20"/>
      <c r="AL490" s="20"/>
      <c r="AM490" s="20"/>
      <c r="AN490" s="20"/>
      <c r="AO490" s="20"/>
      <c r="AP490" s="20"/>
      <c r="AQ490" s="20"/>
      <c r="AR490" s="20"/>
      <c r="AS490" s="20"/>
      <c r="AT490" s="20"/>
    </row>
    <row r="491">
      <c r="A491" s="20">
        <v>489.0</v>
      </c>
      <c r="B491" s="29" t="s">
        <v>529</v>
      </c>
      <c r="C491" s="20"/>
      <c r="D491" s="20"/>
      <c r="E491" s="20"/>
      <c r="F491" s="20"/>
      <c r="G491" s="20"/>
      <c r="H491" s="33" t="s">
        <v>113</v>
      </c>
      <c r="I491" s="33" t="s">
        <v>182</v>
      </c>
      <c r="J491" s="21"/>
      <c r="K491" s="20" t="str">
        <f t="shared" si="1"/>
        <v>WATER,ENVIRONMENT,CLIMATE CHANGE AND NATURAL RESOURCES</v>
      </c>
      <c r="L491" s="20" t="s">
        <v>75</v>
      </c>
      <c r="M491" s="20" t="str">
        <f t="shared" si="2"/>
        <v>WATER,ENVIRONMENT,CLIMATE CHANGE AND NATURAL RESOURCES</v>
      </c>
      <c r="N491" s="22" t="s">
        <v>510</v>
      </c>
      <c r="O491" s="22" t="s">
        <v>511</v>
      </c>
      <c r="P491" s="20" t="s">
        <v>512</v>
      </c>
      <c r="Q491" s="20" t="s">
        <v>512</v>
      </c>
      <c r="R491" s="34">
        <v>1.2E7</v>
      </c>
      <c r="S491" s="34">
        <v>1.2E7</v>
      </c>
      <c r="T491" s="34">
        <v>1.2E7</v>
      </c>
      <c r="U491" s="20" t="s">
        <v>71</v>
      </c>
      <c r="V491" s="20"/>
      <c r="W491" s="38">
        <f t="shared" si="6"/>
        <v>12000000</v>
      </c>
      <c r="X491" s="20"/>
      <c r="Y491" s="38">
        <f t="shared" si="7"/>
        <v>12000000</v>
      </c>
      <c r="Z491" s="24">
        <f t="shared" si="3"/>
        <v>1</v>
      </c>
      <c r="AA491" s="23">
        <f t="shared" si="5"/>
        <v>12000000</v>
      </c>
      <c r="AB491" s="20"/>
      <c r="AC491" s="20"/>
      <c r="AD491" s="20"/>
      <c r="AE491" s="20"/>
      <c r="AF491" s="20"/>
      <c r="AG491" s="20"/>
      <c r="AH491" s="20"/>
      <c r="AI491" s="20"/>
      <c r="AJ491" s="20"/>
      <c r="AK491" s="20"/>
      <c r="AL491" s="20"/>
      <c r="AM491" s="20"/>
      <c r="AN491" s="20"/>
      <c r="AO491" s="20"/>
      <c r="AP491" s="20"/>
      <c r="AQ491" s="20"/>
      <c r="AR491" s="20"/>
      <c r="AS491" s="20"/>
      <c r="AT491" s="20"/>
    </row>
    <row r="492">
      <c r="A492" s="20">
        <v>490.0</v>
      </c>
      <c r="B492" s="29" t="s">
        <v>531</v>
      </c>
      <c r="C492" s="20"/>
      <c r="D492" s="20"/>
      <c r="E492" s="20"/>
      <c r="F492" s="20"/>
      <c r="G492" s="20"/>
      <c r="H492" s="33" t="s">
        <v>65</v>
      </c>
      <c r="I492" s="33" t="s">
        <v>66</v>
      </c>
      <c r="J492" s="21"/>
      <c r="K492" s="20" t="str">
        <f t="shared" si="1"/>
        <v>ROADS,TRANSPORT AND PUBLIC WORKS</v>
      </c>
      <c r="L492" s="20" t="s">
        <v>107</v>
      </c>
      <c r="M492" s="20" t="str">
        <f t="shared" si="2"/>
        <v>ROADS,TRANSPORT AND PUBLIC WORKS</v>
      </c>
      <c r="N492" s="22" t="s">
        <v>510</v>
      </c>
      <c r="O492" s="22" t="s">
        <v>511</v>
      </c>
      <c r="P492" s="20" t="s">
        <v>512</v>
      </c>
      <c r="Q492" s="20" t="s">
        <v>512</v>
      </c>
      <c r="R492" s="34">
        <v>8432893.2</v>
      </c>
      <c r="S492" s="34">
        <v>8432893.2</v>
      </c>
      <c r="T492" s="34">
        <v>8432893.2</v>
      </c>
      <c r="U492" s="20" t="s">
        <v>71</v>
      </c>
      <c r="V492" s="20"/>
      <c r="W492" s="38">
        <f t="shared" si="6"/>
        <v>8432893.2</v>
      </c>
      <c r="X492" s="20"/>
      <c r="Y492" s="38">
        <f t="shared" si="7"/>
        <v>8432893.2</v>
      </c>
      <c r="Z492" s="24">
        <f t="shared" si="3"/>
        <v>1</v>
      </c>
      <c r="AA492" s="23">
        <f t="shared" si="5"/>
        <v>8432893.2</v>
      </c>
      <c r="AB492" s="20"/>
      <c r="AC492" s="20"/>
      <c r="AD492" s="20"/>
      <c r="AE492" s="20"/>
      <c r="AF492" s="20"/>
      <c r="AG492" s="20"/>
      <c r="AH492" s="20"/>
      <c r="AI492" s="20"/>
      <c r="AJ492" s="20"/>
      <c r="AK492" s="20"/>
      <c r="AL492" s="20"/>
      <c r="AM492" s="20"/>
      <c r="AN492" s="20"/>
      <c r="AO492" s="20"/>
      <c r="AP492" s="20"/>
      <c r="AQ492" s="20"/>
      <c r="AR492" s="20"/>
      <c r="AS492" s="20"/>
      <c r="AT492" s="20"/>
    </row>
    <row r="493">
      <c r="A493" s="20">
        <v>491.0</v>
      </c>
      <c r="B493" s="29" t="s">
        <v>532</v>
      </c>
      <c r="C493" s="20"/>
      <c r="D493" s="20"/>
      <c r="E493" s="20"/>
      <c r="F493" s="20"/>
      <c r="G493" s="20"/>
      <c r="H493" s="33" t="s">
        <v>81</v>
      </c>
      <c r="I493" s="33" t="s">
        <v>83</v>
      </c>
      <c r="J493" s="21"/>
      <c r="K493" s="20" t="str">
        <f t="shared" si="1"/>
        <v>WATER,ENVIRONMENT,CLIMATE CHANGE AND NATURAL RESOURCES</v>
      </c>
      <c r="L493" s="20" t="s">
        <v>75</v>
      </c>
      <c r="M493" s="20" t="str">
        <f t="shared" si="2"/>
        <v>WATER,ENVIRONMENT,CLIMATE CHANGE AND NATURAL RESOURCES</v>
      </c>
      <c r="N493" s="22" t="s">
        <v>510</v>
      </c>
      <c r="O493" s="22" t="s">
        <v>511</v>
      </c>
      <c r="P493" s="20" t="s">
        <v>512</v>
      </c>
      <c r="Q493" s="20" t="s">
        <v>512</v>
      </c>
      <c r="R493" s="34">
        <v>7500000.0</v>
      </c>
      <c r="S493" s="34">
        <v>7500000.0</v>
      </c>
      <c r="T493" s="34">
        <v>7500000.0</v>
      </c>
      <c r="U493" s="20" t="s">
        <v>71</v>
      </c>
      <c r="V493" s="20"/>
      <c r="W493" s="38">
        <f t="shared" si="6"/>
        <v>7500000</v>
      </c>
      <c r="X493" s="20"/>
      <c r="Y493" s="38">
        <f t="shared" si="7"/>
        <v>7500000</v>
      </c>
      <c r="Z493" s="24">
        <f t="shared" si="3"/>
        <v>1</v>
      </c>
      <c r="AA493" s="23">
        <f t="shared" si="5"/>
        <v>7500000</v>
      </c>
      <c r="AB493" s="20"/>
      <c r="AC493" s="20"/>
      <c r="AD493" s="20"/>
      <c r="AE493" s="20"/>
      <c r="AF493" s="20"/>
      <c r="AG493" s="20"/>
      <c r="AH493" s="20"/>
      <c r="AI493" s="20"/>
      <c r="AJ493" s="20"/>
      <c r="AK493" s="20"/>
      <c r="AL493" s="20"/>
      <c r="AM493" s="20"/>
      <c r="AN493" s="20"/>
      <c r="AO493" s="20"/>
      <c r="AP493" s="20"/>
      <c r="AQ493" s="20"/>
      <c r="AR493" s="20"/>
      <c r="AS493" s="20"/>
      <c r="AT493" s="20"/>
    </row>
    <row r="494">
      <c r="A494" s="20">
        <v>492.0</v>
      </c>
      <c r="B494" s="29" t="s">
        <v>533</v>
      </c>
      <c r="C494" s="20"/>
      <c r="D494" s="20"/>
      <c r="E494" s="20"/>
      <c r="F494" s="20"/>
      <c r="G494" s="20"/>
      <c r="H494" s="33" t="s">
        <v>65</v>
      </c>
      <c r="I494" s="33" t="s">
        <v>66</v>
      </c>
      <c r="J494" s="21"/>
      <c r="K494" s="20" t="str">
        <f t="shared" si="1"/>
        <v>WATER,ENVIRONMENT,CLIMATE CHANGE AND NATURAL RESOURCES</v>
      </c>
      <c r="L494" s="20" t="s">
        <v>75</v>
      </c>
      <c r="M494" s="20" t="str">
        <f t="shared" si="2"/>
        <v>WATER,ENVIRONMENT,CLIMATE CHANGE AND NATURAL RESOURCES</v>
      </c>
      <c r="N494" s="22" t="s">
        <v>510</v>
      </c>
      <c r="O494" s="22" t="s">
        <v>511</v>
      </c>
      <c r="P494" s="20" t="s">
        <v>512</v>
      </c>
      <c r="Q494" s="20" t="s">
        <v>512</v>
      </c>
      <c r="R494" s="34">
        <v>1.6804666E7</v>
      </c>
      <c r="S494" s="34">
        <v>1.6804666E7</v>
      </c>
      <c r="T494" s="34">
        <v>1.6804666E7</v>
      </c>
      <c r="U494" s="20" t="s">
        <v>71</v>
      </c>
      <c r="V494" s="20"/>
      <c r="W494" s="38">
        <f t="shared" si="6"/>
        <v>16804666</v>
      </c>
      <c r="X494" s="20"/>
      <c r="Y494" s="38">
        <f t="shared" si="7"/>
        <v>16804666</v>
      </c>
      <c r="Z494" s="24">
        <f t="shared" si="3"/>
        <v>1</v>
      </c>
      <c r="AA494" s="23">
        <f t="shared" si="5"/>
        <v>16804666</v>
      </c>
      <c r="AB494" s="20"/>
      <c r="AC494" s="20"/>
      <c r="AD494" s="20"/>
      <c r="AE494" s="20"/>
      <c r="AF494" s="20"/>
      <c r="AG494" s="20"/>
      <c r="AH494" s="20"/>
      <c r="AI494" s="20"/>
      <c r="AJ494" s="20"/>
      <c r="AK494" s="20"/>
      <c r="AL494" s="20"/>
      <c r="AM494" s="20"/>
      <c r="AN494" s="20"/>
      <c r="AO494" s="20"/>
      <c r="AP494" s="20"/>
      <c r="AQ494" s="20"/>
      <c r="AR494" s="20"/>
      <c r="AS494" s="20"/>
      <c r="AT494" s="20"/>
    </row>
    <row r="495">
      <c r="A495" s="20">
        <v>493.0</v>
      </c>
      <c r="B495" s="29" t="s">
        <v>534</v>
      </c>
      <c r="C495" s="20"/>
      <c r="D495" s="20"/>
      <c r="E495" s="20"/>
      <c r="F495" s="20"/>
      <c r="G495" s="20"/>
      <c r="H495" s="33" t="s">
        <v>65</v>
      </c>
      <c r="I495" s="33" t="s">
        <v>66</v>
      </c>
      <c r="J495" s="21"/>
      <c r="K495" s="20" t="str">
        <f t="shared" si="1"/>
        <v>WATER,ENVIRONMENT,CLIMATE CHANGE AND NATURAL RESOURCES</v>
      </c>
      <c r="L495" s="20" t="s">
        <v>75</v>
      </c>
      <c r="M495" s="20" t="str">
        <f t="shared" si="2"/>
        <v>WATER,ENVIRONMENT,CLIMATE CHANGE AND NATURAL RESOURCES</v>
      </c>
      <c r="N495" s="22" t="s">
        <v>510</v>
      </c>
      <c r="O495" s="22" t="s">
        <v>511</v>
      </c>
      <c r="P495" s="20" t="s">
        <v>512</v>
      </c>
      <c r="Q495" s="20" t="s">
        <v>512</v>
      </c>
      <c r="R495" s="34">
        <v>1.6341617E7</v>
      </c>
      <c r="S495" s="34">
        <v>1.6341617E7</v>
      </c>
      <c r="T495" s="34">
        <v>1.6341617E7</v>
      </c>
      <c r="U495" s="20" t="s">
        <v>71</v>
      </c>
      <c r="V495" s="20"/>
      <c r="W495" s="38">
        <f t="shared" si="6"/>
        <v>16341617</v>
      </c>
      <c r="X495" s="20"/>
      <c r="Y495" s="38">
        <f t="shared" si="7"/>
        <v>16341617</v>
      </c>
      <c r="Z495" s="24">
        <f t="shared" si="3"/>
        <v>1</v>
      </c>
      <c r="AA495" s="23">
        <f t="shared" si="5"/>
        <v>16341617</v>
      </c>
      <c r="AB495" s="20"/>
      <c r="AC495" s="20"/>
      <c r="AD495" s="20"/>
      <c r="AE495" s="20"/>
      <c r="AF495" s="20"/>
      <c r="AG495" s="20"/>
      <c r="AH495" s="20"/>
      <c r="AI495" s="20"/>
      <c r="AJ495" s="20"/>
      <c r="AK495" s="20"/>
      <c r="AL495" s="20"/>
      <c r="AM495" s="20"/>
      <c r="AN495" s="20"/>
      <c r="AO495" s="20"/>
      <c r="AP495" s="20"/>
      <c r="AQ495" s="20"/>
      <c r="AR495" s="20"/>
      <c r="AS495" s="20"/>
      <c r="AT495" s="20"/>
    </row>
    <row r="496">
      <c r="A496" s="20">
        <v>494.0</v>
      </c>
      <c r="B496" s="29" t="s">
        <v>535</v>
      </c>
      <c r="C496" s="20"/>
      <c r="D496" s="20"/>
      <c r="E496" s="20"/>
      <c r="F496" s="20"/>
      <c r="G496" s="20"/>
      <c r="H496" s="33" t="s">
        <v>77</v>
      </c>
      <c r="I496" s="33" t="s">
        <v>77</v>
      </c>
      <c r="J496" s="21"/>
      <c r="K496" s="20" t="str">
        <f t="shared" si="1"/>
        <v>WATER,ENVIRONMENT,CLIMATE CHANGE AND NATURAL RESOURCES</v>
      </c>
      <c r="L496" s="20" t="s">
        <v>75</v>
      </c>
      <c r="M496" s="20" t="str">
        <f t="shared" si="2"/>
        <v>WATER,ENVIRONMENT,CLIMATE CHANGE AND NATURAL RESOURCES</v>
      </c>
      <c r="N496" s="22" t="s">
        <v>510</v>
      </c>
      <c r="O496" s="22" t="s">
        <v>511</v>
      </c>
      <c r="P496" s="20" t="s">
        <v>512</v>
      </c>
      <c r="Q496" s="20" t="s">
        <v>512</v>
      </c>
      <c r="R496" s="34">
        <v>3000000.0</v>
      </c>
      <c r="S496" s="34">
        <v>3000000.0</v>
      </c>
      <c r="T496" s="34">
        <v>3000000.0</v>
      </c>
      <c r="U496" s="20" t="s">
        <v>71</v>
      </c>
      <c r="V496" s="20"/>
      <c r="W496" s="38">
        <f t="shared" si="6"/>
        <v>3000000</v>
      </c>
      <c r="X496" s="20"/>
      <c r="Y496" s="38">
        <f t="shared" si="7"/>
        <v>3000000</v>
      </c>
      <c r="Z496" s="24">
        <f t="shared" si="3"/>
        <v>1</v>
      </c>
      <c r="AA496" s="23">
        <f t="shared" si="5"/>
        <v>3000000</v>
      </c>
      <c r="AB496" s="20"/>
      <c r="AC496" s="20"/>
      <c r="AD496" s="20"/>
      <c r="AE496" s="20"/>
      <c r="AF496" s="20"/>
      <c r="AG496" s="20"/>
      <c r="AH496" s="20"/>
      <c r="AI496" s="20"/>
      <c r="AJ496" s="20"/>
      <c r="AK496" s="20"/>
      <c r="AL496" s="20"/>
      <c r="AM496" s="20"/>
      <c r="AN496" s="20"/>
      <c r="AO496" s="20"/>
      <c r="AP496" s="20"/>
      <c r="AQ496" s="20"/>
      <c r="AR496" s="20"/>
      <c r="AS496" s="20"/>
      <c r="AT496" s="20"/>
    </row>
    <row r="497">
      <c r="A497" s="20">
        <v>495.0</v>
      </c>
      <c r="B497" s="29" t="s">
        <v>536</v>
      </c>
      <c r="C497" s="20"/>
      <c r="D497" s="20"/>
      <c r="E497" s="20"/>
      <c r="F497" s="20"/>
      <c r="G497" s="20"/>
      <c r="H497" s="33" t="s">
        <v>65</v>
      </c>
      <c r="I497" s="33" t="s">
        <v>66</v>
      </c>
      <c r="J497" s="21"/>
      <c r="K497" s="20" t="str">
        <f t="shared" si="1"/>
        <v>WATER,ENVIRONMENT,CLIMATE CHANGE AND NATURAL RESOURCES</v>
      </c>
      <c r="L497" s="20" t="s">
        <v>75</v>
      </c>
      <c r="M497" s="20" t="str">
        <f t="shared" si="2"/>
        <v>WATER,ENVIRONMENT,CLIMATE CHANGE AND NATURAL RESOURCES</v>
      </c>
      <c r="N497" s="22" t="s">
        <v>510</v>
      </c>
      <c r="O497" s="22" t="s">
        <v>511</v>
      </c>
      <c r="P497" s="20" t="s">
        <v>512</v>
      </c>
      <c r="Q497" s="20" t="s">
        <v>512</v>
      </c>
      <c r="R497" s="34">
        <v>4093241.4</v>
      </c>
      <c r="S497" s="34">
        <v>4093241.4</v>
      </c>
      <c r="T497" s="34">
        <v>4093241.4</v>
      </c>
      <c r="U497" s="20" t="s">
        <v>71</v>
      </c>
      <c r="V497" s="20"/>
      <c r="W497" s="38">
        <f t="shared" si="6"/>
        <v>4093241.4</v>
      </c>
      <c r="X497" s="20"/>
      <c r="Y497" s="38">
        <f t="shared" si="7"/>
        <v>4093241.4</v>
      </c>
      <c r="Z497" s="24">
        <f t="shared" si="3"/>
        <v>1</v>
      </c>
      <c r="AA497" s="23">
        <f t="shared" si="5"/>
        <v>4093241.4</v>
      </c>
      <c r="AB497" s="20"/>
      <c r="AC497" s="20"/>
      <c r="AD497" s="20"/>
      <c r="AE497" s="20"/>
      <c r="AF497" s="20"/>
      <c r="AG497" s="20"/>
      <c r="AH497" s="20"/>
      <c r="AI497" s="20"/>
      <c r="AJ497" s="20"/>
      <c r="AK497" s="20"/>
      <c r="AL497" s="20"/>
      <c r="AM497" s="20"/>
      <c r="AN497" s="20"/>
      <c r="AO497" s="20"/>
      <c r="AP497" s="20"/>
      <c r="AQ497" s="20"/>
      <c r="AR497" s="20"/>
      <c r="AS497" s="20"/>
      <c r="AT497" s="20"/>
    </row>
    <row r="498">
      <c r="A498" s="20">
        <v>496.0</v>
      </c>
      <c r="B498" s="29" t="s">
        <v>537</v>
      </c>
      <c r="C498" s="20"/>
      <c r="D498" s="20"/>
      <c r="E498" s="20"/>
      <c r="F498" s="20"/>
      <c r="G498" s="20"/>
      <c r="H498" s="33" t="s">
        <v>104</v>
      </c>
      <c r="I498" s="33" t="s">
        <v>104</v>
      </c>
      <c r="J498" s="21"/>
      <c r="K498" s="20" t="str">
        <f t="shared" si="1"/>
        <v>WATER,ENVIRONMENT,CLIMATE CHANGE AND NATURAL RESOURCES</v>
      </c>
      <c r="L498" s="20" t="s">
        <v>75</v>
      </c>
      <c r="M498" s="20" t="str">
        <f t="shared" si="2"/>
        <v>WATER,ENVIRONMENT,CLIMATE CHANGE AND NATURAL RESOURCES</v>
      </c>
      <c r="N498" s="22" t="s">
        <v>510</v>
      </c>
      <c r="O498" s="22" t="s">
        <v>511</v>
      </c>
      <c r="P498" s="20" t="s">
        <v>512</v>
      </c>
      <c r="Q498" s="20" t="s">
        <v>512</v>
      </c>
      <c r="R498" s="34">
        <v>4465000.0</v>
      </c>
      <c r="S498" s="34">
        <v>4465000.0</v>
      </c>
      <c r="T498" s="34">
        <v>4465000.0</v>
      </c>
      <c r="U498" s="20" t="s">
        <v>71</v>
      </c>
      <c r="V498" s="20"/>
      <c r="W498" s="38">
        <f t="shared" si="6"/>
        <v>4465000</v>
      </c>
      <c r="X498" s="20"/>
      <c r="Y498" s="38">
        <f t="shared" si="7"/>
        <v>4465000</v>
      </c>
      <c r="Z498" s="24">
        <f t="shared" si="3"/>
        <v>1</v>
      </c>
      <c r="AA498" s="23">
        <f t="shared" si="5"/>
        <v>4465000</v>
      </c>
      <c r="AB498" s="20"/>
      <c r="AC498" s="20"/>
      <c r="AD498" s="20"/>
      <c r="AE498" s="20"/>
      <c r="AF498" s="20"/>
      <c r="AG498" s="20"/>
      <c r="AH498" s="20"/>
      <c r="AI498" s="20"/>
      <c r="AJ498" s="20"/>
      <c r="AK498" s="20"/>
      <c r="AL498" s="20"/>
      <c r="AM498" s="20"/>
      <c r="AN498" s="20"/>
      <c r="AO498" s="20"/>
      <c r="AP498" s="20"/>
      <c r="AQ498" s="20"/>
      <c r="AR498" s="20"/>
      <c r="AS498" s="20"/>
      <c r="AT498" s="20"/>
    </row>
    <row r="499">
      <c r="A499" s="20">
        <v>497.0</v>
      </c>
      <c r="B499" s="29" t="s">
        <v>538</v>
      </c>
      <c r="C499" s="20"/>
      <c r="D499" s="20"/>
      <c r="E499" s="20"/>
      <c r="F499" s="20"/>
      <c r="G499" s="20"/>
      <c r="H499" s="33" t="s">
        <v>113</v>
      </c>
      <c r="I499" s="33" t="s">
        <v>182</v>
      </c>
      <c r="J499" s="21"/>
      <c r="K499" s="20" t="str">
        <f t="shared" si="1"/>
        <v>WATER,ENVIRONMENT,CLIMATE CHANGE AND NATURAL RESOURCES</v>
      </c>
      <c r="L499" s="20" t="s">
        <v>75</v>
      </c>
      <c r="M499" s="20" t="str">
        <f t="shared" si="2"/>
        <v>WATER,ENVIRONMENT,CLIMATE CHANGE AND NATURAL RESOURCES</v>
      </c>
      <c r="N499" s="22" t="s">
        <v>510</v>
      </c>
      <c r="O499" s="22" t="s">
        <v>511</v>
      </c>
      <c r="P499" s="20" t="s">
        <v>512</v>
      </c>
      <c r="Q499" s="20" t="s">
        <v>512</v>
      </c>
      <c r="R499" s="34">
        <v>1.045E7</v>
      </c>
      <c r="S499" s="34">
        <v>1.045E7</v>
      </c>
      <c r="T499" s="34">
        <v>1.045E7</v>
      </c>
      <c r="U499" s="20" t="s">
        <v>71</v>
      </c>
      <c r="V499" s="20"/>
      <c r="W499" s="38">
        <f t="shared" si="6"/>
        <v>10450000</v>
      </c>
      <c r="X499" s="20"/>
      <c r="Y499" s="38">
        <f t="shared" si="7"/>
        <v>10450000</v>
      </c>
      <c r="Z499" s="24">
        <f t="shared" si="3"/>
        <v>1</v>
      </c>
      <c r="AA499" s="23">
        <f t="shared" si="5"/>
        <v>10450000</v>
      </c>
      <c r="AB499" s="20"/>
      <c r="AC499" s="20"/>
      <c r="AD499" s="20"/>
      <c r="AE499" s="20"/>
      <c r="AF499" s="20"/>
      <c r="AG499" s="20"/>
      <c r="AH499" s="20"/>
      <c r="AI499" s="20"/>
      <c r="AJ499" s="20"/>
      <c r="AK499" s="20"/>
      <c r="AL499" s="20"/>
      <c r="AM499" s="20"/>
      <c r="AN499" s="20"/>
      <c r="AO499" s="20"/>
      <c r="AP499" s="20"/>
      <c r="AQ499" s="20"/>
      <c r="AR499" s="20"/>
      <c r="AS499" s="20"/>
      <c r="AT499" s="20"/>
    </row>
    <row r="500">
      <c r="A500" s="20">
        <v>498.0</v>
      </c>
      <c r="B500" s="29" t="s">
        <v>538</v>
      </c>
      <c r="C500" s="20"/>
      <c r="D500" s="20"/>
      <c r="E500" s="20"/>
      <c r="F500" s="20"/>
      <c r="G500" s="20"/>
      <c r="H500" s="33" t="s">
        <v>113</v>
      </c>
      <c r="I500" s="33" t="s">
        <v>182</v>
      </c>
      <c r="J500" s="21"/>
      <c r="K500" s="20" t="str">
        <f t="shared" si="1"/>
        <v>WATER,ENVIRONMENT,CLIMATE CHANGE AND NATURAL RESOURCES</v>
      </c>
      <c r="L500" s="20" t="s">
        <v>75</v>
      </c>
      <c r="M500" s="20" t="str">
        <f t="shared" si="2"/>
        <v>WATER,ENVIRONMENT,CLIMATE CHANGE AND NATURAL RESOURCES</v>
      </c>
      <c r="N500" s="22" t="s">
        <v>510</v>
      </c>
      <c r="O500" s="22" t="s">
        <v>511</v>
      </c>
      <c r="P500" s="20" t="s">
        <v>512</v>
      </c>
      <c r="Q500" s="20" t="s">
        <v>512</v>
      </c>
      <c r="R500" s="34">
        <v>3.65E7</v>
      </c>
      <c r="S500" s="34">
        <v>3.65E7</v>
      </c>
      <c r="T500" s="34">
        <v>3.65E7</v>
      </c>
      <c r="U500" s="20" t="s">
        <v>71</v>
      </c>
      <c r="V500" s="20"/>
      <c r="W500" s="38">
        <f t="shared" si="6"/>
        <v>36500000</v>
      </c>
      <c r="X500" s="20"/>
      <c r="Y500" s="38">
        <f t="shared" si="7"/>
        <v>36500000</v>
      </c>
      <c r="Z500" s="24">
        <f t="shared" si="3"/>
        <v>1</v>
      </c>
      <c r="AA500" s="23">
        <f t="shared" si="5"/>
        <v>36500000</v>
      </c>
      <c r="AB500" s="20"/>
      <c r="AC500" s="20"/>
      <c r="AD500" s="20"/>
      <c r="AE500" s="20"/>
      <c r="AF500" s="20"/>
      <c r="AG500" s="20"/>
      <c r="AH500" s="20"/>
      <c r="AI500" s="20"/>
      <c r="AJ500" s="20"/>
      <c r="AK500" s="20"/>
      <c r="AL500" s="20"/>
      <c r="AM500" s="20"/>
      <c r="AN500" s="20"/>
      <c r="AO500" s="20"/>
      <c r="AP500" s="20"/>
      <c r="AQ500" s="20"/>
      <c r="AR500" s="20"/>
      <c r="AS500" s="20"/>
      <c r="AT500" s="20"/>
    </row>
    <row r="501">
      <c r="A501" s="20">
        <v>499.0</v>
      </c>
      <c r="B501" s="29" t="s">
        <v>538</v>
      </c>
      <c r="C501" s="20"/>
      <c r="D501" s="20"/>
      <c r="E501" s="20"/>
      <c r="F501" s="20"/>
      <c r="G501" s="20"/>
      <c r="H501" s="33" t="s">
        <v>113</v>
      </c>
      <c r="I501" s="33" t="s">
        <v>182</v>
      </c>
      <c r="J501" s="21"/>
      <c r="K501" s="20" t="str">
        <f t="shared" si="1"/>
        <v>WATER,ENVIRONMENT,CLIMATE CHANGE AND NATURAL RESOURCES</v>
      </c>
      <c r="L501" s="20" t="s">
        <v>75</v>
      </c>
      <c r="M501" s="20" t="str">
        <f t="shared" si="2"/>
        <v>WATER,ENVIRONMENT,CLIMATE CHANGE AND NATURAL RESOURCES</v>
      </c>
      <c r="N501" s="22" t="s">
        <v>510</v>
      </c>
      <c r="O501" s="22" t="s">
        <v>511</v>
      </c>
      <c r="P501" s="20" t="s">
        <v>512</v>
      </c>
      <c r="Q501" s="20" t="s">
        <v>512</v>
      </c>
      <c r="R501" s="34">
        <v>6500000.0</v>
      </c>
      <c r="S501" s="34">
        <v>6500000.0</v>
      </c>
      <c r="T501" s="34">
        <v>6500000.0</v>
      </c>
      <c r="U501" s="20" t="s">
        <v>71</v>
      </c>
      <c r="V501" s="20"/>
      <c r="W501" s="38">
        <f t="shared" si="6"/>
        <v>6500000</v>
      </c>
      <c r="X501" s="20"/>
      <c r="Y501" s="38">
        <f t="shared" si="7"/>
        <v>6500000</v>
      </c>
      <c r="Z501" s="24">
        <f t="shared" si="3"/>
        <v>1</v>
      </c>
      <c r="AA501" s="23">
        <f t="shared" si="5"/>
        <v>6500000</v>
      </c>
      <c r="AB501" s="20"/>
      <c r="AC501" s="20"/>
      <c r="AD501" s="20"/>
      <c r="AE501" s="20"/>
      <c r="AF501" s="20"/>
      <c r="AG501" s="20"/>
      <c r="AH501" s="20"/>
      <c r="AI501" s="20"/>
      <c r="AJ501" s="20"/>
      <c r="AK501" s="20"/>
      <c r="AL501" s="20"/>
      <c r="AM501" s="20"/>
      <c r="AN501" s="20"/>
      <c r="AO501" s="20"/>
      <c r="AP501" s="20"/>
      <c r="AQ501" s="20"/>
      <c r="AR501" s="20"/>
      <c r="AS501" s="20"/>
      <c r="AT501" s="20"/>
    </row>
    <row r="502">
      <c r="A502" s="20">
        <v>500.0</v>
      </c>
      <c r="B502" s="29" t="s">
        <v>538</v>
      </c>
      <c r="C502" s="20"/>
      <c r="D502" s="20"/>
      <c r="E502" s="20"/>
      <c r="F502" s="20"/>
      <c r="G502" s="20"/>
      <c r="H502" s="33" t="s">
        <v>113</v>
      </c>
      <c r="I502" s="33" t="s">
        <v>182</v>
      </c>
      <c r="J502" s="21"/>
      <c r="K502" s="20" t="str">
        <f t="shared" si="1"/>
        <v>WATER,ENVIRONMENT,CLIMATE CHANGE AND NATURAL RESOURCES</v>
      </c>
      <c r="L502" s="20" t="s">
        <v>75</v>
      </c>
      <c r="M502" s="20" t="str">
        <f t="shared" si="2"/>
        <v>WATER,ENVIRONMENT,CLIMATE CHANGE AND NATURAL RESOURCES</v>
      </c>
      <c r="N502" s="22" t="s">
        <v>510</v>
      </c>
      <c r="O502" s="22" t="s">
        <v>511</v>
      </c>
      <c r="P502" s="20" t="s">
        <v>512</v>
      </c>
      <c r="Q502" s="20" t="s">
        <v>512</v>
      </c>
      <c r="R502" s="34">
        <v>7300000.0</v>
      </c>
      <c r="S502" s="34">
        <v>7300000.0</v>
      </c>
      <c r="T502" s="34">
        <v>7300000.0</v>
      </c>
      <c r="U502" s="20" t="s">
        <v>71</v>
      </c>
      <c r="V502" s="20"/>
      <c r="W502" s="38">
        <f t="shared" si="6"/>
        <v>7300000</v>
      </c>
      <c r="X502" s="20"/>
      <c r="Y502" s="38">
        <f t="shared" si="7"/>
        <v>7300000</v>
      </c>
      <c r="Z502" s="24">
        <f t="shared" si="3"/>
        <v>1</v>
      </c>
      <c r="AA502" s="23">
        <f t="shared" si="5"/>
        <v>7300000</v>
      </c>
      <c r="AB502" s="20"/>
      <c r="AC502" s="20"/>
      <c r="AD502" s="20"/>
      <c r="AE502" s="20"/>
      <c r="AF502" s="20"/>
      <c r="AG502" s="20"/>
      <c r="AH502" s="20"/>
      <c r="AI502" s="20"/>
      <c r="AJ502" s="20"/>
      <c r="AK502" s="20"/>
      <c r="AL502" s="20"/>
      <c r="AM502" s="20"/>
      <c r="AN502" s="20"/>
      <c r="AO502" s="20"/>
      <c r="AP502" s="20"/>
      <c r="AQ502" s="20"/>
      <c r="AR502" s="20"/>
      <c r="AS502" s="20"/>
      <c r="AT502" s="20"/>
    </row>
    <row r="503">
      <c r="A503" s="20">
        <v>501.0</v>
      </c>
      <c r="B503" s="29" t="s">
        <v>539</v>
      </c>
      <c r="C503" s="20"/>
      <c r="D503" s="20"/>
      <c r="E503" s="20"/>
      <c r="F503" s="20"/>
      <c r="G503" s="20"/>
      <c r="H503" s="33" t="s">
        <v>65</v>
      </c>
      <c r="I503" s="33" t="s">
        <v>66</v>
      </c>
      <c r="J503" s="21"/>
      <c r="K503" s="20" t="str">
        <f t="shared" si="1"/>
        <v>ROADS,TRANSPORT AND PUBLIC WORKS</v>
      </c>
      <c r="L503" s="20" t="s">
        <v>107</v>
      </c>
      <c r="M503" s="20" t="str">
        <f t="shared" si="2"/>
        <v>ROADS,TRANSPORT AND PUBLIC WORKS</v>
      </c>
      <c r="N503" s="22" t="s">
        <v>510</v>
      </c>
      <c r="O503" s="22" t="s">
        <v>511</v>
      </c>
      <c r="P503" s="20" t="s">
        <v>512</v>
      </c>
      <c r="Q503" s="20" t="s">
        <v>512</v>
      </c>
      <c r="R503" s="34">
        <v>2895587.0</v>
      </c>
      <c r="S503" s="34">
        <v>2895587.0</v>
      </c>
      <c r="T503" s="34">
        <v>2895587.0</v>
      </c>
      <c r="U503" s="20" t="s">
        <v>71</v>
      </c>
      <c r="V503" s="20"/>
      <c r="W503" s="38">
        <f t="shared" si="6"/>
        <v>2895587</v>
      </c>
      <c r="X503" s="20"/>
      <c r="Y503" s="38">
        <f t="shared" si="7"/>
        <v>2895587</v>
      </c>
      <c r="Z503" s="24">
        <f t="shared" si="3"/>
        <v>1</v>
      </c>
      <c r="AA503" s="23">
        <f t="shared" si="5"/>
        <v>2895587</v>
      </c>
      <c r="AB503" s="20"/>
      <c r="AC503" s="20"/>
      <c r="AD503" s="20"/>
      <c r="AE503" s="20"/>
      <c r="AF503" s="20"/>
      <c r="AG503" s="20"/>
      <c r="AH503" s="20"/>
      <c r="AI503" s="20"/>
      <c r="AJ503" s="20"/>
      <c r="AK503" s="20"/>
      <c r="AL503" s="20"/>
      <c r="AM503" s="20"/>
      <c r="AN503" s="20"/>
      <c r="AO503" s="20"/>
      <c r="AP503" s="20"/>
      <c r="AQ503" s="20"/>
      <c r="AR503" s="20"/>
      <c r="AS503" s="20"/>
      <c r="AT503" s="20"/>
    </row>
    <row r="504">
      <c r="A504" s="20">
        <v>502.0</v>
      </c>
      <c r="B504" s="29" t="s">
        <v>540</v>
      </c>
      <c r="C504" s="20"/>
      <c r="D504" s="20"/>
      <c r="E504" s="20"/>
      <c r="F504" s="20"/>
      <c r="G504" s="20"/>
      <c r="H504" s="33" t="s">
        <v>77</v>
      </c>
      <c r="I504" s="33" t="s">
        <v>77</v>
      </c>
      <c r="J504" s="21"/>
      <c r="K504" s="20" t="str">
        <f t="shared" si="1"/>
        <v>WATER,ENVIRONMENT,CLIMATE CHANGE AND NATURAL RESOURCES</v>
      </c>
      <c r="L504" s="20" t="s">
        <v>75</v>
      </c>
      <c r="M504" s="20" t="str">
        <f t="shared" si="2"/>
        <v>WATER,ENVIRONMENT,CLIMATE CHANGE AND NATURAL RESOURCES</v>
      </c>
      <c r="N504" s="22" t="s">
        <v>510</v>
      </c>
      <c r="O504" s="22" t="s">
        <v>511</v>
      </c>
      <c r="P504" s="20" t="s">
        <v>512</v>
      </c>
      <c r="Q504" s="20" t="s">
        <v>512</v>
      </c>
      <c r="R504" s="34">
        <v>4000000.0</v>
      </c>
      <c r="S504" s="34">
        <v>4000000.0</v>
      </c>
      <c r="T504" s="34">
        <v>4000000.0</v>
      </c>
      <c r="U504" s="20" t="s">
        <v>71</v>
      </c>
      <c r="V504" s="20"/>
      <c r="W504" s="38">
        <f t="shared" si="6"/>
        <v>4000000</v>
      </c>
      <c r="X504" s="20"/>
      <c r="Y504" s="38">
        <f t="shared" si="7"/>
        <v>4000000</v>
      </c>
      <c r="Z504" s="24">
        <f t="shared" si="3"/>
        <v>1</v>
      </c>
      <c r="AA504" s="23">
        <f t="shared" si="5"/>
        <v>4000000</v>
      </c>
      <c r="AB504" s="20"/>
      <c r="AC504" s="20"/>
      <c r="AD504" s="20"/>
      <c r="AE504" s="20"/>
      <c r="AF504" s="20"/>
      <c r="AG504" s="20"/>
      <c r="AH504" s="20"/>
      <c r="AI504" s="20"/>
      <c r="AJ504" s="20"/>
      <c r="AK504" s="20"/>
      <c r="AL504" s="20"/>
      <c r="AM504" s="20"/>
      <c r="AN504" s="20"/>
      <c r="AO504" s="20"/>
      <c r="AP504" s="20"/>
      <c r="AQ504" s="20"/>
      <c r="AR504" s="20"/>
      <c r="AS504" s="20"/>
      <c r="AT504" s="20"/>
    </row>
    <row r="505">
      <c r="A505" s="20">
        <v>503.0</v>
      </c>
      <c r="B505" s="29" t="s">
        <v>541</v>
      </c>
      <c r="C505" s="20"/>
      <c r="D505" s="20"/>
      <c r="E505" s="20"/>
      <c r="F505" s="20"/>
      <c r="G505" s="20"/>
      <c r="H505" s="33" t="s">
        <v>77</v>
      </c>
      <c r="I505" s="33" t="s">
        <v>527</v>
      </c>
      <c r="J505" s="21"/>
      <c r="K505" s="20" t="str">
        <f t="shared" si="1"/>
        <v>WATER,ENVIRONMENT,CLIMATE CHANGE AND NATURAL RESOURCES</v>
      </c>
      <c r="L505" s="20" t="s">
        <v>75</v>
      </c>
      <c r="M505" s="20" t="str">
        <f t="shared" si="2"/>
        <v>WATER,ENVIRONMENT,CLIMATE CHANGE AND NATURAL RESOURCES</v>
      </c>
      <c r="N505" s="22" t="s">
        <v>510</v>
      </c>
      <c r="O505" s="22" t="s">
        <v>511</v>
      </c>
      <c r="P505" s="20" t="s">
        <v>512</v>
      </c>
      <c r="Q505" s="20" t="s">
        <v>512</v>
      </c>
      <c r="R505" s="34">
        <v>3923603.1</v>
      </c>
      <c r="S505" s="34">
        <v>3923603.1</v>
      </c>
      <c r="T505" s="34">
        <v>3923603.1</v>
      </c>
      <c r="U505" s="20" t="s">
        <v>71</v>
      </c>
      <c r="V505" s="20"/>
      <c r="W505" s="38">
        <f t="shared" si="6"/>
        <v>3923603.1</v>
      </c>
      <c r="X505" s="20"/>
      <c r="Y505" s="38">
        <f t="shared" si="7"/>
        <v>3923603.1</v>
      </c>
      <c r="Z505" s="24">
        <f t="shared" si="3"/>
        <v>1</v>
      </c>
      <c r="AA505" s="23">
        <f t="shared" si="5"/>
        <v>3923603.1</v>
      </c>
      <c r="AB505" s="20"/>
      <c r="AC505" s="20"/>
      <c r="AD505" s="20"/>
      <c r="AE505" s="20"/>
      <c r="AF505" s="20"/>
      <c r="AG505" s="20"/>
      <c r="AH505" s="20"/>
      <c r="AI505" s="20"/>
      <c r="AJ505" s="20"/>
      <c r="AK505" s="20"/>
      <c r="AL505" s="20"/>
      <c r="AM505" s="20"/>
      <c r="AN505" s="20"/>
      <c r="AO505" s="20"/>
      <c r="AP505" s="20"/>
      <c r="AQ505" s="20"/>
      <c r="AR505" s="20"/>
      <c r="AS505" s="20"/>
      <c r="AT505" s="20"/>
    </row>
    <row r="506">
      <c r="A506" s="20">
        <v>504.0</v>
      </c>
      <c r="B506" s="29" t="s">
        <v>542</v>
      </c>
      <c r="C506" s="20"/>
      <c r="D506" s="20"/>
      <c r="E506" s="20"/>
      <c r="F506" s="20"/>
      <c r="G506" s="20"/>
      <c r="H506" s="33" t="s">
        <v>65</v>
      </c>
      <c r="I506" s="33" t="s">
        <v>66</v>
      </c>
      <c r="J506" s="21"/>
      <c r="K506" s="20" t="str">
        <f t="shared" si="1"/>
        <v>WATER,ENVIRONMENT,CLIMATE CHANGE AND NATURAL RESOURCES</v>
      </c>
      <c r="L506" s="20" t="s">
        <v>75</v>
      </c>
      <c r="M506" s="20" t="str">
        <f t="shared" si="2"/>
        <v>WATER,ENVIRONMENT,CLIMATE CHANGE AND NATURAL RESOURCES</v>
      </c>
      <c r="N506" s="22" t="s">
        <v>510</v>
      </c>
      <c r="O506" s="22" t="s">
        <v>511</v>
      </c>
      <c r="P506" s="20" t="s">
        <v>512</v>
      </c>
      <c r="Q506" s="20" t="s">
        <v>512</v>
      </c>
      <c r="R506" s="34">
        <v>2100000.0</v>
      </c>
      <c r="S506" s="34">
        <v>2100000.0</v>
      </c>
      <c r="T506" s="34">
        <v>2100000.0</v>
      </c>
      <c r="U506" s="20" t="s">
        <v>71</v>
      </c>
      <c r="V506" s="20"/>
      <c r="W506" s="38">
        <f t="shared" si="6"/>
        <v>2100000</v>
      </c>
      <c r="X506" s="20"/>
      <c r="Y506" s="38">
        <f t="shared" si="7"/>
        <v>2100000</v>
      </c>
      <c r="Z506" s="24">
        <f t="shared" si="3"/>
        <v>1</v>
      </c>
      <c r="AA506" s="23">
        <f t="shared" si="5"/>
        <v>2100000</v>
      </c>
      <c r="AB506" s="20"/>
      <c r="AC506" s="20"/>
      <c r="AD506" s="20"/>
      <c r="AE506" s="20"/>
      <c r="AF506" s="20"/>
      <c r="AG506" s="20"/>
      <c r="AH506" s="20"/>
      <c r="AI506" s="20"/>
      <c r="AJ506" s="20"/>
      <c r="AK506" s="20"/>
      <c r="AL506" s="20"/>
      <c r="AM506" s="20"/>
      <c r="AN506" s="20"/>
      <c r="AO506" s="20"/>
      <c r="AP506" s="20"/>
      <c r="AQ506" s="20"/>
      <c r="AR506" s="20"/>
      <c r="AS506" s="20"/>
      <c r="AT506" s="20"/>
    </row>
    <row r="507">
      <c r="A507" s="20">
        <v>505.0</v>
      </c>
      <c r="B507" s="29" t="s">
        <v>543</v>
      </c>
      <c r="C507" s="20"/>
      <c r="D507" s="20"/>
      <c r="E507" s="20"/>
      <c r="F507" s="20"/>
      <c r="G507" s="20"/>
      <c r="H507" s="33" t="s">
        <v>113</v>
      </c>
      <c r="I507" s="33" t="s">
        <v>182</v>
      </c>
      <c r="J507" s="21"/>
      <c r="K507" s="20" t="str">
        <f t="shared" si="1"/>
        <v>WATER,ENVIRONMENT,CLIMATE CHANGE AND NATURAL RESOURCES</v>
      </c>
      <c r="L507" s="20" t="s">
        <v>75</v>
      </c>
      <c r="M507" s="20" t="str">
        <f t="shared" si="2"/>
        <v>WATER,ENVIRONMENT,CLIMATE CHANGE AND NATURAL RESOURCES</v>
      </c>
      <c r="N507" s="22" t="s">
        <v>510</v>
      </c>
      <c r="O507" s="22" t="s">
        <v>511</v>
      </c>
      <c r="P507" s="20" t="s">
        <v>512</v>
      </c>
      <c r="Q507" s="20" t="s">
        <v>512</v>
      </c>
      <c r="R507" s="34">
        <v>4.0E7</v>
      </c>
      <c r="S507" s="34">
        <v>4.0E7</v>
      </c>
      <c r="T507" s="34">
        <v>4.0E7</v>
      </c>
      <c r="U507" s="20" t="s">
        <v>71</v>
      </c>
      <c r="V507" s="20"/>
      <c r="W507" s="38">
        <f t="shared" si="6"/>
        <v>40000000</v>
      </c>
      <c r="X507" s="20"/>
      <c r="Y507" s="38">
        <f t="shared" si="7"/>
        <v>40000000</v>
      </c>
      <c r="Z507" s="24">
        <f t="shared" si="3"/>
        <v>1</v>
      </c>
      <c r="AA507" s="23">
        <f t="shared" si="5"/>
        <v>40000000</v>
      </c>
      <c r="AB507" s="20"/>
      <c r="AC507" s="20"/>
      <c r="AD507" s="20"/>
      <c r="AE507" s="20"/>
      <c r="AF507" s="20"/>
      <c r="AG507" s="20"/>
      <c r="AH507" s="20"/>
      <c r="AI507" s="20"/>
      <c r="AJ507" s="20"/>
      <c r="AK507" s="20"/>
      <c r="AL507" s="20"/>
      <c r="AM507" s="20"/>
      <c r="AN507" s="20"/>
      <c r="AO507" s="20"/>
      <c r="AP507" s="20"/>
      <c r="AQ507" s="20"/>
      <c r="AR507" s="20"/>
      <c r="AS507" s="20"/>
      <c r="AT507" s="20"/>
    </row>
    <row r="508">
      <c r="A508" s="20">
        <v>506.0</v>
      </c>
      <c r="B508" s="29" t="s">
        <v>544</v>
      </c>
      <c r="C508" s="20"/>
      <c r="D508" s="20"/>
      <c r="E508" s="20"/>
      <c r="F508" s="20"/>
      <c r="G508" s="20"/>
      <c r="H508" s="33" t="s">
        <v>65</v>
      </c>
      <c r="I508" s="33" t="s">
        <v>66</v>
      </c>
      <c r="J508" s="21"/>
      <c r="K508" s="20" t="str">
        <f t="shared" si="1"/>
        <v>WATER,ENVIRONMENT,CLIMATE CHANGE AND NATURAL RESOURCES</v>
      </c>
      <c r="L508" s="20" t="s">
        <v>75</v>
      </c>
      <c r="M508" s="20" t="str">
        <f t="shared" si="2"/>
        <v>WATER,ENVIRONMENT,CLIMATE CHANGE AND NATURAL RESOURCES</v>
      </c>
      <c r="N508" s="22" t="s">
        <v>510</v>
      </c>
      <c r="O508" s="22" t="s">
        <v>511</v>
      </c>
      <c r="P508" s="20" t="s">
        <v>512</v>
      </c>
      <c r="Q508" s="20" t="s">
        <v>512</v>
      </c>
      <c r="R508" s="34">
        <v>1033543.45</v>
      </c>
      <c r="S508" s="34">
        <v>1033543.45</v>
      </c>
      <c r="T508" s="34">
        <v>1033543.45</v>
      </c>
      <c r="U508" s="20" t="s">
        <v>71</v>
      </c>
      <c r="V508" s="20"/>
      <c r="W508" s="38">
        <f t="shared" si="6"/>
        <v>1033543.45</v>
      </c>
      <c r="X508" s="20"/>
      <c r="Y508" s="38">
        <f t="shared" si="7"/>
        <v>1033543.45</v>
      </c>
      <c r="Z508" s="24">
        <f t="shared" si="3"/>
        <v>1</v>
      </c>
      <c r="AA508" s="23">
        <f t="shared" si="5"/>
        <v>1033543.45</v>
      </c>
      <c r="AB508" s="20"/>
      <c r="AC508" s="20"/>
      <c r="AD508" s="20"/>
      <c r="AE508" s="20"/>
      <c r="AF508" s="20"/>
      <c r="AG508" s="20"/>
      <c r="AH508" s="20"/>
      <c r="AI508" s="20"/>
      <c r="AJ508" s="20"/>
      <c r="AK508" s="20"/>
      <c r="AL508" s="20"/>
      <c r="AM508" s="20"/>
      <c r="AN508" s="20"/>
      <c r="AO508" s="20"/>
      <c r="AP508" s="20"/>
      <c r="AQ508" s="20"/>
      <c r="AR508" s="20"/>
      <c r="AS508" s="20"/>
      <c r="AT508" s="20"/>
    </row>
    <row r="509">
      <c r="A509" s="20">
        <v>507.0</v>
      </c>
      <c r="B509" s="29" t="s">
        <v>545</v>
      </c>
      <c r="C509" s="20"/>
      <c r="D509" s="20"/>
      <c r="E509" s="20"/>
      <c r="F509" s="20"/>
      <c r="G509" s="20"/>
      <c r="H509" s="33" t="s">
        <v>65</v>
      </c>
      <c r="I509" s="33" t="s">
        <v>66</v>
      </c>
      <c r="J509" s="21"/>
      <c r="K509" s="20" t="str">
        <f t="shared" si="1"/>
        <v>ROADS,TRANSPORT AND PUBLIC WORKS</v>
      </c>
      <c r="L509" s="20" t="s">
        <v>107</v>
      </c>
      <c r="M509" s="20" t="str">
        <f t="shared" si="2"/>
        <v>ROADS,TRANSPORT AND PUBLIC WORKS</v>
      </c>
      <c r="N509" s="22" t="s">
        <v>510</v>
      </c>
      <c r="O509" s="22" t="s">
        <v>511</v>
      </c>
      <c r="P509" s="20" t="s">
        <v>512</v>
      </c>
      <c r="Q509" s="20" t="s">
        <v>512</v>
      </c>
      <c r="R509" s="34">
        <v>3200000.0</v>
      </c>
      <c r="S509" s="34">
        <v>3200000.0</v>
      </c>
      <c r="T509" s="34">
        <v>3200000.0</v>
      </c>
      <c r="U509" s="20" t="s">
        <v>71</v>
      </c>
      <c r="V509" s="20"/>
      <c r="W509" s="38">
        <f t="shared" si="6"/>
        <v>3200000</v>
      </c>
      <c r="X509" s="20"/>
      <c r="Y509" s="38">
        <f t="shared" si="7"/>
        <v>3200000</v>
      </c>
      <c r="Z509" s="24">
        <f t="shared" si="3"/>
        <v>1</v>
      </c>
      <c r="AA509" s="23">
        <f t="shared" si="5"/>
        <v>3200000</v>
      </c>
      <c r="AB509" s="20"/>
      <c r="AC509" s="20"/>
      <c r="AD509" s="20"/>
      <c r="AE509" s="20"/>
      <c r="AF509" s="20"/>
      <c r="AG509" s="20"/>
      <c r="AH509" s="20"/>
      <c r="AI509" s="20"/>
      <c r="AJ509" s="20"/>
      <c r="AK509" s="20"/>
      <c r="AL509" s="20"/>
      <c r="AM509" s="20"/>
      <c r="AN509" s="20"/>
      <c r="AO509" s="20"/>
      <c r="AP509" s="20"/>
      <c r="AQ509" s="20"/>
      <c r="AR509" s="20"/>
      <c r="AS509" s="20"/>
      <c r="AT509" s="20"/>
    </row>
    <row r="510">
      <c r="A510" s="20">
        <v>508.0</v>
      </c>
      <c r="B510" s="29" t="s">
        <v>545</v>
      </c>
      <c r="C510" s="20"/>
      <c r="D510" s="20"/>
      <c r="E510" s="20"/>
      <c r="F510" s="20"/>
      <c r="G510" s="20"/>
      <c r="H510" s="33" t="s">
        <v>65</v>
      </c>
      <c r="I510" s="33" t="s">
        <v>66</v>
      </c>
      <c r="J510" s="21"/>
      <c r="K510" s="20" t="str">
        <f t="shared" si="1"/>
        <v>ROADS,TRANSPORT AND PUBLIC WORKS</v>
      </c>
      <c r="L510" s="20" t="s">
        <v>107</v>
      </c>
      <c r="M510" s="20" t="str">
        <f t="shared" si="2"/>
        <v>ROADS,TRANSPORT AND PUBLIC WORKS</v>
      </c>
      <c r="N510" s="22" t="s">
        <v>510</v>
      </c>
      <c r="O510" s="22" t="s">
        <v>511</v>
      </c>
      <c r="P510" s="20" t="s">
        <v>512</v>
      </c>
      <c r="Q510" s="20" t="s">
        <v>512</v>
      </c>
      <c r="R510" s="34">
        <v>2200000.0</v>
      </c>
      <c r="S510" s="34">
        <v>2200000.0</v>
      </c>
      <c r="T510" s="34">
        <v>2200000.0</v>
      </c>
      <c r="U510" s="20" t="s">
        <v>71</v>
      </c>
      <c r="V510" s="20"/>
      <c r="W510" s="38">
        <f t="shared" si="6"/>
        <v>2200000</v>
      </c>
      <c r="X510" s="20"/>
      <c r="Y510" s="38">
        <f t="shared" si="7"/>
        <v>2200000</v>
      </c>
      <c r="Z510" s="24">
        <f t="shared" si="3"/>
        <v>1</v>
      </c>
      <c r="AA510" s="23">
        <f t="shared" si="5"/>
        <v>2200000</v>
      </c>
      <c r="AB510" s="20"/>
      <c r="AC510" s="20"/>
      <c r="AD510" s="20"/>
      <c r="AE510" s="20"/>
      <c r="AF510" s="20"/>
      <c r="AG510" s="20"/>
      <c r="AH510" s="20"/>
      <c r="AI510" s="20"/>
      <c r="AJ510" s="20"/>
      <c r="AK510" s="20"/>
      <c r="AL510" s="20"/>
      <c r="AM510" s="20"/>
      <c r="AN510" s="20"/>
      <c r="AO510" s="20"/>
      <c r="AP510" s="20"/>
      <c r="AQ510" s="20"/>
      <c r="AR510" s="20"/>
      <c r="AS510" s="20"/>
      <c r="AT510" s="20"/>
    </row>
    <row r="511">
      <c r="A511" s="20">
        <v>509.0</v>
      </c>
      <c r="B511" s="29" t="s">
        <v>546</v>
      </c>
      <c r="C511" s="20"/>
      <c r="D511" s="20"/>
      <c r="E511" s="20"/>
      <c r="F511" s="20"/>
      <c r="G511" s="20"/>
      <c r="H511" s="33" t="s">
        <v>65</v>
      </c>
      <c r="I511" s="33" t="s">
        <v>87</v>
      </c>
      <c r="J511" s="21"/>
      <c r="K511" s="20" t="str">
        <f t="shared" si="1"/>
        <v>ROADS,TRANSPORT AND PUBLIC WORKS</v>
      </c>
      <c r="L511" s="20" t="s">
        <v>107</v>
      </c>
      <c r="M511" s="20" t="str">
        <f t="shared" si="2"/>
        <v>ROADS,TRANSPORT AND PUBLIC WORKS</v>
      </c>
      <c r="N511" s="22" t="s">
        <v>510</v>
      </c>
      <c r="O511" s="22" t="s">
        <v>511</v>
      </c>
      <c r="P511" s="20" t="s">
        <v>512</v>
      </c>
      <c r="Q511" s="20" t="s">
        <v>512</v>
      </c>
      <c r="R511" s="34">
        <v>1.276939485E7</v>
      </c>
      <c r="S511" s="34">
        <v>1.276939485E7</v>
      </c>
      <c r="T511" s="34">
        <v>1.276939485E7</v>
      </c>
      <c r="U511" s="20" t="s">
        <v>71</v>
      </c>
      <c r="V511" s="20"/>
      <c r="W511" s="38">
        <f t="shared" si="6"/>
        <v>12769394.85</v>
      </c>
      <c r="X511" s="20"/>
      <c r="Y511" s="38">
        <f t="shared" si="7"/>
        <v>12769394.85</v>
      </c>
      <c r="Z511" s="24">
        <f t="shared" si="3"/>
        <v>1</v>
      </c>
      <c r="AA511" s="23">
        <f t="shared" si="5"/>
        <v>12769394.85</v>
      </c>
      <c r="AB511" s="20"/>
      <c r="AC511" s="20"/>
      <c r="AD511" s="20"/>
      <c r="AE511" s="20"/>
      <c r="AF511" s="20"/>
      <c r="AG511" s="20"/>
      <c r="AH511" s="20"/>
      <c r="AI511" s="20"/>
      <c r="AJ511" s="20"/>
      <c r="AK511" s="20"/>
      <c r="AL511" s="20"/>
      <c r="AM511" s="20"/>
      <c r="AN511" s="20"/>
      <c r="AO511" s="20"/>
      <c r="AP511" s="20"/>
      <c r="AQ511" s="20"/>
      <c r="AR511" s="20"/>
      <c r="AS511" s="20"/>
      <c r="AT511" s="20"/>
    </row>
    <row r="512">
      <c r="A512" s="20">
        <v>510.0</v>
      </c>
      <c r="B512" s="29" t="s">
        <v>547</v>
      </c>
      <c r="C512" s="20"/>
      <c r="D512" s="20"/>
      <c r="E512" s="20"/>
      <c r="F512" s="20"/>
      <c r="G512" s="20"/>
      <c r="H512" s="33" t="s">
        <v>77</v>
      </c>
      <c r="I512" s="33" t="s">
        <v>78</v>
      </c>
      <c r="J512" s="21"/>
      <c r="K512" s="20" t="str">
        <f t="shared" si="1"/>
        <v>WATER,ENVIRONMENT,CLIMATE CHANGE AND NATURAL RESOURCES</v>
      </c>
      <c r="L512" s="20" t="s">
        <v>75</v>
      </c>
      <c r="M512" s="20" t="str">
        <f t="shared" si="2"/>
        <v>WATER,ENVIRONMENT,CLIMATE CHANGE AND NATURAL RESOURCES</v>
      </c>
      <c r="N512" s="22" t="s">
        <v>510</v>
      </c>
      <c r="O512" s="22" t="s">
        <v>511</v>
      </c>
      <c r="P512" s="20" t="s">
        <v>512</v>
      </c>
      <c r="Q512" s="20" t="s">
        <v>512</v>
      </c>
      <c r="R512" s="34">
        <v>1.260265615E7</v>
      </c>
      <c r="S512" s="34">
        <v>1.260265615E7</v>
      </c>
      <c r="T512" s="34">
        <v>1.260265615E7</v>
      </c>
      <c r="U512" s="20" t="s">
        <v>71</v>
      </c>
      <c r="V512" s="20"/>
      <c r="W512" s="38">
        <f t="shared" si="6"/>
        <v>12602656.15</v>
      </c>
      <c r="X512" s="20"/>
      <c r="Y512" s="38">
        <f t="shared" si="7"/>
        <v>12602656.15</v>
      </c>
      <c r="Z512" s="24">
        <f t="shared" si="3"/>
        <v>1</v>
      </c>
      <c r="AA512" s="23">
        <f t="shared" si="5"/>
        <v>12602656.15</v>
      </c>
      <c r="AB512" s="20"/>
      <c r="AC512" s="20"/>
      <c r="AD512" s="20"/>
      <c r="AE512" s="20"/>
      <c r="AF512" s="20"/>
      <c r="AG512" s="20"/>
      <c r="AH512" s="20"/>
      <c r="AI512" s="20"/>
      <c r="AJ512" s="20"/>
      <c r="AK512" s="20"/>
      <c r="AL512" s="20"/>
      <c r="AM512" s="20"/>
      <c r="AN512" s="20"/>
      <c r="AO512" s="20"/>
      <c r="AP512" s="20"/>
      <c r="AQ512" s="20"/>
      <c r="AR512" s="20"/>
      <c r="AS512" s="20"/>
      <c r="AT512" s="20"/>
    </row>
    <row r="513">
      <c r="A513" s="20">
        <v>511.0</v>
      </c>
      <c r="B513" s="29" t="s">
        <v>548</v>
      </c>
      <c r="C513" s="20"/>
      <c r="D513" s="20"/>
      <c r="E513" s="20"/>
      <c r="F513" s="20"/>
      <c r="G513" s="20"/>
      <c r="H513" s="33" t="s">
        <v>104</v>
      </c>
      <c r="I513" s="33" t="s">
        <v>104</v>
      </c>
      <c r="J513" s="21"/>
      <c r="K513" s="20" t="str">
        <f t="shared" si="1"/>
        <v>WATER,ENVIRONMENT,CLIMATE CHANGE AND NATURAL RESOURCES</v>
      </c>
      <c r="L513" s="20" t="s">
        <v>75</v>
      </c>
      <c r="M513" s="20" t="str">
        <f t="shared" si="2"/>
        <v>WATER,ENVIRONMENT,CLIMATE CHANGE AND NATURAL RESOURCES</v>
      </c>
      <c r="N513" s="22" t="s">
        <v>510</v>
      </c>
      <c r="O513" s="22" t="s">
        <v>511</v>
      </c>
      <c r="P513" s="20" t="s">
        <v>512</v>
      </c>
      <c r="Q513" s="20" t="s">
        <v>512</v>
      </c>
      <c r="R513" s="34">
        <v>4275000.0</v>
      </c>
      <c r="S513" s="34">
        <v>4275000.0</v>
      </c>
      <c r="T513" s="34">
        <v>4275000.0</v>
      </c>
      <c r="U513" s="20" t="s">
        <v>71</v>
      </c>
      <c r="V513" s="20"/>
      <c r="W513" s="38">
        <f t="shared" si="6"/>
        <v>4275000</v>
      </c>
      <c r="X513" s="20"/>
      <c r="Y513" s="38">
        <f t="shared" si="7"/>
        <v>4275000</v>
      </c>
      <c r="Z513" s="24">
        <f t="shared" si="3"/>
        <v>1</v>
      </c>
      <c r="AA513" s="23">
        <f t="shared" si="5"/>
        <v>4275000</v>
      </c>
      <c r="AB513" s="20"/>
      <c r="AC513" s="20"/>
      <c r="AD513" s="20"/>
      <c r="AE513" s="20"/>
      <c r="AF513" s="20"/>
      <c r="AG513" s="20"/>
      <c r="AH513" s="20"/>
      <c r="AI513" s="20"/>
      <c r="AJ513" s="20"/>
      <c r="AK513" s="20"/>
      <c r="AL513" s="20"/>
      <c r="AM513" s="20"/>
      <c r="AN513" s="20"/>
      <c r="AO513" s="20"/>
      <c r="AP513" s="20"/>
      <c r="AQ513" s="20"/>
      <c r="AR513" s="20"/>
      <c r="AS513" s="20"/>
      <c r="AT513" s="20"/>
    </row>
    <row r="514">
      <c r="A514" s="20">
        <v>512.0</v>
      </c>
      <c r="B514" s="29" t="s">
        <v>549</v>
      </c>
      <c r="C514" s="20"/>
      <c r="D514" s="20"/>
      <c r="E514" s="20"/>
      <c r="F514" s="20"/>
      <c r="G514" s="20"/>
      <c r="H514" s="33" t="s">
        <v>65</v>
      </c>
      <c r="I514" s="33" t="s">
        <v>66</v>
      </c>
      <c r="J514" s="21"/>
      <c r="K514" s="20" t="str">
        <f t="shared" si="1"/>
        <v>WATER,ENVIRONMENT,CLIMATE CHANGE AND NATURAL RESOURCES</v>
      </c>
      <c r="L514" s="20" t="s">
        <v>75</v>
      </c>
      <c r="M514" s="20" t="str">
        <f t="shared" si="2"/>
        <v>WATER,ENVIRONMENT,CLIMATE CHANGE AND NATURAL RESOURCES</v>
      </c>
      <c r="N514" s="22" t="s">
        <v>510</v>
      </c>
      <c r="O514" s="22" t="s">
        <v>511</v>
      </c>
      <c r="P514" s="20" t="s">
        <v>512</v>
      </c>
      <c r="Q514" s="20" t="s">
        <v>512</v>
      </c>
      <c r="R514" s="34">
        <v>4673807.0</v>
      </c>
      <c r="S514" s="34">
        <v>4673807.0</v>
      </c>
      <c r="T514" s="34">
        <v>4673807.0</v>
      </c>
      <c r="U514" s="20" t="s">
        <v>71</v>
      </c>
      <c r="V514" s="20"/>
      <c r="W514" s="38">
        <f t="shared" si="6"/>
        <v>4673807</v>
      </c>
      <c r="X514" s="20"/>
      <c r="Y514" s="38">
        <f t="shared" si="7"/>
        <v>4673807</v>
      </c>
      <c r="Z514" s="24">
        <f t="shared" si="3"/>
        <v>1</v>
      </c>
      <c r="AA514" s="23">
        <f t="shared" si="5"/>
        <v>4673807</v>
      </c>
      <c r="AB514" s="20"/>
      <c r="AC514" s="20"/>
      <c r="AD514" s="20"/>
      <c r="AE514" s="20"/>
      <c r="AF514" s="20"/>
      <c r="AG514" s="20"/>
      <c r="AH514" s="20"/>
      <c r="AI514" s="20"/>
      <c r="AJ514" s="20"/>
      <c r="AK514" s="20"/>
      <c r="AL514" s="20"/>
      <c r="AM514" s="20"/>
      <c r="AN514" s="20"/>
      <c r="AO514" s="20"/>
      <c r="AP514" s="20"/>
      <c r="AQ514" s="20"/>
      <c r="AR514" s="20"/>
      <c r="AS514" s="20"/>
      <c r="AT514" s="20"/>
    </row>
    <row r="515">
      <c r="A515" s="20">
        <v>513.0</v>
      </c>
      <c r="B515" s="29" t="s">
        <v>550</v>
      </c>
      <c r="C515" s="20"/>
      <c r="D515" s="20"/>
      <c r="E515" s="20"/>
      <c r="F515" s="20"/>
      <c r="G515" s="20"/>
      <c r="H515" s="33" t="s">
        <v>65</v>
      </c>
      <c r="I515" s="33" t="s">
        <v>66</v>
      </c>
      <c r="J515" s="21"/>
      <c r="K515" s="20" t="str">
        <f t="shared" si="1"/>
        <v>WATER,ENVIRONMENT,CLIMATE CHANGE AND NATURAL RESOURCES</v>
      </c>
      <c r="L515" s="20" t="s">
        <v>75</v>
      </c>
      <c r="M515" s="20" t="str">
        <f t="shared" si="2"/>
        <v>WATER,ENVIRONMENT,CLIMATE CHANGE AND NATURAL RESOURCES</v>
      </c>
      <c r="N515" s="22" t="s">
        <v>510</v>
      </c>
      <c r="O515" s="22" t="s">
        <v>511</v>
      </c>
      <c r="P515" s="20" t="s">
        <v>512</v>
      </c>
      <c r="Q515" s="20" t="s">
        <v>512</v>
      </c>
      <c r="R515" s="34">
        <v>4664500.0</v>
      </c>
      <c r="S515" s="34">
        <v>4664500.0</v>
      </c>
      <c r="T515" s="34">
        <v>4664500.0</v>
      </c>
      <c r="U515" s="20" t="s">
        <v>71</v>
      </c>
      <c r="V515" s="20"/>
      <c r="W515" s="38">
        <f t="shared" si="6"/>
        <v>4664500</v>
      </c>
      <c r="X515" s="20"/>
      <c r="Y515" s="38">
        <f t="shared" si="7"/>
        <v>4664500</v>
      </c>
      <c r="Z515" s="24">
        <f t="shared" si="3"/>
        <v>1</v>
      </c>
      <c r="AA515" s="23">
        <f t="shared" si="5"/>
        <v>4664500</v>
      </c>
      <c r="AB515" s="20"/>
      <c r="AC515" s="20"/>
      <c r="AD515" s="20"/>
      <c r="AE515" s="20"/>
      <c r="AF515" s="20"/>
      <c r="AG515" s="20"/>
      <c r="AH515" s="20"/>
      <c r="AI515" s="20"/>
      <c r="AJ515" s="20"/>
      <c r="AK515" s="20"/>
      <c r="AL515" s="20"/>
      <c r="AM515" s="20"/>
      <c r="AN515" s="20"/>
      <c r="AO515" s="20"/>
      <c r="AP515" s="20"/>
      <c r="AQ515" s="20"/>
      <c r="AR515" s="20"/>
      <c r="AS515" s="20"/>
      <c r="AT515" s="20"/>
    </row>
    <row r="516">
      <c r="A516" s="20">
        <v>514.0</v>
      </c>
      <c r="B516" s="29" t="s">
        <v>551</v>
      </c>
      <c r="C516" s="20"/>
      <c r="D516" s="20"/>
      <c r="E516" s="20"/>
      <c r="F516" s="20"/>
      <c r="G516" s="20"/>
      <c r="H516" s="33" t="s">
        <v>81</v>
      </c>
      <c r="I516" s="33" t="s">
        <v>83</v>
      </c>
      <c r="J516" s="21"/>
      <c r="K516" s="20" t="str">
        <f t="shared" si="1"/>
        <v>WATER,ENVIRONMENT,CLIMATE CHANGE AND NATURAL RESOURCES</v>
      </c>
      <c r="L516" s="20" t="s">
        <v>75</v>
      </c>
      <c r="M516" s="20" t="str">
        <f t="shared" si="2"/>
        <v>WATER,ENVIRONMENT,CLIMATE CHANGE AND NATURAL RESOURCES</v>
      </c>
      <c r="N516" s="22" t="s">
        <v>510</v>
      </c>
      <c r="O516" s="22" t="s">
        <v>511</v>
      </c>
      <c r="P516" s="20" t="s">
        <v>512</v>
      </c>
      <c r="Q516" s="20" t="s">
        <v>512</v>
      </c>
      <c r="R516" s="34">
        <v>4093241.4</v>
      </c>
      <c r="S516" s="34">
        <v>4093241.4</v>
      </c>
      <c r="T516" s="34">
        <v>4093241.4</v>
      </c>
      <c r="U516" s="20" t="s">
        <v>71</v>
      </c>
      <c r="V516" s="20"/>
      <c r="W516" s="38">
        <f t="shared" si="6"/>
        <v>4093241.4</v>
      </c>
      <c r="X516" s="20"/>
      <c r="Y516" s="38">
        <f t="shared" si="7"/>
        <v>4093241.4</v>
      </c>
      <c r="Z516" s="24">
        <f t="shared" si="3"/>
        <v>1</v>
      </c>
      <c r="AA516" s="23">
        <f t="shared" si="5"/>
        <v>4093241.4</v>
      </c>
      <c r="AB516" s="20"/>
      <c r="AC516" s="20"/>
      <c r="AD516" s="20"/>
      <c r="AE516" s="20"/>
      <c r="AF516" s="20"/>
      <c r="AG516" s="20"/>
      <c r="AH516" s="20"/>
      <c r="AI516" s="20"/>
      <c r="AJ516" s="20"/>
      <c r="AK516" s="20"/>
      <c r="AL516" s="20"/>
      <c r="AM516" s="20"/>
      <c r="AN516" s="20"/>
      <c r="AO516" s="20"/>
      <c r="AP516" s="20"/>
      <c r="AQ516" s="20"/>
      <c r="AR516" s="20"/>
      <c r="AS516" s="20"/>
      <c r="AT516" s="20"/>
    </row>
    <row r="517">
      <c r="A517" s="20">
        <v>515.0</v>
      </c>
      <c r="B517" s="29" t="s">
        <v>552</v>
      </c>
      <c r="C517" s="20"/>
      <c r="D517" s="20"/>
      <c r="E517" s="20"/>
      <c r="F517" s="20"/>
      <c r="G517" s="20"/>
      <c r="H517" s="33" t="s">
        <v>65</v>
      </c>
      <c r="I517" s="33" t="s">
        <v>66</v>
      </c>
      <c r="J517" s="21"/>
      <c r="K517" s="20" t="str">
        <f t="shared" si="1"/>
        <v>WATER,ENVIRONMENT,CLIMATE CHANGE AND NATURAL RESOURCES</v>
      </c>
      <c r="L517" s="20" t="s">
        <v>75</v>
      </c>
      <c r="M517" s="20" t="str">
        <f t="shared" si="2"/>
        <v>WATER,ENVIRONMENT,CLIMATE CHANGE AND NATURAL RESOURCES</v>
      </c>
      <c r="N517" s="22" t="s">
        <v>510</v>
      </c>
      <c r="O517" s="22" t="s">
        <v>511</v>
      </c>
      <c r="P517" s="20" t="s">
        <v>512</v>
      </c>
      <c r="Q517" s="20" t="s">
        <v>512</v>
      </c>
      <c r="R517" s="34">
        <v>1.560548275E7</v>
      </c>
      <c r="S517" s="34">
        <v>1.560548275E7</v>
      </c>
      <c r="T517" s="34">
        <v>1.560548275E7</v>
      </c>
      <c r="U517" s="20" t="s">
        <v>71</v>
      </c>
      <c r="V517" s="20"/>
      <c r="W517" s="38">
        <f t="shared" si="6"/>
        <v>15605482.75</v>
      </c>
      <c r="X517" s="20"/>
      <c r="Y517" s="38">
        <f t="shared" si="7"/>
        <v>15605482.75</v>
      </c>
      <c r="Z517" s="24">
        <f t="shared" si="3"/>
        <v>1</v>
      </c>
      <c r="AA517" s="23">
        <f t="shared" si="5"/>
        <v>15605482.75</v>
      </c>
      <c r="AB517" s="20"/>
      <c r="AC517" s="20"/>
      <c r="AD517" s="20"/>
      <c r="AE517" s="20"/>
      <c r="AF517" s="20"/>
      <c r="AG517" s="20"/>
      <c r="AH517" s="20"/>
      <c r="AI517" s="20"/>
      <c r="AJ517" s="20"/>
      <c r="AK517" s="20"/>
      <c r="AL517" s="20"/>
      <c r="AM517" s="20"/>
      <c r="AN517" s="20"/>
      <c r="AO517" s="20"/>
      <c r="AP517" s="20"/>
      <c r="AQ517" s="20"/>
      <c r="AR517" s="20"/>
      <c r="AS517" s="20"/>
      <c r="AT517" s="20"/>
    </row>
    <row r="518">
      <c r="A518" s="20">
        <v>516.0</v>
      </c>
      <c r="B518" s="29" t="s">
        <v>553</v>
      </c>
      <c r="C518" s="20"/>
      <c r="D518" s="20"/>
      <c r="E518" s="20"/>
      <c r="F518" s="20"/>
      <c r="G518" s="20"/>
      <c r="H518" s="33" t="s">
        <v>65</v>
      </c>
      <c r="I518" s="33" t="s">
        <v>66</v>
      </c>
      <c r="J518" s="21"/>
      <c r="K518" s="20" t="str">
        <f t="shared" si="1"/>
        <v>WATER,ENVIRONMENT,CLIMATE CHANGE AND NATURAL RESOURCES</v>
      </c>
      <c r="L518" s="20" t="s">
        <v>75</v>
      </c>
      <c r="M518" s="20" t="str">
        <f t="shared" si="2"/>
        <v>WATER,ENVIRONMENT,CLIMATE CHANGE AND NATURAL RESOURCES</v>
      </c>
      <c r="N518" s="22" t="s">
        <v>510</v>
      </c>
      <c r="O518" s="22" t="s">
        <v>511</v>
      </c>
      <c r="P518" s="20" t="s">
        <v>512</v>
      </c>
      <c r="Q518" s="20" t="s">
        <v>512</v>
      </c>
      <c r="R518" s="34">
        <v>2473000.0</v>
      </c>
      <c r="S518" s="34">
        <v>2473000.0</v>
      </c>
      <c r="T518" s="34">
        <v>2473000.0</v>
      </c>
      <c r="U518" s="20" t="s">
        <v>71</v>
      </c>
      <c r="V518" s="20"/>
      <c r="W518" s="38">
        <f t="shared" si="6"/>
        <v>2473000</v>
      </c>
      <c r="X518" s="20"/>
      <c r="Y518" s="38">
        <f t="shared" si="7"/>
        <v>2473000</v>
      </c>
      <c r="Z518" s="24">
        <f t="shared" si="3"/>
        <v>1</v>
      </c>
      <c r="AA518" s="23">
        <f t="shared" si="5"/>
        <v>2473000</v>
      </c>
      <c r="AB518" s="20"/>
      <c r="AC518" s="20"/>
      <c r="AD518" s="20"/>
      <c r="AE518" s="20"/>
      <c r="AF518" s="20"/>
      <c r="AG518" s="20"/>
      <c r="AH518" s="20"/>
      <c r="AI518" s="20"/>
      <c r="AJ518" s="20"/>
      <c r="AK518" s="20"/>
      <c r="AL518" s="20"/>
      <c r="AM518" s="20"/>
      <c r="AN518" s="20"/>
      <c r="AO518" s="20"/>
      <c r="AP518" s="20"/>
      <c r="AQ518" s="20"/>
      <c r="AR518" s="20"/>
      <c r="AS518" s="20"/>
      <c r="AT518" s="20"/>
    </row>
    <row r="519">
      <c r="A519" s="20">
        <v>517.0</v>
      </c>
      <c r="B519" s="29" t="s">
        <v>554</v>
      </c>
      <c r="C519" s="20"/>
      <c r="D519" s="20"/>
      <c r="E519" s="20"/>
      <c r="F519" s="20"/>
      <c r="G519" s="20"/>
      <c r="H519" s="33" t="s">
        <v>104</v>
      </c>
      <c r="I519" s="33" t="s">
        <v>104</v>
      </c>
      <c r="J519" s="21"/>
      <c r="K519" s="20" t="str">
        <f t="shared" si="1"/>
        <v>ROADS,TRANSPORT AND PUBLIC WORKS</v>
      </c>
      <c r="L519" s="20" t="s">
        <v>107</v>
      </c>
      <c r="M519" s="20" t="str">
        <f t="shared" si="2"/>
        <v>ROADS,TRANSPORT AND PUBLIC WORKS</v>
      </c>
      <c r="N519" s="22" t="s">
        <v>510</v>
      </c>
      <c r="O519" s="22" t="s">
        <v>511</v>
      </c>
      <c r="P519" s="20" t="s">
        <v>512</v>
      </c>
      <c r="Q519" s="20" t="s">
        <v>512</v>
      </c>
      <c r="R519" s="34">
        <v>1.5E7</v>
      </c>
      <c r="S519" s="34">
        <v>1.5E7</v>
      </c>
      <c r="T519" s="34">
        <v>1.5E7</v>
      </c>
      <c r="U519" s="20" t="s">
        <v>71</v>
      </c>
      <c r="V519" s="20"/>
      <c r="W519" s="38">
        <f t="shared" si="6"/>
        <v>15000000</v>
      </c>
      <c r="X519" s="20"/>
      <c r="Y519" s="38">
        <f t="shared" si="7"/>
        <v>15000000</v>
      </c>
      <c r="Z519" s="24">
        <f t="shared" si="3"/>
        <v>1</v>
      </c>
      <c r="AA519" s="23">
        <f t="shared" si="5"/>
        <v>15000000</v>
      </c>
      <c r="AB519" s="20"/>
      <c r="AC519" s="20"/>
      <c r="AD519" s="20"/>
      <c r="AE519" s="20"/>
      <c r="AF519" s="20"/>
      <c r="AG519" s="20"/>
      <c r="AH519" s="20"/>
      <c r="AI519" s="20"/>
      <c r="AJ519" s="20"/>
      <c r="AK519" s="20"/>
      <c r="AL519" s="20"/>
      <c r="AM519" s="20"/>
      <c r="AN519" s="20"/>
      <c r="AO519" s="20"/>
      <c r="AP519" s="20"/>
      <c r="AQ519" s="20"/>
      <c r="AR519" s="20"/>
      <c r="AS519" s="20"/>
      <c r="AT519" s="20"/>
    </row>
    <row r="520">
      <c r="A520" s="20">
        <v>518.0</v>
      </c>
      <c r="B520" s="29" t="s">
        <v>555</v>
      </c>
      <c r="C520" s="20"/>
      <c r="D520" s="20"/>
      <c r="E520" s="20"/>
      <c r="F520" s="20"/>
      <c r="G520" s="20"/>
      <c r="H520" s="33" t="s">
        <v>65</v>
      </c>
      <c r="I520" s="33" t="s">
        <v>66</v>
      </c>
      <c r="J520" s="21"/>
      <c r="K520" s="20" t="str">
        <f t="shared" si="1"/>
        <v>ROADS,TRANSPORT AND PUBLIC WORKS</v>
      </c>
      <c r="L520" s="20" t="s">
        <v>107</v>
      </c>
      <c r="M520" s="20" t="str">
        <f t="shared" si="2"/>
        <v>ROADS,TRANSPORT AND PUBLIC WORKS</v>
      </c>
      <c r="N520" s="22" t="s">
        <v>510</v>
      </c>
      <c r="O520" s="22" t="s">
        <v>511</v>
      </c>
      <c r="P520" s="20" t="s">
        <v>512</v>
      </c>
      <c r="Q520" s="20" t="s">
        <v>512</v>
      </c>
      <c r="R520" s="34">
        <v>4250000.0</v>
      </c>
      <c r="S520" s="34">
        <v>4250000.0</v>
      </c>
      <c r="T520" s="34">
        <v>4250000.0</v>
      </c>
      <c r="U520" s="20" t="s">
        <v>71</v>
      </c>
      <c r="V520" s="20"/>
      <c r="W520" s="38">
        <f t="shared" si="6"/>
        <v>4250000</v>
      </c>
      <c r="X520" s="20"/>
      <c r="Y520" s="38">
        <f t="shared" si="7"/>
        <v>4250000</v>
      </c>
      <c r="Z520" s="24">
        <f t="shared" si="3"/>
        <v>1</v>
      </c>
      <c r="AA520" s="23">
        <f t="shared" si="5"/>
        <v>4250000</v>
      </c>
      <c r="AB520" s="20"/>
      <c r="AC520" s="20"/>
      <c r="AD520" s="20"/>
      <c r="AE520" s="20"/>
      <c r="AF520" s="20"/>
      <c r="AG520" s="20"/>
      <c r="AH520" s="20"/>
      <c r="AI520" s="20"/>
      <c r="AJ520" s="20"/>
      <c r="AK520" s="20"/>
      <c r="AL520" s="20"/>
      <c r="AM520" s="20"/>
      <c r="AN520" s="20"/>
      <c r="AO520" s="20"/>
      <c r="AP520" s="20"/>
      <c r="AQ520" s="20"/>
      <c r="AR520" s="20"/>
      <c r="AS520" s="20"/>
      <c r="AT520" s="20"/>
    </row>
    <row r="521">
      <c r="A521" s="20">
        <v>519.0</v>
      </c>
      <c r="B521" s="29" t="s">
        <v>556</v>
      </c>
      <c r="C521" s="20"/>
      <c r="D521" s="20"/>
      <c r="E521" s="20"/>
      <c r="F521" s="20"/>
      <c r="G521" s="20"/>
      <c r="H521" s="33" t="s">
        <v>77</v>
      </c>
      <c r="I521" s="33" t="s">
        <v>157</v>
      </c>
      <c r="J521" s="21"/>
      <c r="K521" s="20" t="str">
        <f t="shared" si="1"/>
        <v>Health services</v>
      </c>
      <c r="L521" s="20" t="s">
        <v>67</v>
      </c>
      <c r="M521" s="20" t="str">
        <f t="shared" si="2"/>
        <v>Health services</v>
      </c>
      <c r="N521" s="22" t="s">
        <v>510</v>
      </c>
      <c r="O521" s="22" t="s">
        <v>511</v>
      </c>
      <c r="P521" s="20" t="s">
        <v>512</v>
      </c>
      <c r="Q521" s="20" t="s">
        <v>512</v>
      </c>
      <c r="R521" s="34">
        <v>3325758.6</v>
      </c>
      <c r="S521" s="34">
        <v>3325758.6</v>
      </c>
      <c r="T521" s="34">
        <v>3325758.6</v>
      </c>
      <c r="U521" s="20" t="s">
        <v>71</v>
      </c>
      <c r="V521" s="20"/>
      <c r="W521" s="38">
        <f t="shared" si="6"/>
        <v>3325758.6</v>
      </c>
      <c r="X521" s="20"/>
      <c r="Y521" s="38">
        <f t="shared" si="7"/>
        <v>3325758.6</v>
      </c>
      <c r="Z521" s="24">
        <f t="shared" si="3"/>
        <v>1</v>
      </c>
      <c r="AA521" s="23">
        <f t="shared" si="5"/>
        <v>3325758.6</v>
      </c>
      <c r="AB521" s="20"/>
      <c r="AC521" s="20"/>
      <c r="AD521" s="20"/>
      <c r="AE521" s="20"/>
      <c r="AF521" s="20"/>
      <c r="AG521" s="20"/>
      <c r="AH521" s="20"/>
      <c r="AI521" s="20"/>
      <c r="AJ521" s="20"/>
      <c r="AK521" s="20"/>
      <c r="AL521" s="20"/>
      <c r="AM521" s="20"/>
      <c r="AN521" s="20"/>
      <c r="AO521" s="20"/>
      <c r="AP521" s="20"/>
      <c r="AQ521" s="20"/>
      <c r="AR521" s="20"/>
      <c r="AS521" s="20"/>
      <c r="AT521" s="20"/>
    </row>
    <row r="522">
      <c r="A522" s="20">
        <v>520.0</v>
      </c>
      <c r="B522" s="29" t="s">
        <v>557</v>
      </c>
      <c r="C522" s="20"/>
      <c r="D522" s="20"/>
      <c r="E522" s="20"/>
      <c r="F522" s="20"/>
      <c r="G522" s="20"/>
      <c r="H522" s="33" t="s">
        <v>113</v>
      </c>
      <c r="I522" s="33" t="s">
        <v>114</v>
      </c>
      <c r="J522" s="21"/>
      <c r="K522" s="20" t="str">
        <f t="shared" si="1"/>
        <v>ROADS,TRANSPORT AND PUBLIC WORKS</v>
      </c>
      <c r="L522" s="20" t="s">
        <v>107</v>
      </c>
      <c r="M522" s="20" t="str">
        <f t="shared" si="2"/>
        <v>ROADS,TRANSPORT AND PUBLIC WORKS</v>
      </c>
      <c r="N522" s="22" t="s">
        <v>510</v>
      </c>
      <c r="O522" s="22" t="s">
        <v>511</v>
      </c>
      <c r="P522" s="20" t="s">
        <v>512</v>
      </c>
      <c r="Q522" s="20" t="s">
        <v>512</v>
      </c>
      <c r="R522" s="34">
        <v>2250000.0</v>
      </c>
      <c r="S522" s="34">
        <v>2250000.0</v>
      </c>
      <c r="T522" s="34">
        <v>2250000.0</v>
      </c>
      <c r="U522" s="20" t="s">
        <v>71</v>
      </c>
      <c r="V522" s="20"/>
      <c r="W522" s="38">
        <f t="shared" si="6"/>
        <v>2250000</v>
      </c>
      <c r="X522" s="20"/>
      <c r="Y522" s="38">
        <f t="shared" si="7"/>
        <v>2250000</v>
      </c>
      <c r="Z522" s="24">
        <f t="shared" si="3"/>
        <v>1</v>
      </c>
      <c r="AA522" s="23">
        <f t="shared" si="5"/>
        <v>2250000</v>
      </c>
      <c r="AB522" s="20"/>
      <c r="AC522" s="20"/>
      <c r="AD522" s="20"/>
      <c r="AE522" s="20"/>
      <c r="AF522" s="20"/>
      <c r="AG522" s="20"/>
      <c r="AH522" s="20"/>
      <c r="AI522" s="20"/>
      <c r="AJ522" s="20"/>
      <c r="AK522" s="20"/>
      <c r="AL522" s="20"/>
      <c r="AM522" s="20"/>
      <c r="AN522" s="20"/>
      <c r="AO522" s="20"/>
      <c r="AP522" s="20"/>
      <c r="AQ522" s="20"/>
      <c r="AR522" s="20"/>
      <c r="AS522" s="20"/>
      <c r="AT522" s="20"/>
    </row>
    <row r="523">
      <c r="A523" s="20">
        <v>521.0</v>
      </c>
      <c r="B523" s="29" t="s">
        <v>558</v>
      </c>
      <c r="C523" s="20"/>
      <c r="D523" s="20"/>
      <c r="E523" s="20"/>
      <c r="F523" s="20"/>
      <c r="G523" s="20"/>
      <c r="H523" s="33" t="s">
        <v>104</v>
      </c>
      <c r="I523" s="33" t="s">
        <v>104</v>
      </c>
      <c r="J523" s="21"/>
      <c r="K523" s="20" t="str">
        <f t="shared" si="1"/>
        <v>ROADS,TRANSPORT AND PUBLIC WORKS</v>
      </c>
      <c r="L523" s="20" t="s">
        <v>107</v>
      </c>
      <c r="M523" s="20" t="str">
        <f t="shared" si="2"/>
        <v>ROADS,TRANSPORT AND PUBLIC WORKS</v>
      </c>
      <c r="N523" s="22" t="s">
        <v>510</v>
      </c>
      <c r="O523" s="22" t="s">
        <v>511</v>
      </c>
      <c r="P523" s="20" t="s">
        <v>512</v>
      </c>
      <c r="Q523" s="20" t="s">
        <v>512</v>
      </c>
      <c r="R523" s="34">
        <v>4250000.0</v>
      </c>
      <c r="S523" s="34">
        <v>4250000.0</v>
      </c>
      <c r="T523" s="34">
        <v>4250000.0</v>
      </c>
      <c r="U523" s="20" t="s">
        <v>71</v>
      </c>
      <c r="V523" s="20"/>
      <c r="W523" s="38">
        <f t="shared" si="6"/>
        <v>4250000</v>
      </c>
      <c r="X523" s="20"/>
      <c r="Y523" s="38">
        <f t="shared" si="7"/>
        <v>4250000</v>
      </c>
      <c r="Z523" s="24">
        <f t="shared" si="3"/>
        <v>1</v>
      </c>
      <c r="AA523" s="23">
        <f t="shared" si="5"/>
        <v>4250000</v>
      </c>
      <c r="AB523" s="20"/>
      <c r="AC523" s="20"/>
      <c r="AD523" s="20"/>
      <c r="AE523" s="20"/>
      <c r="AF523" s="20"/>
      <c r="AG523" s="20"/>
      <c r="AH523" s="20"/>
      <c r="AI523" s="20"/>
      <c r="AJ523" s="20"/>
      <c r="AK523" s="20"/>
      <c r="AL523" s="20"/>
      <c r="AM523" s="20"/>
      <c r="AN523" s="20"/>
      <c r="AO523" s="20"/>
      <c r="AP523" s="20"/>
      <c r="AQ523" s="20"/>
      <c r="AR523" s="20"/>
      <c r="AS523" s="20"/>
      <c r="AT523" s="20"/>
    </row>
    <row r="524">
      <c r="A524" s="20">
        <v>522.0</v>
      </c>
      <c r="B524" s="29" t="s">
        <v>525</v>
      </c>
      <c r="C524" s="20"/>
      <c r="D524" s="20"/>
      <c r="E524" s="20"/>
      <c r="F524" s="20"/>
      <c r="G524" s="20"/>
      <c r="H524" s="33" t="s">
        <v>77</v>
      </c>
      <c r="I524" s="33" t="s">
        <v>77</v>
      </c>
      <c r="J524" s="21"/>
      <c r="K524" s="20" t="str">
        <f t="shared" si="1"/>
        <v>Health services</v>
      </c>
      <c r="L524" s="20" t="s">
        <v>67</v>
      </c>
      <c r="M524" s="20" t="str">
        <f t="shared" si="2"/>
        <v>Health services</v>
      </c>
      <c r="N524" s="22" t="s">
        <v>510</v>
      </c>
      <c r="O524" s="22" t="s">
        <v>511</v>
      </c>
      <c r="P524" s="20" t="s">
        <v>512</v>
      </c>
      <c r="Q524" s="20" t="s">
        <v>512</v>
      </c>
      <c r="R524" s="34">
        <v>600000.0</v>
      </c>
      <c r="S524" s="34">
        <v>600000.0</v>
      </c>
      <c r="T524" s="34">
        <v>600000.0</v>
      </c>
      <c r="U524" s="20" t="s">
        <v>71</v>
      </c>
      <c r="V524" s="20"/>
      <c r="W524" s="38">
        <f t="shared" si="6"/>
        <v>600000</v>
      </c>
      <c r="X524" s="20"/>
      <c r="Y524" s="38">
        <f t="shared" si="7"/>
        <v>600000</v>
      </c>
      <c r="Z524" s="24">
        <f t="shared" si="3"/>
        <v>1</v>
      </c>
      <c r="AA524" s="23">
        <f t="shared" si="5"/>
        <v>600000</v>
      </c>
      <c r="AB524" s="20"/>
      <c r="AC524" s="20"/>
      <c r="AD524" s="20"/>
      <c r="AE524" s="20"/>
      <c r="AF524" s="20"/>
      <c r="AG524" s="20"/>
      <c r="AH524" s="20"/>
      <c r="AI524" s="20"/>
      <c r="AJ524" s="20"/>
      <c r="AK524" s="20"/>
      <c r="AL524" s="20"/>
      <c r="AM524" s="20"/>
      <c r="AN524" s="20"/>
      <c r="AO524" s="20"/>
      <c r="AP524" s="20"/>
      <c r="AQ524" s="20"/>
      <c r="AR524" s="20"/>
      <c r="AS524" s="20"/>
      <c r="AT524" s="20"/>
    </row>
    <row r="525">
      <c r="A525" s="20">
        <v>523.0</v>
      </c>
      <c r="B525" s="29" t="s">
        <v>559</v>
      </c>
      <c r="C525" s="20"/>
      <c r="D525" s="20"/>
      <c r="E525" s="20"/>
      <c r="F525" s="20"/>
      <c r="G525" s="20"/>
      <c r="H525" s="33" t="s">
        <v>65</v>
      </c>
      <c r="I525" s="33" t="s">
        <v>66</v>
      </c>
      <c r="J525" s="21"/>
      <c r="K525" s="20" t="str">
        <f t="shared" si="1"/>
        <v>Health services</v>
      </c>
      <c r="L525" s="20" t="s">
        <v>67</v>
      </c>
      <c r="M525" s="20" t="str">
        <f t="shared" si="2"/>
        <v>Health services</v>
      </c>
      <c r="N525" s="22" t="s">
        <v>510</v>
      </c>
      <c r="O525" s="22" t="s">
        <v>511</v>
      </c>
      <c r="P525" s="20" t="s">
        <v>512</v>
      </c>
      <c r="Q525" s="20" t="s">
        <v>512</v>
      </c>
      <c r="R525" s="34">
        <v>2540611.8</v>
      </c>
      <c r="S525" s="34">
        <v>2540611.8</v>
      </c>
      <c r="T525" s="34">
        <v>2540611.8</v>
      </c>
      <c r="U525" s="20" t="s">
        <v>71</v>
      </c>
      <c r="V525" s="20"/>
      <c r="W525" s="38">
        <f t="shared" si="6"/>
        <v>2540611.8</v>
      </c>
      <c r="X525" s="20"/>
      <c r="Y525" s="38">
        <f t="shared" si="7"/>
        <v>2540611.8</v>
      </c>
      <c r="Z525" s="24">
        <f t="shared" si="3"/>
        <v>1</v>
      </c>
      <c r="AA525" s="23">
        <f t="shared" si="5"/>
        <v>2540611.8</v>
      </c>
      <c r="AB525" s="20"/>
      <c r="AC525" s="20"/>
      <c r="AD525" s="20"/>
      <c r="AE525" s="20"/>
      <c r="AF525" s="20"/>
      <c r="AG525" s="20"/>
      <c r="AH525" s="20"/>
      <c r="AI525" s="20"/>
      <c r="AJ525" s="20"/>
      <c r="AK525" s="20"/>
      <c r="AL525" s="20"/>
      <c r="AM525" s="20"/>
      <c r="AN525" s="20"/>
      <c r="AO525" s="20"/>
      <c r="AP525" s="20"/>
      <c r="AQ525" s="20"/>
      <c r="AR525" s="20"/>
      <c r="AS525" s="20"/>
      <c r="AT525" s="20"/>
    </row>
    <row r="526">
      <c r="A526" s="20">
        <v>524.0</v>
      </c>
      <c r="B526" s="29" t="s">
        <v>560</v>
      </c>
      <c r="C526" s="20"/>
      <c r="D526" s="20"/>
      <c r="E526" s="20"/>
      <c r="F526" s="20"/>
      <c r="G526" s="20"/>
      <c r="H526" s="33" t="s">
        <v>113</v>
      </c>
      <c r="I526" s="33" t="s">
        <v>114</v>
      </c>
      <c r="J526" s="21"/>
      <c r="K526" s="20" t="str">
        <f t="shared" si="1"/>
        <v>ROADS,TRANSPORT AND PUBLIC WORKS</v>
      </c>
      <c r="L526" s="20" t="s">
        <v>107</v>
      </c>
      <c r="M526" s="20" t="str">
        <f t="shared" si="2"/>
        <v>ROADS,TRANSPORT AND PUBLIC WORKS</v>
      </c>
      <c r="N526" s="22" t="s">
        <v>510</v>
      </c>
      <c r="O526" s="22" t="s">
        <v>511</v>
      </c>
      <c r="P526" s="20" t="s">
        <v>512</v>
      </c>
      <c r="Q526" s="20" t="s">
        <v>512</v>
      </c>
      <c r="R526" s="34">
        <v>2755000.0</v>
      </c>
      <c r="S526" s="34">
        <v>2755000.0</v>
      </c>
      <c r="T526" s="34">
        <v>2755000.0</v>
      </c>
      <c r="U526" s="20" t="s">
        <v>71</v>
      </c>
      <c r="V526" s="20"/>
      <c r="W526" s="38">
        <f t="shared" si="6"/>
        <v>2755000</v>
      </c>
      <c r="X526" s="20"/>
      <c r="Y526" s="38">
        <f t="shared" si="7"/>
        <v>2755000</v>
      </c>
      <c r="Z526" s="24">
        <f t="shared" si="3"/>
        <v>1</v>
      </c>
      <c r="AA526" s="23">
        <f t="shared" si="5"/>
        <v>2755000</v>
      </c>
      <c r="AB526" s="20"/>
      <c r="AC526" s="20"/>
      <c r="AD526" s="20"/>
      <c r="AE526" s="20"/>
      <c r="AF526" s="20"/>
      <c r="AG526" s="20"/>
      <c r="AH526" s="20"/>
      <c r="AI526" s="20"/>
      <c r="AJ526" s="20"/>
      <c r="AK526" s="20"/>
      <c r="AL526" s="20"/>
      <c r="AM526" s="20"/>
      <c r="AN526" s="20"/>
      <c r="AO526" s="20"/>
      <c r="AP526" s="20"/>
      <c r="AQ526" s="20"/>
      <c r="AR526" s="20"/>
      <c r="AS526" s="20"/>
      <c r="AT526" s="20"/>
    </row>
    <row r="527">
      <c r="A527" s="20">
        <v>525.0</v>
      </c>
      <c r="B527" s="29" t="s">
        <v>561</v>
      </c>
      <c r="C527" s="20"/>
      <c r="D527" s="20"/>
      <c r="E527" s="20"/>
      <c r="F527" s="20"/>
      <c r="G527" s="20"/>
      <c r="H527" s="33" t="s">
        <v>65</v>
      </c>
      <c r="I527" s="33" t="s">
        <v>66</v>
      </c>
      <c r="J527" s="21"/>
      <c r="K527" s="20" t="str">
        <f t="shared" si="1"/>
        <v>ROADS,TRANSPORT AND PUBLIC WORKS</v>
      </c>
      <c r="L527" s="20" t="s">
        <v>107</v>
      </c>
      <c r="M527" s="20" t="str">
        <f t="shared" si="2"/>
        <v>ROADS,TRANSPORT AND PUBLIC WORKS</v>
      </c>
      <c r="N527" s="22" t="s">
        <v>510</v>
      </c>
      <c r="O527" s="22" t="s">
        <v>511</v>
      </c>
      <c r="P527" s="20" t="s">
        <v>512</v>
      </c>
      <c r="Q527" s="20" t="s">
        <v>512</v>
      </c>
      <c r="R527" s="34">
        <v>4419116.0</v>
      </c>
      <c r="S527" s="34">
        <v>4419116.0</v>
      </c>
      <c r="T527" s="34">
        <v>4419116.0</v>
      </c>
      <c r="U527" s="20" t="s">
        <v>71</v>
      </c>
      <c r="V527" s="20"/>
      <c r="W527" s="38">
        <f t="shared" si="6"/>
        <v>4419116</v>
      </c>
      <c r="X527" s="20"/>
      <c r="Y527" s="38">
        <f t="shared" si="7"/>
        <v>4419116</v>
      </c>
      <c r="Z527" s="24">
        <f t="shared" si="3"/>
        <v>1</v>
      </c>
      <c r="AA527" s="23">
        <f t="shared" si="5"/>
        <v>4419116</v>
      </c>
      <c r="AB527" s="20"/>
      <c r="AC527" s="20"/>
      <c r="AD527" s="20"/>
      <c r="AE527" s="20"/>
      <c r="AF527" s="20"/>
      <c r="AG527" s="20"/>
      <c r="AH527" s="20"/>
      <c r="AI527" s="20"/>
      <c r="AJ527" s="20"/>
      <c r="AK527" s="20"/>
      <c r="AL527" s="20"/>
      <c r="AM527" s="20"/>
      <c r="AN527" s="20"/>
      <c r="AO527" s="20"/>
      <c r="AP527" s="20"/>
      <c r="AQ527" s="20"/>
      <c r="AR527" s="20"/>
      <c r="AS527" s="20"/>
      <c r="AT527" s="20"/>
    </row>
    <row r="528">
      <c r="A528" s="20">
        <v>526.0</v>
      </c>
      <c r="B528" s="29" t="s">
        <v>562</v>
      </c>
      <c r="C528" s="20"/>
      <c r="D528" s="20"/>
      <c r="E528" s="20"/>
      <c r="F528" s="20"/>
      <c r="G528" s="20"/>
      <c r="H528" s="33" t="s">
        <v>81</v>
      </c>
      <c r="I528" s="33" t="s">
        <v>81</v>
      </c>
      <c r="J528" s="21"/>
      <c r="K528" s="20" t="str">
        <f t="shared" si="1"/>
        <v>EDUCATION,INFORMATION AND ICT</v>
      </c>
      <c r="L528" s="20" t="s">
        <v>84</v>
      </c>
      <c r="M528" s="20" t="str">
        <f t="shared" si="2"/>
        <v>EDUCATION,INFORMATION AND ICT</v>
      </c>
      <c r="N528" s="22" t="s">
        <v>510</v>
      </c>
      <c r="O528" s="22" t="s">
        <v>511</v>
      </c>
      <c r="P528" s="20" t="s">
        <v>512</v>
      </c>
      <c r="Q528" s="20" t="s">
        <v>512</v>
      </c>
      <c r="R528" s="34">
        <v>3240450.0</v>
      </c>
      <c r="S528" s="34">
        <v>3240450.0</v>
      </c>
      <c r="T528" s="34">
        <v>3240450.0</v>
      </c>
      <c r="U528" s="20" t="s">
        <v>71</v>
      </c>
      <c r="V528" s="20"/>
      <c r="W528" s="38">
        <f t="shared" si="6"/>
        <v>3240450</v>
      </c>
      <c r="X528" s="20"/>
      <c r="Y528" s="38">
        <f t="shared" si="7"/>
        <v>3240450</v>
      </c>
      <c r="Z528" s="24">
        <f t="shared" si="3"/>
        <v>1</v>
      </c>
      <c r="AA528" s="23">
        <f t="shared" si="5"/>
        <v>3240450</v>
      </c>
      <c r="AB528" s="20"/>
      <c r="AC528" s="20"/>
      <c r="AD528" s="20"/>
      <c r="AE528" s="20"/>
      <c r="AF528" s="20"/>
      <c r="AG528" s="20"/>
      <c r="AH528" s="20"/>
      <c r="AI528" s="20"/>
      <c r="AJ528" s="20"/>
      <c r="AK528" s="20"/>
      <c r="AL528" s="20"/>
      <c r="AM528" s="20"/>
      <c r="AN528" s="20"/>
      <c r="AO528" s="20"/>
      <c r="AP528" s="20"/>
      <c r="AQ528" s="20"/>
      <c r="AR528" s="20"/>
      <c r="AS528" s="20"/>
      <c r="AT528" s="20"/>
    </row>
    <row r="529">
      <c r="A529" s="20">
        <v>527.0</v>
      </c>
      <c r="B529" s="29" t="s">
        <v>563</v>
      </c>
      <c r="C529" s="20"/>
      <c r="D529" s="20"/>
      <c r="E529" s="20"/>
      <c r="F529" s="20"/>
      <c r="G529" s="20"/>
      <c r="H529" s="33" t="s">
        <v>65</v>
      </c>
      <c r="I529" s="33" t="s">
        <v>66</v>
      </c>
      <c r="J529" s="21"/>
      <c r="K529" s="20" t="str">
        <f t="shared" si="1"/>
        <v>TRADE,INVESTMENT AND ENTERPRISE DEVELOPMENT</v>
      </c>
      <c r="L529" s="20" t="s">
        <v>564</v>
      </c>
      <c r="M529" s="20" t="str">
        <f t="shared" si="2"/>
        <v>TRADE,INVESTMENT AND ENTERPRISE DEVELOPMENT</v>
      </c>
      <c r="N529" s="22" t="s">
        <v>510</v>
      </c>
      <c r="O529" s="22" t="s">
        <v>511</v>
      </c>
      <c r="P529" s="20" t="s">
        <v>512</v>
      </c>
      <c r="Q529" s="20" t="s">
        <v>512</v>
      </c>
      <c r="R529" s="34">
        <v>3298884.0</v>
      </c>
      <c r="S529" s="34">
        <v>3298884.0</v>
      </c>
      <c r="T529" s="34">
        <v>3298884.0</v>
      </c>
      <c r="U529" s="20" t="s">
        <v>71</v>
      </c>
      <c r="V529" s="20"/>
      <c r="W529" s="38">
        <f t="shared" si="6"/>
        <v>3298884</v>
      </c>
      <c r="X529" s="20"/>
      <c r="Y529" s="38">
        <f t="shared" si="7"/>
        <v>3298884</v>
      </c>
      <c r="Z529" s="24">
        <f t="shared" si="3"/>
        <v>1</v>
      </c>
      <c r="AA529" s="23">
        <f t="shared" si="5"/>
        <v>3298884</v>
      </c>
      <c r="AB529" s="20"/>
      <c r="AC529" s="20"/>
      <c r="AD529" s="20"/>
      <c r="AE529" s="20"/>
      <c r="AF529" s="20"/>
      <c r="AG529" s="20"/>
      <c r="AH529" s="20"/>
      <c r="AI529" s="20"/>
      <c r="AJ529" s="20"/>
      <c r="AK529" s="20"/>
      <c r="AL529" s="20"/>
      <c r="AM529" s="20"/>
      <c r="AN529" s="20"/>
      <c r="AO529" s="20"/>
      <c r="AP529" s="20"/>
      <c r="AQ529" s="20"/>
      <c r="AR529" s="20"/>
      <c r="AS529" s="20"/>
      <c r="AT529" s="20"/>
    </row>
    <row r="530">
      <c r="A530" s="20">
        <v>528.0</v>
      </c>
      <c r="B530" s="29" t="s">
        <v>565</v>
      </c>
      <c r="C530" s="20"/>
      <c r="D530" s="20"/>
      <c r="E530" s="20"/>
      <c r="F530" s="20"/>
      <c r="G530" s="20"/>
      <c r="H530" s="33" t="s">
        <v>65</v>
      </c>
      <c r="I530" s="33" t="s">
        <v>66</v>
      </c>
      <c r="J530" s="21"/>
      <c r="K530" s="20" t="str">
        <f t="shared" si="1"/>
        <v>Health services</v>
      </c>
      <c r="L530" s="20" t="s">
        <v>67</v>
      </c>
      <c r="M530" s="20" t="str">
        <f t="shared" si="2"/>
        <v>Health services</v>
      </c>
      <c r="N530" s="22" t="s">
        <v>510</v>
      </c>
      <c r="O530" s="22" t="s">
        <v>511</v>
      </c>
      <c r="P530" s="20" t="s">
        <v>512</v>
      </c>
      <c r="Q530" s="20" t="s">
        <v>512</v>
      </c>
      <c r="R530" s="34">
        <v>4333083.0</v>
      </c>
      <c r="S530" s="34">
        <v>4333083.0</v>
      </c>
      <c r="T530" s="34">
        <v>4333083.0</v>
      </c>
      <c r="U530" s="20" t="s">
        <v>71</v>
      </c>
      <c r="V530" s="20"/>
      <c r="W530" s="38">
        <f t="shared" si="6"/>
        <v>4333083</v>
      </c>
      <c r="X530" s="20"/>
      <c r="Y530" s="38">
        <f t="shared" si="7"/>
        <v>4333083</v>
      </c>
      <c r="Z530" s="24">
        <f t="shared" si="3"/>
        <v>1</v>
      </c>
      <c r="AA530" s="23">
        <f t="shared" si="5"/>
        <v>4333083</v>
      </c>
      <c r="AB530" s="20"/>
      <c r="AC530" s="20"/>
      <c r="AD530" s="20"/>
      <c r="AE530" s="20"/>
      <c r="AF530" s="20"/>
      <c r="AG530" s="20"/>
      <c r="AH530" s="20"/>
      <c r="AI530" s="20"/>
      <c r="AJ530" s="20"/>
      <c r="AK530" s="20"/>
      <c r="AL530" s="20"/>
      <c r="AM530" s="20"/>
      <c r="AN530" s="20"/>
      <c r="AO530" s="20"/>
      <c r="AP530" s="20"/>
      <c r="AQ530" s="20"/>
      <c r="AR530" s="20"/>
      <c r="AS530" s="20"/>
      <c r="AT530" s="20"/>
    </row>
    <row r="531">
      <c r="A531" s="20">
        <v>529.0</v>
      </c>
      <c r="B531" s="29" t="s">
        <v>566</v>
      </c>
      <c r="C531" s="20"/>
      <c r="D531" s="20"/>
      <c r="E531" s="20"/>
      <c r="F531" s="20"/>
      <c r="G531" s="20"/>
      <c r="H531" s="33" t="s">
        <v>65</v>
      </c>
      <c r="I531" s="33" t="s">
        <v>66</v>
      </c>
      <c r="J531" s="21"/>
      <c r="K531" s="20" t="str">
        <f t="shared" si="1"/>
        <v>ROADS,TRANSPORT AND PUBLIC WORKS</v>
      </c>
      <c r="L531" s="20" t="s">
        <v>107</v>
      </c>
      <c r="M531" s="20" t="str">
        <f t="shared" si="2"/>
        <v>ROADS,TRANSPORT AND PUBLIC WORKS</v>
      </c>
      <c r="N531" s="22" t="s">
        <v>510</v>
      </c>
      <c r="O531" s="22" t="s">
        <v>511</v>
      </c>
      <c r="P531" s="20" t="s">
        <v>512</v>
      </c>
      <c r="Q531" s="20" t="s">
        <v>512</v>
      </c>
      <c r="R531" s="34">
        <v>9000000.0</v>
      </c>
      <c r="S531" s="34">
        <v>9000000.0</v>
      </c>
      <c r="T531" s="34">
        <v>9000000.0</v>
      </c>
      <c r="U531" s="20" t="s">
        <v>71</v>
      </c>
      <c r="V531" s="20"/>
      <c r="W531" s="38">
        <f t="shared" si="6"/>
        <v>9000000</v>
      </c>
      <c r="X531" s="20"/>
      <c r="Y531" s="38">
        <f t="shared" si="7"/>
        <v>9000000</v>
      </c>
      <c r="Z531" s="24">
        <f t="shared" si="3"/>
        <v>1</v>
      </c>
      <c r="AA531" s="23">
        <f t="shared" si="5"/>
        <v>9000000</v>
      </c>
      <c r="AB531" s="20"/>
      <c r="AC531" s="20"/>
      <c r="AD531" s="20"/>
      <c r="AE531" s="20"/>
      <c r="AF531" s="20"/>
      <c r="AG531" s="20"/>
      <c r="AH531" s="20"/>
      <c r="AI531" s="20"/>
      <c r="AJ531" s="20"/>
      <c r="AK531" s="20"/>
      <c r="AL531" s="20"/>
      <c r="AM531" s="20"/>
      <c r="AN531" s="20"/>
      <c r="AO531" s="20"/>
      <c r="AP531" s="20"/>
      <c r="AQ531" s="20"/>
      <c r="AR531" s="20"/>
      <c r="AS531" s="20"/>
      <c r="AT531" s="20"/>
    </row>
    <row r="532">
      <c r="A532" s="20">
        <v>530.0</v>
      </c>
      <c r="B532" s="29" t="s">
        <v>567</v>
      </c>
      <c r="C532" s="20"/>
      <c r="D532" s="20"/>
      <c r="E532" s="20"/>
      <c r="F532" s="20"/>
      <c r="G532" s="20"/>
      <c r="H532" s="33" t="s">
        <v>65</v>
      </c>
      <c r="I532" s="33" t="s">
        <v>87</v>
      </c>
      <c r="J532" s="21"/>
      <c r="K532" s="20" t="str">
        <f t="shared" si="1"/>
        <v>Health services</v>
      </c>
      <c r="L532" s="20" t="s">
        <v>67</v>
      </c>
      <c r="M532" s="20" t="str">
        <f t="shared" si="2"/>
        <v>Health services</v>
      </c>
      <c r="N532" s="22" t="s">
        <v>510</v>
      </c>
      <c r="O532" s="22" t="s">
        <v>511</v>
      </c>
      <c r="P532" s="20" t="s">
        <v>512</v>
      </c>
      <c r="Q532" s="20" t="s">
        <v>512</v>
      </c>
      <c r="R532" s="34">
        <v>2070000.0</v>
      </c>
      <c r="S532" s="34">
        <v>2070000.0</v>
      </c>
      <c r="T532" s="34">
        <v>2070000.0</v>
      </c>
      <c r="U532" s="20" t="s">
        <v>71</v>
      </c>
      <c r="V532" s="20"/>
      <c r="W532" s="38">
        <f t="shared" si="6"/>
        <v>2070000</v>
      </c>
      <c r="X532" s="20"/>
      <c r="Y532" s="38">
        <f t="shared" si="7"/>
        <v>2070000</v>
      </c>
      <c r="Z532" s="24">
        <f t="shared" si="3"/>
        <v>1</v>
      </c>
      <c r="AA532" s="23">
        <f t="shared" si="5"/>
        <v>2070000</v>
      </c>
      <c r="AB532" s="20"/>
      <c r="AC532" s="20"/>
      <c r="AD532" s="20"/>
      <c r="AE532" s="20"/>
      <c r="AF532" s="20"/>
      <c r="AG532" s="20"/>
      <c r="AH532" s="20"/>
      <c r="AI532" s="20"/>
      <c r="AJ532" s="20"/>
      <c r="AK532" s="20"/>
      <c r="AL532" s="20"/>
      <c r="AM532" s="20"/>
      <c r="AN532" s="20"/>
      <c r="AO532" s="20"/>
      <c r="AP532" s="20"/>
      <c r="AQ532" s="20"/>
      <c r="AR532" s="20"/>
      <c r="AS532" s="20"/>
      <c r="AT532" s="20"/>
    </row>
    <row r="533">
      <c r="A533" s="20">
        <v>531.0</v>
      </c>
      <c r="B533" s="29" t="s">
        <v>568</v>
      </c>
      <c r="C533" s="20"/>
      <c r="D533" s="20"/>
      <c r="E533" s="20"/>
      <c r="F533" s="20"/>
      <c r="G533" s="20"/>
      <c r="H533" s="33" t="s">
        <v>77</v>
      </c>
      <c r="I533" s="33" t="s">
        <v>77</v>
      </c>
      <c r="J533" s="21"/>
      <c r="K533" s="20" t="str">
        <f t="shared" si="1"/>
        <v>Health services</v>
      </c>
      <c r="L533" s="20" t="s">
        <v>67</v>
      </c>
      <c r="M533" s="20" t="str">
        <f t="shared" si="2"/>
        <v>Health services</v>
      </c>
      <c r="N533" s="22" t="s">
        <v>510</v>
      </c>
      <c r="O533" s="22" t="s">
        <v>511</v>
      </c>
      <c r="P533" s="20" t="s">
        <v>512</v>
      </c>
      <c r="Q533" s="20" t="s">
        <v>512</v>
      </c>
      <c r="R533" s="34">
        <v>3000000.0</v>
      </c>
      <c r="S533" s="34">
        <v>3000000.0</v>
      </c>
      <c r="T533" s="34">
        <v>3000000.0</v>
      </c>
      <c r="U533" s="20" t="s">
        <v>71</v>
      </c>
      <c r="V533" s="20"/>
      <c r="W533" s="38">
        <f t="shared" si="6"/>
        <v>3000000</v>
      </c>
      <c r="X533" s="20"/>
      <c r="Y533" s="38">
        <f t="shared" si="7"/>
        <v>3000000</v>
      </c>
      <c r="Z533" s="24">
        <f t="shared" si="3"/>
        <v>1</v>
      </c>
      <c r="AA533" s="23">
        <f t="shared" si="5"/>
        <v>3000000</v>
      </c>
      <c r="AB533" s="20"/>
      <c r="AC533" s="20"/>
      <c r="AD533" s="20"/>
      <c r="AE533" s="20"/>
      <c r="AF533" s="20"/>
      <c r="AG533" s="20"/>
      <c r="AH533" s="20"/>
      <c r="AI533" s="20"/>
      <c r="AJ533" s="20"/>
      <c r="AK533" s="20"/>
      <c r="AL533" s="20"/>
      <c r="AM533" s="20"/>
      <c r="AN533" s="20"/>
      <c r="AO533" s="20"/>
      <c r="AP533" s="20"/>
      <c r="AQ533" s="20"/>
      <c r="AR533" s="20"/>
      <c r="AS533" s="20"/>
      <c r="AT533" s="20"/>
    </row>
    <row r="534">
      <c r="A534" s="20">
        <v>532.0</v>
      </c>
      <c r="B534" s="29" t="s">
        <v>131</v>
      </c>
      <c r="C534" s="20"/>
      <c r="D534" s="20"/>
      <c r="E534" s="20"/>
      <c r="F534" s="20"/>
      <c r="G534" s="20"/>
      <c r="H534" s="33" t="s">
        <v>65</v>
      </c>
      <c r="I534" s="33" t="s">
        <v>66</v>
      </c>
      <c r="J534" s="21"/>
      <c r="K534" s="20" t="str">
        <f t="shared" si="1"/>
        <v>Health services</v>
      </c>
      <c r="L534" s="20" t="s">
        <v>67</v>
      </c>
      <c r="M534" s="20" t="str">
        <f t="shared" si="2"/>
        <v>Health services</v>
      </c>
      <c r="N534" s="22" t="s">
        <v>510</v>
      </c>
      <c r="O534" s="22" t="s">
        <v>511</v>
      </c>
      <c r="P534" s="20" t="s">
        <v>512</v>
      </c>
      <c r="Q534" s="20" t="s">
        <v>512</v>
      </c>
      <c r="R534" s="34">
        <v>1870969.0</v>
      </c>
      <c r="S534" s="34">
        <v>1870969.0</v>
      </c>
      <c r="T534" s="34">
        <v>1870969.0</v>
      </c>
      <c r="U534" s="20" t="s">
        <v>71</v>
      </c>
      <c r="V534" s="20"/>
      <c r="W534" s="38">
        <f t="shared" si="6"/>
        <v>1870969</v>
      </c>
      <c r="X534" s="20"/>
      <c r="Y534" s="38">
        <f t="shared" si="7"/>
        <v>1870969</v>
      </c>
      <c r="Z534" s="24">
        <f t="shared" si="3"/>
        <v>1</v>
      </c>
      <c r="AA534" s="23">
        <f t="shared" si="5"/>
        <v>1870969</v>
      </c>
      <c r="AB534" s="20"/>
      <c r="AC534" s="20"/>
      <c r="AD534" s="20"/>
      <c r="AE534" s="20"/>
      <c r="AF534" s="20"/>
      <c r="AG534" s="20"/>
      <c r="AH534" s="20"/>
      <c r="AI534" s="20"/>
      <c r="AJ534" s="20"/>
      <c r="AK534" s="20"/>
      <c r="AL534" s="20"/>
      <c r="AM534" s="20"/>
      <c r="AN534" s="20"/>
      <c r="AO534" s="20"/>
      <c r="AP534" s="20"/>
      <c r="AQ534" s="20"/>
      <c r="AR534" s="20"/>
      <c r="AS534" s="20"/>
      <c r="AT534" s="20"/>
    </row>
    <row r="535">
      <c r="A535" s="20">
        <v>533.0</v>
      </c>
      <c r="B535" s="29" t="s">
        <v>131</v>
      </c>
      <c r="C535" s="20"/>
      <c r="D535" s="20"/>
      <c r="E535" s="20"/>
      <c r="F535" s="20"/>
      <c r="G535" s="20"/>
      <c r="H535" s="33" t="s">
        <v>65</v>
      </c>
      <c r="I535" s="33" t="s">
        <v>66</v>
      </c>
      <c r="J535" s="21"/>
      <c r="K535" s="20" t="str">
        <f t="shared" si="1"/>
        <v>Health services</v>
      </c>
      <c r="L535" s="20" t="s">
        <v>67</v>
      </c>
      <c r="M535" s="20" t="str">
        <f t="shared" si="2"/>
        <v>Health services</v>
      </c>
      <c r="N535" s="22" t="s">
        <v>510</v>
      </c>
      <c r="O535" s="22" t="s">
        <v>511</v>
      </c>
      <c r="P535" s="20" t="s">
        <v>512</v>
      </c>
      <c r="Q535" s="20" t="s">
        <v>512</v>
      </c>
      <c r="R535" s="34">
        <v>4251805.0</v>
      </c>
      <c r="S535" s="34">
        <v>4251805.0</v>
      </c>
      <c r="T535" s="34">
        <v>4251805.0</v>
      </c>
      <c r="U535" s="20" t="s">
        <v>71</v>
      </c>
      <c r="V535" s="20"/>
      <c r="W535" s="38">
        <f t="shared" si="6"/>
        <v>4251805</v>
      </c>
      <c r="X535" s="20"/>
      <c r="Y535" s="38">
        <f t="shared" si="7"/>
        <v>4251805</v>
      </c>
      <c r="Z535" s="24">
        <f t="shared" si="3"/>
        <v>1</v>
      </c>
      <c r="AA535" s="23">
        <f t="shared" si="5"/>
        <v>4251805</v>
      </c>
      <c r="AB535" s="20"/>
      <c r="AC535" s="20"/>
      <c r="AD535" s="20"/>
      <c r="AE535" s="20"/>
      <c r="AF535" s="20"/>
      <c r="AG535" s="20"/>
      <c r="AH535" s="20"/>
      <c r="AI535" s="20"/>
      <c r="AJ535" s="20"/>
      <c r="AK535" s="20"/>
      <c r="AL535" s="20"/>
      <c r="AM535" s="20"/>
      <c r="AN535" s="20"/>
      <c r="AO535" s="20"/>
      <c r="AP535" s="20"/>
      <c r="AQ535" s="20"/>
      <c r="AR535" s="20"/>
      <c r="AS535" s="20"/>
      <c r="AT535" s="20"/>
    </row>
    <row r="536">
      <c r="A536" s="20">
        <v>534.0</v>
      </c>
      <c r="B536" s="29" t="s">
        <v>569</v>
      </c>
      <c r="C536" s="20"/>
      <c r="D536" s="20"/>
      <c r="E536" s="20"/>
      <c r="F536" s="20"/>
      <c r="G536" s="20"/>
      <c r="H536" s="33" t="s">
        <v>65</v>
      </c>
      <c r="I536" s="33" t="s">
        <v>66</v>
      </c>
      <c r="J536" s="21"/>
      <c r="K536" s="20" t="str">
        <f t="shared" si="1"/>
        <v>Health services</v>
      </c>
      <c r="L536" s="20" t="s">
        <v>67</v>
      </c>
      <c r="M536" s="20" t="str">
        <f t="shared" si="2"/>
        <v>Health services</v>
      </c>
      <c r="N536" s="22" t="s">
        <v>510</v>
      </c>
      <c r="O536" s="22" t="s">
        <v>511</v>
      </c>
      <c r="P536" s="20" t="s">
        <v>512</v>
      </c>
      <c r="Q536" s="20" t="s">
        <v>512</v>
      </c>
      <c r="R536" s="34">
        <v>3700000.0</v>
      </c>
      <c r="S536" s="34">
        <v>3700000.0</v>
      </c>
      <c r="T536" s="34">
        <v>3700000.0</v>
      </c>
      <c r="U536" s="20" t="s">
        <v>71</v>
      </c>
      <c r="V536" s="20"/>
      <c r="W536" s="38">
        <f t="shared" si="6"/>
        <v>3700000</v>
      </c>
      <c r="X536" s="20"/>
      <c r="Y536" s="38">
        <f t="shared" si="7"/>
        <v>3700000</v>
      </c>
      <c r="Z536" s="24">
        <f t="shared" si="3"/>
        <v>1</v>
      </c>
      <c r="AA536" s="23">
        <f t="shared" si="5"/>
        <v>3700000</v>
      </c>
      <c r="AB536" s="20"/>
      <c r="AC536" s="20"/>
      <c r="AD536" s="20"/>
      <c r="AE536" s="20"/>
      <c r="AF536" s="20"/>
      <c r="AG536" s="20"/>
      <c r="AH536" s="20"/>
      <c r="AI536" s="20"/>
      <c r="AJ536" s="20"/>
      <c r="AK536" s="20"/>
      <c r="AL536" s="20"/>
      <c r="AM536" s="20"/>
      <c r="AN536" s="20"/>
      <c r="AO536" s="20"/>
      <c r="AP536" s="20"/>
      <c r="AQ536" s="20"/>
      <c r="AR536" s="20"/>
      <c r="AS536" s="20"/>
      <c r="AT536" s="20"/>
    </row>
    <row r="537">
      <c r="A537" s="20">
        <v>535.0</v>
      </c>
      <c r="B537" s="29" t="s">
        <v>570</v>
      </c>
      <c r="C537" s="20"/>
      <c r="D537" s="20"/>
      <c r="E537" s="20"/>
      <c r="F537" s="20"/>
      <c r="G537" s="20"/>
      <c r="H537" s="33" t="s">
        <v>113</v>
      </c>
      <c r="I537" s="33" t="s">
        <v>114</v>
      </c>
      <c r="J537" s="21"/>
      <c r="K537" s="20" t="str">
        <f t="shared" si="1"/>
        <v>ROADS,TRANSPORT AND PUBLIC WORKS</v>
      </c>
      <c r="L537" s="20" t="s">
        <v>107</v>
      </c>
      <c r="M537" s="20" t="str">
        <f t="shared" si="2"/>
        <v>ROADS,TRANSPORT AND PUBLIC WORKS</v>
      </c>
      <c r="N537" s="22" t="s">
        <v>510</v>
      </c>
      <c r="O537" s="22" t="s">
        <v>511</v>
      </c>
      <c r="P537" s="20" t="s">
        <v>512</v>
      </c>
      <c r="Q537" s="20" t="s">
        <v>512</v>
      </c>
      <c r="R537" s="34">
        <v>3012313.55</v>
      </c>
      <c r="S537" s="34">
        <v>3012313.55</v>
      </c>
      <c r="T537" s="34">
        <v>3012313.55</v>
      </c>
      <c r="U537" s="20" t="s">
        <v>71</v>
      </c>
      <c r="V537" s="20"/>
      <c r="W537" s="38">
        <f t="shared" si="6"/>
        <v>3012313.55</v>
      </c>
      <c r="X537" s="20"/>
      <c r="Y537" s="38">
        <f t="shared" si="7"/>
        <v>3012313.55</v>
      </c>
      <c r="Z537" s="24">
        <f t="shared" si="3"/>
        <v>1</v>
      </c>
      <c r="AA537" s="23">
        <f t="shared" si="5"/>
        <v>3012313.55</v>
      </c>
      <c r="AB537" s="20"/>
      <c r="AC537" s="20"/>
      <c r="AD537" s="20"/>
      <c r="AE537" s="20"/>
      <c r="AF537" s="20"/>
      <c r="AG537" s="20"/>
      <c r="AH537" s="20"/>
      <c r="AI537" s="20"/>
      <c r="AJ537" s="20"/>
      <c r="AK537" s="20"/>
      <c r="AL537" s="20"/>
      <c r="AM537" s="20"/>
      <c r="AN537" s="20"/>
      <c r="AO537" s="20"/>
      <c r="AP537" s="20"/>
      <c r="AQ537" s="20"/>
      <c r="AR537" s="20"/>
      <c r="AS537" s="20"/>
      <c r="AT537" s="20"/>
    </row>
    <row r="538">
      <c r="A538" s="20">
        <v>536.0</v>
      </c>
      <c r="B538" s="29" t="s">
        <v>112</v>
      </c>
      <c r="C538" s="20"/>
      <c r="D538" s="20"/>
      <c r="E538" s="20"/>
      <c r="F538" s="20"/>
      <c r="G538" s="20"/>
      <c r="H538" s="33" t="s">
        <v>113</v>
      </c>
      <c r="I538" s="33" t="s">
        <v>114</v>
      </c>
      <c r="J538" s="21"/>
      <c r="K538" s="20" t="str">
        <f t="shared" si="1"/>
        <v>Health services</v>
      </c>
      <c r="L538" s="20" t="s">
        <v>67</v>
      </c>
      <c r="M538" s="20" t="str">
        <f t="shared" si="2"/>
        <v>Health services</v>
      </c>
      <c r="N538" s="22" t="s">
        <v>510</v>
      </c>
      <c r="O538" s="22" t="s">
        <v>511</v>
      </c>
      <c r="P538" s="20" t="s">
        <v>512</v>
      </c>
      <c r="Q538" s="20" t="s">
        <v>512</v>
      </c>
      <c r="R538" s="34">
        <v>4503345.0</v>
      </c>
      <c r="S538" s="34">
        <v>4503345.0</v>
      </c>
      <c r="T538" s="34">
        <v>4503345.0</v>
      </c>
      <c r="U538" s="20" t="s">
        <v>71</v>
      </c>
      <c r="V538" s="20"/>
      <c r="W538" s="38">
        <f t="shared" si="6"/>
        <v>4503345</v>
      </c>
      <c r="X538" s="20"/>
      <c r="Y538" s="38">
        <f t="shared" si="7"/>
        <v>4503345</v>
      </c>
      <c r="Z538" s="24">
        <f t="shared" si="3"/>
        <v>1</v>
      </c>
      <c r="AA538" s="23">
        <f t="shared" si="5"/>
        <v>4503345</v>
      </c>
      <c r="AB538" s="20"/>
      <c r="AC538" s="20"/>
      <c r="AD538" s="20"/>
      <c r="AE538" s="20"/>
      <c r="AF538" s="20"/>
      <c r="AG538" s="20"/>
      <c r="AH538" s="20"/>
      <c r="AI538" s="20"/>
      <c r="AJ538" s="20"/>
      <c r="AK538" s="20"/>
      <c r="AL538" s="20"/>
      <c r="AM538" s="20"/>
      <c r="AN538" s="20"/>
      <c r="AO538" s="20"/>
      <c r="AP538" s="20"/>
      <c r="AQ538" s="20"/>
      <c r="AR538" s="20"/>
      <c r="AS538" s="20"/>
      <c r="AT538" s="20"/>
    </row>
    <row r="539">
      <c r="A539" s="20">
        <v>537.0</v>
      </c>
      <c r="B539" s="29" t="s">
        <v>112</v>
      </c>
      <c r="C539" s="20"/>
      <c r="D539" s="20"/>
      <c r="E539" s="20"/>
      <c r="F539" s="20"/>
      <c r="G539" s="20"/>
      <c r="H539" s="33" t="s">
        <v>113</v>
      </c>
      <c r="I539" s="33" t="s">
        <v>114</v>
      </c>
      <c r="J539" s="21"/>
      <c r="K539" s="20" t="str">
        <f t="shared" si="1"/>
        <v>Health services</v>
      </c>
      <c r="L539" s="20" t="s">
        <v>67</v>
      </c>
      <c r="M539" s="20" t="str">
        <f t="shared" si="2"/>
        <v>Health services</v>
      </c>
      <c r="N539" s="22" t="s">
        <v>510</v>
      </c>
      <c r="O539" s="22" t="s">
        <v>511</v>
      </c>
      <c r="P539" s="20" t="s">
        <v>512</v>
      </c>
      <c r="Q539" s="20" t="s">
        <v>512</v>
      </c>
      <c r="R539" s="34">
        <v>3800000.0</v>
      </c>
      <c r="S539" s="34">
        <v>3800000.0</v>
      </c>
      <c r="T539" s="34">
        <v>3800000.0</v>
      </c>
      <c r="U539" s="20" t="s">
        <v>71</v>
      </c>
      <c r="V539" s="20"/>
      <c r="W539" s="38">
        <f t="shared" si="6"/>
        <v>3800000</v>
      </c>
      <c r="X539" s="20"/>
      <c r="Y539" s="38">
        <f t="shared" si="7"/>
        <v>3800000</v>
      </c>
      <c r="Z539" s="24">
        <f t="shared" si="3"/>
        <v>1</v>
      </c>
      <c r="AA539" s="23">
        <f t="shared" si="5"/>
        <v>3800000</v>
      </c>
      <c r="AB539" s="20"/>
      <c r="AC539" s="20"/>
      <c r="AD539" s="20"/>
      <c r="AE539" s="20"/>
      <c r="AF539" s="20"/>
      <c r="AG539" s="20"/>
      <c r="AH539" s="20"/>
      <c r="AI539" s="20"/>
      <c r="AJ539" s="20"/>
      <c r="AK539" s="20"/>
      <c r="AL539" s="20"/>
      <c r="AM539" s="20"/>
      <c r="AN539" s="20"/>
      <c r="AO539" s="20"/>
      <c r="AP539" s="20"/>
      <c r="AQ539" s="20"/>
      <c r="AR539" s="20"/>
      <c r="AS539" s="20"/>
      <c r="AT539" s="20"/>
    </row>
    <row r="540">
      <c r="A540" s="20">
        <v>538.0</v>
      </c>
      <c r="B540" s="29" t="s">
        <v>571</v>
      </c>
      <c r="C540" s="20"/>
      <c r="D540" s="20"/>
      <c r="E540" s="20"/>
      <c r="F540" s="20"/>
      <c r="G540" s="20"/>
      <c r="H540" s="33" t="s">
        <v>113</v>
      </c>
      <c r="I540" s="33" t="s">
        <v>114</v>
      </c>
      <c r="J540" s="21"/>
      <c r="K540" s="20" t="str">
        <f t="shared" si="1"/>
        <v>ROADS,TRANSPORT AND PUBLIC WORKS</v>
      </c>
      <c r="L540" s="20" t="s">
        <v>107</v>
      </c>
      <c r="M540" s="20" t="str">
        <f t="shared" si="2"/>
        <v>ROADS,TRANSPORT AND PUBLIC WORKS</v>
      </c>
      <c r="N540" s="22" t="s">
        <v>510</v>
      </c>
      <c r="O540" s="22" t="s">
        <v>511</v>
      </c>
      <c r="P540" s="20" t="s">
        <v>512</v>
      </c>
      <c r="Q540" s="20" t="s">
        <v>512</v>
      </c>
      <c r="R540" s="34">
        <v>2755000.0</v>
      </c>
      <c r="S540" s="34">
        <v>2755000.0</v>
      </c>
      <c r="T540" s="34">
        <v>2755000.0</v>
      </c>
      <c r="U540" s="20" t="s">
        <v>71</v>
      </c>
      <c r="V540" s="20"/>
      <c r="W540" s="38">
        <f t="shared" si="6"/>
        <v>2755000</v>
      </c>
      <c r="X540" s="20"/>
      <c r="Y540" s="38">
        <f t="shared" si="7"/>
        <v>2755000</v>
      </c>
      <c r="Z540" s="24">
        <f t="shared" si="3"/>
        <v>1</v>
      </c>
      <c r="AA540" s="23">
        <f t="shared" si="5"/>
        <v>2755000</v>
      </c>
      <c r="AB540" s="20"/>
      <c r="AC540" s="20"/>
      <c r="AD540" s="20"/>
      <c r="AE540" s="20"/>
      <c r="AF540" s="20"/>
      <c r="AG540" s="20"/>
      <c r="AH540" s="20"/>
      <c r="AI540" s="20"/>
      <c r="AJ540" s="20"/>
      <c r="AK540" s="20"/>
      <c r="AL540" s="20"/>
      <c r="AM540" s="20"/>
      <c r="AN540" s="20"/>
      <c r="AO540" s="20"/>
      <c r="AP540" s="20"/>
      <c r="AQ540" s="20"/>
      <c r="AR540" s="20"/>
      <c r="AS540" s="20"/>
      <c r="AT540" s="20"/>
    </row>
    <row r="541">
      <c r="A541" s="20">
        <v>539.0</v>
      </c>
      <c r="B541" s="29" t="s">
        <v>169</v>
      </c>
      <c r="C541" s="20"/>
      <c r="D541" s="20"/>
      <c r="E541" s="20"/>
      <c r="F541" s="20"/>
      <c r="G541" s="20"/>
      <c r="H541" s="33" t="s">
        <v>65</v>
      </c>
      <c r="I541" s="33" t="s">
        <v>66</v>
      </c>
      <c r="J541" s="21"/>
      <c r="K541" s="20" t="str">
        <f t="shared" si="1"/>
        <v>Health services</v>
      </c>
      <c r="L541" s="20" t="s">
        <v>67</v>
      </c>
      <c r="M541" s="20" t="str">
        <f t="shared" si="2"/>
        <v>Health services</v>
      </c>
      <c r="N541" s="22" t="s">
        <v>510</v>
      </c>
      <c r="O541" s="22" t="s">
        <v>511</v>
      </c>
      <c r="P541" s="20" t="s">
        <v>512</v>
      </c>
      <c r="Q541" s="20" t="s">
        <v>512</v>
      </c>
      <c r="R541" s="34">
        <v>1100000.0</v>
      </c>
      <c r="S541" s="34">
        <v>1100000.0</v>
      </c>
      <c r="T541" s="34">
        <v>1100000.0</v>
      </c>
      <c r="U541" s="20" t="s">
        <v>71</v>
      </c>
      <c r="V541" s="20"/>
      <c r="W541" s="38">
        <f t="shared" si="6"/>
        <v>1100000</v>
      </c>
      <c r="X541" s="20"/>
      <c r="Y541" s="38">
        <f t="shared" si="7"/>
        <v>1100000</v>
      </c>
      <c r="Z541" s="24">
        <f t="shared" si="3"/>
        <v>1</v>
      </c>
      <c r="AA541" s="23">
        <f t="shared" si="5"/>
        <v>1100000</v>
      </c>
      <c r="AB541" s="20"/>
      <c r="AC541" s="20"/>
      <c r="AD541" s="20"/>
      <c r="AE541" s="20"/>
      <c r="AF541" s="20"/>
      <c r="AG541" s="20"/>
      <c r="AH541" s="20"/>
      <c r="AI541" s="20"/>
      <c r="AJ541" s="20"/>
      <c r="AK541" s="20"/>
      <c r="AL541" s="20"/>
      <c r="AM541" s="20"/>
      <c r="AN541" s="20"/>
      <c r="AO541" s="20"/>
      <c r="AP541" s="20"/>
      <c r="AQ541" s="20"/>
      <c r="AR541" s="20"/>
      <c r="AS541" s="20"/>
      <c r="AT541" s="20"/>
    </row>
    <row r="542">
      <c r="A542" s="20">
        <v>540.0</v>
      </c>
      <c r="B542" s="29" t="s">
        <v>572</v>
      </c>
      <c r="C542" s="20"/>
      <c r="D542" s="20"/>
      <c r="E542" s="20"/>
      <c r="F542" s="20"/>
      <c r="G542" s="20"/>
      <c r="H542" s="33" t="s">
        <v>65</v>
      </c>
      <c r="I542" s="33" t="s">
        <v>66</v>
      </c>
      <c r="J542" s="21"/>
      <c r="K542" s="20" t="str">
        <f t="shared" si="1"/>
        <v>EDUCATION,INFORMATION AND ICT</v>
      </c>
      <c r="L542" s="20" t="s">
        <v>84</v>
      </c>
      <c r="M542" s="20" t="str">
        <f t="shared" si="2"/>
        <v>EDUCATION,INFORMATION AND ICT</v>
      </c>
      <c r="N542" s="22" t="s">
        <v>510</v>
      </c>
      <c r="O542" s="22" t="s">
        <v>511</v>
      </c>
      <c r="P542" s="20" t="s">
        <v>512</v>
      </c>
      <c r="Q542" s="20" t="s">
        <v>512</v>
      </c>
      <c r="R542" s="34">
        <v>4275000.0</v>
      </c>
      <c r="S542" s="34">
        <v>4275000.0</v>
      </c>
      <c r="T542" s="34">
        <v>4275000.0</v>
      </c>
      <c r="U542" s="20" t="s">
        <v>71</v>
      </c>
      <c r="V542" s="20"/>
      <c r="W542" s="38">
        <f t="shared" si="6"/>
        <v>4275000</v>
      </c>
      <c r="X542" s="20"/>
      <c r="Y542" s="38">
        <f t="shared" si="7"/>
        <v>4275000</v>
      </c>
      <c r="Z542" s="24">
        <f t="shared" si="3"/>
        <v>1</v>
      </c>
      <c r="AA542" s="23">
        <f t="shared" si="5"/>
        <v>4275000</v>
      </c>
      <c r="AB542" s="20"/>
      <c r="AC542" s="20"/>
      <c r="AD542" s="20"/>
      <c r="AE542" s="20"/>
      <c r="AF542" s="20"/>
      <c r="AG542" s="20"/>
      <c r="AH542" s="20"/>
      <c r="AI542" s="20"/>
      <c r="AJ542" s="20"/>
      <c r="AK542" s="20"/>
      <c r="AL542" s="20"/>
      <c r="AM542" s="20"/>
      <c r="AN542" s="20"/>
      <c r="AO542" s="20"/>
      <c r="AP542" s="20"/>
      <c r="AQ542" s="20"/>
      <c r="AR542" s="20"/>
      <c r="AS542" s="20"/>
      <c r="AT542" s="20"/>
    </row>
    <row r="543">
      <c r="A543" s="20">
        <v>541.0</v>
      </c>
      <c r="B543" s="29" t="s">
        <v>573</v>
      </c>
      <c r="C543" s="20"/>
      <c r="D543" s="20"/>
      <c r="E543" s="20"/>
      <c r="F543" s="20"/>
      <c r="G543" s="20"/>
      <c r="H543" s="33" t="s">
        <v>81</v>
      </c>
      <c r="I543" s="33" t="s">
        <v>83</v>
      </c>
      <c r="J543" s="21"/>
      <c r="K543" s="20" t="str">
        <f t="shared" si="1"/>
        <v>WATER,ENVIRONMENT,CLIMATE CHANGE AND NATURAL RESOURCES</v>
      </c>
      <c r="L543" s="20" t="s">
        <v>75</v>
      </c>
      <c r="M543" s="20" t="str">
        <f t="shared" si="2"/>
        <v>WATER,ENVIRONMENT,CLIMATE CHANGE AND NATURAL RESOURCES</v>
      </c>
      <c r="N543" s="22" t="s">
        <v>510</v>
      </c>
      <c r="O543" s="22" t="s">
        <v>511</v>
      </c>
      <c r="P543" s="20" t="s">
        <v>512</v>
      </c>
      <c r="Q543" s="20" t="s">
        <v>512</v>
      </c>
      <c r="R543" s="34">
        <v>3800000.0</v>
      </c>
      <c r="S543" s="34">
        <v>3800000.0</v>
      </c>
      <c r="T543" s="34">
        <v>3800000.0</v>
      </c>
      <c r="U543" s="20" t="s">
        <v>71</v>
      </c>
      <c r="V543" s="20"/>
      <c r="W543" s="38">
        <f t="shared" si="6"/>
        <v>3800000</v>
      </c>
      <c r="X543" s="20"/>
      <c r="Y543" s="38">
        <f t="shared" si="7"/>
        <v>3800000</v>
      </c>
      <c r="Z543" s="24">
        <f t="shared" si="3"/>
        <v>1</v>
      </c>
      <c r="AA543" s="23">
        <f t="shared" si="5"/>
        <v>3800000</v>
      </c>
      <c r="AB543" s="20"/>
      <c r="AC543" s="20"/>
      <c r="AD543" s="20"/>
      <c r="AE543" s="20"/>
      <c r="AF543" s="20"/>
      <c r="AG543" s="20"/>
      <c r="AH543" s="20"/>
      <c r="AI543" s="20"/>
      <c r="AJ543" s="20"/>
      <c r="AK543" s="20"/>
      <c r="AL543" s="20"/>
      <c r="AM543" s="20"/>
      <c r="AN543" s="20"/>
      <c r="AO543" s="20"/>
      <c r="AP543" s="20"/>
      <c r="AQ543" s="20"/>
      <c r="AR543" s="20"/>
      <c r="AS543" s="20"/>
      <c r="AT543" s="20"/>
    </row>
    <row r="544">
      <c r="A544" s="20">
        <v>542.0</v>
      </c>
      <c r="B544" s="29" t="s">
        <v>574</v>
      </c>
      <c r="C544" s="20"/>
      <c r="D544" s="20"/>
      <c r="E544" s="20"/>
      <c r="F544" s="20"/>
      <c r="G544" s="20"/>
      <c r="H544" s="33" t="s">
        <v>81</v>
      </c>
      <c r="I544" s="33" t="s">
        <v>81</v>
      </c>
      <c r="J544" s="21"/>
      <c r="K544" s="20" t="str">
        <f t="shared" si="1"/>
        <v>Health services</v>
      </c>
      <c r="L544" s="20" t="s">
        <v>67</v>
      </c>
      <c r="M544" s="20" t="str">
        <f t="shared" si="2"/>
        <v>Health services</v>
      </c>
      <c r="N544" s="22" t="s">
        <v>510</v>
      </c>
      <c r="O544" s="22" t="s">
        <v>511</v>
      </c>
      <c r="P544" s="20" t="s">
        <v>512</v>
      </c>
      <c r="Q544" s="20" t="s">
        <v>512</v>
      </c>
      <c r="R544" s="34">
        <v>515536.0</v>
      </c>
      <c r="S544" s="34">
        <v>515536.0</v>
      </c>
      <c r="T544" s="34">
        <v>515536.0</v>
      </c>
      <c r="U544" s="20" t="s">
        <v>71</v>
      </c>
      <c r="V544" s="20"/>
      <c r="W544" s="38">
        <f t="shared" si="6"/>
        <v>515536</v>
      </c>
      <c r="X544" s="20"/>
      <c r="Y544" s="38">
        <f t="shared" si="7"/>
        <v>515536</v>
      </c>
      <c r="Z544" s="24">
        <f t="shared" si="3"/>
        <v>1</v>
      </c>
      <c r="AA544" s="23">
        <f t="shared" si="5"/>
        <v>515536</v>
      </c>
      <c r="AB544" s="20"/>
      <c r="AC544" s="20"/>
      <c r="AD544" s="20"/>
      <c r="AE544" s="20"/>
      <c r="AF544" s="20"/>
      <c r="AG544" s="20"/>
      <c r="AH544" s="20"/>
      <c r="AI544" s="20"/>
      <c r="AJ544" s="20"/>
      <c r="AK544" s="20"/>
      <c r="AL544" s="20"/>
      <c r="AM544" s="20"/>
      <c r="AN544" s="20"/>
      <c r="AO544" s="20"/>
      <c r="AP544" s="20"/>
      <c r="AQ544" s="20"/>
      <c r="AR544" s="20"/>
      <c r="AS544" s="20"/>
      <c r="AT544" s="20"/>
    </row>
    <row r="545">
      <c r="A545" s="20">
        <v>543.0</v>
      </c>
      <c r="B545" s="29" t="s">
        <v>575</v>
      </c>
      <c r="C545" s="20"/>
      <c r="D545" s="20"/>
      <c r="E545" s="20"/>
      <c r="F545" s="20"/>
      <c r="G545" s="20"/>
      <c r="H545" s="33" t="s">
        <v>65</v>
      </c>
      <c r="I545" s="33" t="s">
        <v>66</v>
      </c>
      <c r="J545" s="21"/>
      <c r="K545" s="20" t="str">
        <f t="shared" si="1"/>
        <v>ROADS,TRANSPORT AND PUBLIC WORKS</v>
      </c>
      <c r="L545" s="20" t="s">
        <v>107</v>
      </c>
      <c r="M545" s="20" t="str">
        <f t="shared" si="2"/>
        <v>ROADS,TRANSPORT AND PUBLIC WORKS</v>
      </c>
      <c r="N545" s="22" t="s">
        <v>510</v>
      </c>
      <c r="O545" s="22" t="s">
        <v>511</v>
      </c>
      <c r="P545" s="20" t="s">
        <v>512</v>
      </c>
      <c r="Q545" s="20" t="s">
        <v>512</v>
      </c>
      <c r="R545" s="34">
        <v>2945160.0</v>
      </c>
      <c r="S545" s="34">
        <v>2945160.0</v>
      </c>
      <c r="T545" s="34">
        <v>2945160.0</v>
      </c>
      <c r="U545" s="20" t="s">
        <v>71</v>
      </c>
      <c r="V545" s="20"/>
      <c r="W545" s="38">
        <f t="shared" si="6"/>
        <v>2945160</v>
      </c>
      <c r="X545" s="20"/>
      <c r="Y545" s="38">
        <f t="shared" si="7"/>
        <v>2945160</v>
      </c>
      <c r="Z545" s="24">
        <f t="shared" si="3"/>
        <v>1</v>
      </c>
      <c r="AA545" s="23">
        <f t="shared" si="5"/>
        <v>2945160</v>
      </c>
      <c r="AB545" s="20"/>
      <c r="AC545" s="20"/>
      <c r="AD545" s="20"/>
      <c r="AE545" s="20"/>
      <c r="AF545" s="20"/>
      <c r="AG545" s="20"/>
      <c r="AH545" s="20"/>
      <c r="AI545" s="20"/>
      <c r="AJ545" s="20"/>
      <c r="AK545" s="20"/>
      <c r="AL545" s="20"/>
      <c r="AM545" s="20"/>
      <c r="AN545" s="20"/>
      <c r="AO545" s="20"/>
      <c r="AP545" s="20"/>
      <c r="AQ545" s="20"/>
      <c r="AR545" s="20"/>
      <c r="AS545" s="20"/>
      <c r="AT545" s="20"/>
    </row>
    <row r="546">
      <c r="A546" s="20">
        <v>544.0</v>
      </c>
      <c r="B546" s="29" t="s">
        <v>522</v>
      </c>
      <c r="C546" s="20"/>
      <c r="D546" s="20"/>
      <c r="E546" s="20"/>
      <c r="F546" s="20"/>
      <c r="G546" s="20"/>
      <c r="H546" s="33" t="s">
        <v>65</v>
      </c>
      <c r="I546" s="33" t="s">
        <v>66</v>
      </c>
      <c r="J546" s="21"/>
      <c r="K546" s="20" t="str">
        <f t="shared" si="1"/>
        <v>EDUCATION,INFORMATION AND ICT</v>
      </c>
      <c r="L546" s="20" t="s">
        <v>84</v>
      </c>
      <c r="M546" s="20" t="str">
        <f t="shared" si="2"/>
        <v>EDUCATION,INFORMATION AND ICT</v>
      </c>
      <c r="N546" s="22" t="s">
        <v>510</v>
      </c>
      <c r="O546" s="22" t="s">
        <v>511</v>
      </c>
      <c r="P546" s="20" t="s">
        <v>512</v>
      </c>
      <c r="Q546" s="20" t="s">
        <v>512</v>
      </c>
      <c r="R546" s="34">
        <v>2200000.0</v>
      </c>
      <c r="S546" s="34">
        <v>2200000.0</v>
      </c>
      <c r="T546" s="34">
        <v>2200000.0</v>
      </c>
      <c r="U546" s="20" t="s">
        <v>71</v>
      </c>
      <c r="V546" s="20"/>
      <c r="W546" s="38">
        <f t="shared" si="6"/>
        <v>2200000</v>
      </c>
      <c r="X546" s="20"/>
      <c r="Y546" s="38">
        <f t="shared" si="7"/>
        <v>2200000</v>
      </c>
      <c r="Z546" s="24">
        <f t="shared" si="3"/>
        <v>1</v>
      </c>
      <c r="AA546" s="23">
        <f t="shared" si="5"/>
        <v>2200000</v>
      </c>
      <c r="AB546" s="20"/>
      <c r="AC546" s="20"/>
      <c r="AD546" s="20"/>
      <c r="AE546" s="20"/>
      <c r="AF546" s="20"/>
      <c r="AG546" s="20"/>
      <c r="AH546" s="20"/>
      <c r="AI546" s="20"/>
      <c r="AJ546" s="20"/>
      <c r="AK546" s="20"/>
      <c r="AL546" s="20"/>
      <c r="AM546" s="20"/>
      <c r="AN546" s="20"/>
      <c r="AO546" s="20"/>
      <c r="AP546" s="20"/>
      <c r="AQ546" s="20"/>
      <c r="AR546" s="20"/>
      <c r="AS546" s="20"/>
      <c r="AT546" s="20"/>
    </row>
    <row r="547">
      <c r="A547" s="20">
        <v>545.0</v>
      </c>
      <c r="B547" s="31" t="s">
        <v>576</v>
      </c>
      <c r="C547" s="20"/>
      <c r="D547" s="20"/>
      <c r="E547" s="20"/>
      <c r="F547" s="20"/>
      <c r="G547" s="20"/>
      <c r="H547" s="33" t="s">
        <v>65</v>
      </c>
      <c r="I547" s="33" t="s">
        <v>66</v>
      </c>
      <c r="J547" s="21"/>
      <c r="K547" s="20" t="str">
        <f t="shared" si="1"/>
        <v>LANDS,PHYSICAL PLANNING AND URBAN DEVELOPMENT</v>
      </c>
      <c r="L547" s="20" t="s">
        <v>98</v>
      </c>
      <c r="M547" s="20" t="str">
        <f t="shared" si="2"/>
        <v>LANDS,PHYSICAL PLANNING AND URBAN DEVELOPMENT</v>
      </c>
      <c r="N547" s="22" t="s">
        <v>510</v>
      </c>
      <c r="O547" s="22" t="s">
        <v>511</v>
      </c>
      <c r="P547" s="20" t="s">
        <v>512</v>
      </c>
      <c r="Q547" s="20" t="s">
        <v>512</v>
      </c>
      <c r="R547" s="39">
        <v>3500000.0</v>
      </c>
      <c r="S547" s="39">
        <v>3500000.0</v>
      </c>
      <c r="T547" s="39">
        <v>3500000.0</v>
      </c>
      <c r="U547" s="20" t="s">
        <v>71</v>
      </c>
      <c r="V547" s="20"/>
      <c r="W547" s="38">
        <f t="shared" si="6"/>
        <v>3500000</v>
      </c>
      <c r="X547" s="20"/>
      <c r="Y547" s="38">
        <f t="shared" si="7"/>
        <v>3500000</v>
      </c>
      <c r="Z547" s="24">
        <f t="shared" si="3"/>
        <v>1</v>
      </c>
      <c r="AA547" s="23">
        <f t="shared" si="5"/>
        <v>3500000</v>
      </c>
      <c r="AB547" s="20"/>
      <c r="AC547" s="20"/>
      <c r="AD547" s="20"/>
      <c r="AE547" s="20"/>
      <c r="AF547" s="20"/>
      <c r="AG547" s="20"/>
      <c r="AH547" s="20"/>
      <c r="AI547" s="20"/>
      <c r="AJ547" s="20"/>
      <c r="AK547" s="20"/>
      <c r="AL547" s="20"/>
      <c r="AM547" s="20"/>
      <c r="AN547" s="20"/>
      <c r="AO547" s="20"/>
      <c r="AP547" s="20"/>
      <c r="AQ547" s="20"/>
      <c r="AR547" s="20"/>
      <c r="AS547" s="20"/>
      <c r="AT547" s="20"/>
    </row>
    <row r="548">
      <c r="A548" s="20">
        <v>546.0</v>
      </c>
      <c r="B548" s="29" t="s">
        <v>577</v>
      </c>
      <c r="C548" s="20"/>
      <c r="D548" s="20"/>
      <c r="E548" s="20"/>
      <c r="F548" s="20"/>
      <c r="G548" s="20"/>
      <c r="H548" s="33" t="s">
        <v>65</v>
      </c>
      <c r="I548" s="33" t="s">
        <v>66</v>
      </c>
      <c r="J548" s="21"/>
      <c r="K548" s="20" t="str">
        <f t="shared" si="1"/>
        <v>Health services</v>
      </c>
      <c r="L548" s="20" t="s">
        <v>67</v>
      </c>
      <c r="M548" s="20" t="str">
        <f t="shared" si="2"/>
        <v>Health services</v>
      </c>
      <c r="N548" s="22" t="s">
        <v>510</v>
      </c>
      <c r="O548" s="22" t="s">
        <v>511</v>
      </c>
      <c r="P548" s="20" t="s">
        <v>512</v>
      </c>
      <c r="Q548" s="20" t="s">
        <v>512</v>
      </c>
      <c r="R548" s="34">
        <v>5.1E7</v>
      </c>
      <c r="S548" s="34">
        <v>5.1E7</v>
      </c>
      <c r="T548" s="34">
        <v>5.1E7</v>
      </c>
      <c r="U548" s="20" t="s">
        <v>71</v>
      </c>
      <c r="V548" s="20"/>
      <c r="W548" s="38">
        <f t="shared" si="6"/>
        <v>51000000</v>
      </c>
      <c r="X548" s="20"/>
      <c r="Y548" s="38">
        <f t="shared" si="7"/>
        <v>51000000</v>
      </c>
      <c r="Z548" s="24">
        <f t="shared" si="3"/>
        <v>1</v>
      </c>
      <c r="AA548" s="23">
        <f t="shared" si="5"/>
        <v>51000000</v>
      </c>
      <c r="AB548" s="20"/>
      <c r="AC548" s="20"/>
      <c r="AD548" s="20"/>
      <c r="AE548" s="20"/>
      <c r="AF548" s="20"/>
      <c r="AG548" s="20"/>
      <c r="AH548" s="20"/>
      <c r="AI548" s="20"/>
      <c r="AJ548" s="20"/>
      <c r="AK548" s="20"/>
      <c r="AL548" s="20"/>
      <c r="AM548" s="20"/>
      <c r="AN548" s="20"/>
      <c r="AO548" s="20"/>
      <c r="AP548" s="20"/>
      <c r="AQ548" s="20"/>
      <c r="AR548" s="20"/>
      <c r="AS548" s="20"/>
      <c r="AT548" s="20"/>
    </row>
    <row r="549">
      <c r="A549" s="20">
        <v>547.0</v>
      </c>
      <c r="B549" s="29" t="s">
        <v>578</v>
      </c>
      <c r="C549" s="20"/>
      <c r="D549" s="20"/>
      <c r="E549" s="20"/>
      <c r="F549" s="20"/>
      <c r="G549" s="20"/>
      <c r="H549" s="33" t="s">
        <v>65</v>
      </c>
      <c r="I549" s="33" t="s">
        <v>66</v>
      </c>
      <c r="J549" s="21"/>
      <c r="K549" s="20" t="str">
        <f t="shared" si="1"/>
        <v>WATER,ENVIRONMENT,CLIMATE CHANGE AND NATURAL RESOURCES</v>
      </c>
      <c r="L549" s="20" t="s">
        <v>75</v>
      </c>
      <c r="M549" s="20" t="str">
        <f t="shared" si="2"/>
        <v>WATER,ENVIRONMENT,CLIMATE CHANGE AND NATURAL RESOURCES</v>
      </c>
      <c r="N549" s="22" t="s">
        <v>510</v>
      </c>
      <c r="O549" s="22" t="s">
        <v>511</v>
      </c>
      <c r="P549" s="20" t="s">
        <v>512</v>
      </c>
      <c r="Q549" s="20" t="s">
        <v>512</v>
      </c>
      <c r="R549" s="34">
        <v>1.71496552E7</v>
      </c>
      <c r="S549" s="34">
        <v>1.71496552E7</v>
      </c>
      <c r="T549" s="34">
        <v>1.71496552E7</v>
      </c>
      <c r="U549" s="20" t="s">
        <v>71</v>
      </c>
      <c r="V549" s="20"/>
      <c r="W549" s="38">
        <f t="shared" si="6"/>
        <v>17149655.2</v>
      </c>
      <c r="X549" s="20"/>
      <c r="Y549" s="38">
        <f t="shared" si="7"/>
        <v>17149655.2</v>
      </c>
      <c r="Z549" s="24">
        <f t="shared" si="3"/>
        <v>1</v>
      </c>
      <c r="AA549" s="23">
        <f t="shared" si="5"/>
        <v>17149655.2</v>
      </c>
      <c r="AB549" s="20"/>
      <c r="AC549" s="20"/>
      <c r="AD549" s="20"/>
      <c r="AE549" s="20"/>
      <c r="AF549" s="20"/>
      <c r="AG549" s="20"/>
      <c r="AH549" s="20"/>
      <c r="AI549" s="20"/>
      <c r="AJ549" s="20"/>
      <c r="AK549" s="20"/>
      <c r="AL549" s="20"/>
      <c r="AM549" s="20"/>
      <c r="AN549" s="20"/>
      <c r="AO549" s="20"/>
      <c r="AP549" s="20"/>
      <c r="AQ549" s="20"/>
      <c r="AR549" s="20"/>
      <c r="AS549" s="20"/>
      <c r="AT549" s="20"/>
    </row>
    <row r="550">
      <c r="A550" s="20">
        <v>548.0</v>
      </c>
      <c r="B550" s="29" t="s">
        <v>579</v>
      </c>
      <c r="C550" s="20"/>
      <c r="D550" s="20"/>
      <c r="E550" s="20"/>
      <c r="F550" s="20"/>
      <c r="G550" s="20"/>
      <c r="H550" s="33" t="s">
        <v>65</v>
      </c>
      <c r="I550" s="33" t="s">
        <v>66</v>
      </c>
      <c r="J550" s="21"/>
      <c r="K550" s="20" t="str">
        <f t="shared" si="1"/>
        <v>ROADS,TRANSPORT AND PUBLIC WORKS</v>
      </c>
      <c r="L550" s="20" t="s">
        <v>107</v>
      </c>
      <c r="M550" s="20" t="str">
        <f t="shared" si="2"/>
        <v>ROADS,TRANSPORT AND PUBLIC WORKS</v>
      </c>
      <c r="N550" s="22" t="s">
        <v>510</v>
      </c>
      <c r="O550" s="22" t="s">
        <v>511</v>
      </c>
      <c r="P550" s="20" t="s">
        <v>512</v>
      </c>
      <c r="Q550" s="20" t="s">
        <v>512</v>
      </c>
      <c r="R550" s="34">
        <v>4475000.0</v>
      </c>
      <c r="S550" s="34">
        <v>4475000.0</v>
      </c>
      <c r="T550" s="34">
        <v>4475000.0</v>
      </c>
      <c r="U550" s="20" t="s">
        <v>71</v>
      </c>
      <c r="V550" s="20"/>
      <c r="W550" s="38">
        <f t="shared" si="6"/>
        <v>4475000</v>
      </c>
      <c r="X550" s="20"/>
      <c r="Y550" s="38">
        <f t="shared" si="7"/>
        <v>4475000</v>
      </c>
      <c r="Z550" s="24">
        <f t="shared" si="3"/>
        <v>1</v>
      </c>
      <c r="AA550" s="23">
        <f t="shared" si="5"/>
        <v>4475000</v>
      </c>
      <c r="AB550" s="20"/>
      <c r="AC550" s="20"/>
      <c r="AD550" s="20"/>
      <c r="AE550" s="20"/>
      <c r="AF550" s="20"/>
      <c r="AG550" s="20"/>
      <c r="AH550" s="20"/>
      <c r="AI550" s="20"/>
      <c r="AJ550" s="20"/>
      <c r="AK550" s="20"/>
      <c r="AL550" s="20"/>
      <c r="AM550" s="20"/>
      <c r="AN550" s="20"/>
      <c r="AO550" s="20"/>
      <c r="AP550" s="20"/>
      <c r="AQ550" s="20"/>
      <c r="AR550" s="20"/>
      <c r="AS550" s="20"/>
      <c r="AT550" s="20"/>
    </row>
    <row r="551">
      <c r="A551" s="20">
        <v>549.0</v>
      </c>
      <c r="B551" s="29" t="s">
        <v>580</v>
      </c>
      <c r="C551" s="20"/>
      <c r="D551" s="20"/>
      <c r="E551" s="20"/>
      <c r="F551" s="20"/>
      <c r="G551" s="20"/>
      <c r="H551" s="33" t="s">
        <v>65</v>
      </c>
      <c r="I551" s="33" t="s">
        <v>87</v>
      </c>
      <c r="J551" s="21"/>
      <c r="K551" s="20" t="str">
        <f t="shared" si="1"/>
        <v>WATER,ENVIRONMENT,CLIMATE CHANGE AND NATURAL RESOURCES</v>
      </c>
      <c r="L551" s="20" t="s">
        <v>75</v>
      </c>
      <c r="M551" s="20" t="str">
        <f t="shared" si="2"/>
        <v>WATER,ENVIRONMENT,CLIMATE CHANGE AND NATURAL RESOURCES</v>
      </c>
      <c r="N551" s="22" t="s">
        <v>510</v>
      </c>
      <c r="O551" s="22" t="s">
        <v>511</v>
      </c>
      <c r="P551" s="20" t="s">
        <v>512</v>
      </c>
      <c r="Q551" s="20" t="s">
        <v>512</v>
      </c>
      <c r="R551" s="34">
        <v>6147517.8</v>
      </c>
      <c r="S551" s="34">
        <v>6147517.8</v>
      </c>
      <c r="T551" s="34">
        <v>6147517.8</v>
      </c>
      <c r="U551" s="20" t="s">
        <v>71</v>
      </c>
      <c r="V551" s="20"/>
      <c r="W551" s="38">
        <f t="shared" si="6"/>
        <v>6147517.8</v>
      </c>
      <c r="X551" s="20"/>
      <c r="Y551" s="38">
        <f t="shared" si="7"/>
        <v>6147517.8</v>
      </c>
      <c r="Z551" s="24">
        <f t="shared" si="3"/>
        <v>1</v>
      </c>
      <c r="AA551" s="23">
        <f t="shared" si="5"/>
        <v>6147517.8</v>
      </c>
      <c r="AB551" s="20"/>
      <c r="AC551" s="20"/>
      <c r="AD551" s="20"/>
      <c r="AE551" s="20"/>
      <c r="AF551" s="20"/>
      <c r="AG551" s="20"/>
      <c r="AH551" s="20"/>
      <c r="AI551" s="20"/>
      <c r="AJ551" s="20"/>
      <c r="AK551" s="20"/>
      <c r="AL551" s="20"/>
      <c r="AM551" s="20"/>
      <c r="AN551" s="20"/>
      <c r="AO551" s="20"/>
      <c r="AP551" s="20"/>
      <c r="AQ551" s="20"/>
      <c r="AR551" s="20"/>
      <c r="AS551" s="20"/>
      <c r="AT551" s="20"/>
    </row>
    <row r="552">
      <c r="A552" s="20">
        <v>550.0</v>
      </c>
      <c r="B552" s="29" t="s">
        <v>581</v>
      </c>
      <c r="C552" s="20"/>
      <c r="D552" s="20"/>
      <c r="E552" s="20"/>
      <c r="F552" s="20"/>
      <c r="G552" s="20"/>
      <c r="H552" s="33" t="s">
        <v>65</v>
      </c>
      <c r="I552" s="33" t="s">
        <v>66</v>
      </c>
      <c r="J552" s="21"/>
      <c r="K552" s="20" t="str">
        <f t="shared" si="1"/>
        <v>ROADS,TRANSPORT AND PUBLIC WORKS</v>
      </c>
      <c r="L552" s="20" t="s">
        <v>107</v>
      </c>
      <c r="M552" s="20" t="str">
        <f t="shared" si="2"/>
        <v>ROADS,TRANSPORT AND PUBLIC WORKS</v>
      </c>
      <c r="N552" s="22" t="s">
        <v>510</v>
      </c>
      <c r="O552" s="22" t="s">
        <v>511</v>
      </c>
      <c r="P552" s="20" t="s">
        <v>512</v>
      </c>
      <c r="Q552" s="20" t="s">
        <v>512</v>
      </c>
      <c r="R552" s="34">
        <v>9500000.0</v>
      </c>
      <c r="S552" s="34">
        <v>9500000.0</v>
      </c>
      <c r="T552" s="34">
        <v>9500000.0</v>
      </c>
      <c r="U552" s="20" t="s">
        <v>71</v>
      </c>
      <c r="V552" s="20"/>
      <c r="W552" s="38">
        <f t="shared" si="6"/>
        <v>9500000</v>
      </c>
      <c r="X552" s="20"/>
      <c r="Y552" s="38">
        <f t="shared" si="7"/>
        <v>9500000</v>
      </c>
      <c r="Z552" s="24">
        <f t="shared" si="3"/>
        <v>1</v>
      </c>
      <c r="AA552" s="23">
        <f t="shared" si="5"/>
        <v>9500000</v>
      </c>
      <c r="AB552" s="20"/>
      <c r="AC552" s="20"/>
      <c r="AD552" s="20"/>
      <c r="AE552" s="20"/>
      <c r="AF552" s="20"/>
      <c r="AG552" s="20"/>
      <c r="AH552" s="20"/>
      <c r="AI552" s="20"/>
      <c r="AJ552" s="20"/>
      <c r="AK552" s="20"/>
      <c r="AL552" s="20"/>
      <c r="AM552" s="20"/>
      <c r="AN552" s="20"/>
      <c r="AO552" s="20"/>
      <c r="AP552" s="20"/>
      <c r="AQ552" s="20"/>
      <c r="AR552" s="20"/>
      <c r="AS552" s="20"/>
      <c r="AT552" s="20"/>
    </row>
    <row r="553">
      <c r="A553" s="20">
        <v>551.0</v>
      </c>
      <c r="B553" s="29" t="s">
        <v>577</v>
      </c>
      <c r="C553" s="20"/>
      <c r="D553" s="20"/>
      <c r="E553" s="20"/>
      <c r="F553" s="20"/>
      <c r="G553" s="20"/>
      <c r="H553" s="33" t="s">
        <v>65</v>
      </c>
      <c r="I553" s="33" t="s">
        <v>66</v>
      </c>
      <c r="J553" s="21"/>
      <c r="K553" s="20" t="str">
        <f t="shared" si="1"/>
        <v>Health services</v>
      </c>
      <c r="L553" s="20" t="s">
        <v>67</v>
      </c>
      <c r="M553" s="20" t="str">
        <f t="shared" si="2"/>
        <v>Health services</v>
      </c>
      <c r="N553" s="22" t="s">
        <v>510</v>
      </c>
      <c r="O553" s="22" t="s">
        <v>511</v>
      </c>
      <c r="P553" s="20" t="s">
        <v>512</v>
      </c>
      <c r="Q553" s="20" t="s">
        <v>512</v>
      </c>
      <c r="R553" s="34">
        <v>5.0E7</v>
      </c>
      <c r="S553" s="34">
        <v>5.0E7</v>
      </c>
      <c r="T553" s="34">
        <v>5.0E7</v>
      </c>
      <c r="U553" s="20" t="s">
        <v>71</v>
      </c>
      <c r="V553" s="20"/>
      <c r="W553" s="38">
        <f t="shared" si="6"/>
        <v>50000000</v>
      </c>
      <c r="X553" s="20"/>
      <c r="Y553" s="38">
        <f t="shared" si="7"/>
        <v>50000000</v>
      </c>
      <c r="Z553" s="24">
        <f t="shared" si="3"/>
        <v>1</v>
      </c>
      <c r="AA553" s="23">
        <f t="shared" si="5"/>
        <v>50000000</v>
      </c>
      <c r="AB553" s="20"/>
      <c r="AC553" s="20"/>
      <c r="AD553" s="20"/>
      <c r="AE553" s="20"/>
      <c r="AF553" s="20"/>
      <c r="AG553" s="20"/>
      <c r="AH553" s="20"/>
      <c r="AI553" s="20"/>
      <c r="AJ553" s="20"/>
      <c r="AK553" s="20"/>
      <c r="AL553" s="20"/>
      <c r="AM553" s="20"/>
      <c r="AN553" s="20"/>
      <c r="AO553" s="20"/>
      <c r="AP553" s="20"/>
      <c r="AQ553" s="20"/>
      <c r="AR553" s="20"/>
      <c r="AS553" s="20"/>
      <c r="AT553" s="20"/>
    </row>
    <row r="554">
      <c r="A554" s="20">
        <v>552.0</v>
      </c>
      <c r="B554" s="29" t="s">
        <v>582</v>
      </c>
      <c r="C554" s="20"/>
      <c r="D554" s="20"/>
      <c r="E554" s="20"/>
      <c r="F554" s="20"/>
      <c r="G554" s="20"/>
      <c r="H554" s="33" t="s">
        <v>65</v>
      </c>
      <c r="I554" s="33" t="s">
        <v>87</v>
      </c>
      <c r="J554" s="21"/>
      <c r="K554" s="20" t="str">
        <f t="shared" si="1"/>
        <v>WATER,ENVIRONMENT,CLIMATE CHANGE AND NATURAL RESOURCES</v>
      </c>
      <c r="L554" s="20" t="s">
        <v>75</v>
      </c>
      <c r="M554" s="20" t="str">
        <f t="shared" si="2"/>
        <v>WATER,ENVIRONMENT,CLIMATE CHANGE AND NATURAL RESOURCES</v>
      </c>
      <c r="N554" s="22" t="s">
        <v>510</v>
      </c>
      <c r="O554" s="22" t="s">
        <v>511</v>
      </c>
      <c r="P554" s="20" t="s">
        <v>512</v>
      </c>
      <c r="Q554" s="20" t="s">
        <v>512</v>
      </c>
      <c r="R554" s="34">
        <v>1.4845152E7</v>
      </c>
      <c r="S554" s="34">
        <v>1.4845152E7</v>
      </c>
      <c r="T554" s="34">
        <v>1.4845152E7</v>
      </c>
      <c r="U554" s="20" t="s">
        <v>71</v>
      </c>
      <c r="V554" s="20"/>
      <c r="W554" s="38">
        <f t="shared" si="6"/>
        <v>14845152</v>
      </c>
      <c r="X554" s="20"/>
      <c r="Y554" s="38">
        <f t="shared" si="7"/>
        <v>14845152</v>
      </c>
      <c r="Z554" s="24">
        <f t="shared" si="3"/>
        <v>1</v>
      </c>
      <c r="AA554" s="23">
        <f t="shared" si="5"/>
        <v>14845152</v>
      </c>
      <c r="AB554" s="20"/>
      <c r="AC554" s="20"/>
      <c r="AD554" s="20"/>
      <c r="AE554" s="20"/>
      <c r="AF554" s="20"/>
      <c r="AG554" s="20"/>
      <c r="AH554" s="20"/>
      <c r="AI554" s="20"/>
      <c r="AJ554" s="20"/>
      <c r="AK554" s="20"/>
      <c r="AL554" s="20"/>
      <c r="AM554" s="20"/>
      <c r="AN554" s="20"/>
      <c r="AO554" s="20"/>
      <c r="AP554" s="20"/>
      <c r="AQ554" s="20"/>
      <c r="AR554" s="20"/>
      <c r="AS554" s="20"/>
      <c r="AT554" s="20"/>
    </row>
    <row r="555">
      <c r="A555" s="20">
        <v>553.0</v>
      </c>
      <c r="B555" s="29" t="s">
        <v>583</v>
      </c>
      <c r="C555" s="20"/>
      <c r="D555" s="20"/>
      <c r="E555" s="20"/>
      <c r="F555" s="20"/>
      <c r="G555" s="20"/>
      <c r="H555" s="33" t="s">
        <v>65</v>
      </c>
      <c r="I555" s="33" t="s">
        <v>66</v>
      </c>
      <c r="J555" s="21"/>
      <c r="K555" s="20" t="str">
        <f t="shared" si="1"/>
        <v>Health services</v>
      </c>
      <c r="L555" s="20" t="s">
        <v>67</v>
      </c>
      <c r="M555" s="20" t="str">
        <f t="shared" si="2"/>
        <v>Health services</v>
      </c>
      <c r="N555" s="22" t="s">
        <v>510</v>
      </c>
      <c r="O555" s="22" t="s">
        <v>511</v>
      </c>
      <c r="P555" s="20" t="s">
        <v>512</v>
      </c>
      <c r="Q555" s="20" t="s">
        <v>512</v>
      </c>
      <c r="R555" s="34">
        <v>3870074.65</v>
      </c>
      <c r="S555" s="34">
        <v>3870074.65</v>
      </c>
      <c r="T555" s="34">
        <v>3870074.65</v>
      </c>
      <c r="U555" s="20" t="s">
        <v>71</v>
      </c>
      <c r="V555" s="20"/>
      <c r="W555" s="38">
        <f t="shared" si="6"/>
        <v>3870074.65</v>
      </c>
      <c r="X555" s="20"/>
      <c r="Y555" s="38">
        <f t="shared" si="7"/>
        <v>3870074.65</v>
      </c>
      <c r="Z555" s="24">
        <f t="shared" si="3"/>
        <v>1</v>
      </c>
      <c r="AA555" s="23">
        <f t="shared" si="5"/>
        <v>3870074.65</v>
      </c>
      <c r="AB555" s="20"/>
      <c r="AC555" s="20"/>
      <c r="AD555" s="20"/>
      <c r="AE555" s="20"/>
      <c r="AF555" s="20"/>
      <c r="AG555" s="20"/>
      <c r="AH555" s="20"/>
      <c r="AI555" s="20"/>
      <c r="AJ555" s="20"/>
      <c r="AK555" s="20"/>
      <c r="AL555" s="20"/>
      <c r="AM555" s="20"/>
      <c r="AN555" s="20"/>
      <c r="AO555" s="20"/>
      <c r="AP555" s="20"/>
      <c r="AQ555" s="20"/>
      <c r="AR555" s="20"/>
      <c r="AS555" s="20"/>
      <c r="AT555" s="20"/>
    </row>
    <row r="556">
      <c r="A556" s="20">
        <v>554.0</v>
      </c>
      <c r="B556" s="29" t="s">
        <v>578</v>
      </c>
      <c r="C556" s="20"/>
      <c r="D556" s="20"/>
      <c r="E556" s="20"/>
      <c r="F556" s="20"/>
      <c r="G556" s="20"/>
      <c r="H556" s="33" t="s">
        <v>65</v>
      </c>
      <c r="I556" s="33" t="s">
        <v>66</v>
      </c>
      <c r="J556" s="21"/>
      <c r="K556" s="20" t="str">
        <f t="shared" si="1"/>
        <v>ROADS,TRANSPORT AND PUBLIC WORKS</v>
      </c>
      <c r="L556" s="20" t="s">
        <v>107</v>
      </c>
      <c r="M556" s="20" t="str">
        <f t="shared" si="2"/>
        <v>ROADS,TRANSPORT AND PUBLIC WORKS</v>
      </c>
      <c r="N556" s="22" t="s">
        <v>510</v>
      </c>
      <c r="O556" s="22" t="s">
        <v>511</v>
      </c>
      <c r="P556" s="20" t="s">
        <v>512</v>
      </c>
      <c r="Q556" s="20" t="s">
        <v>512</v>
      </c>
      <c r="R556" s="34">
        <v>7000000.0</v>
      </c>
      <c r="S556" s="34">
        <v>7000000.0</v>
      </c>
      <c r="T556" s="34">
        <v>7000000.0</v>
      </c>
      <c r="U556" s="20" t="s">
        <v>71</v>
      </c>
      <c r="V556" s="20"/>
      <c r="W556" s="38">
        <f t="shared" si="6"/>
        <v>7000000</v>
      </c>
      <c r="X556" s="20"/>
      <c r="Y556" s="38">
        <f t="shared" si="7"/>
        <v>7000000</v>
      </c>
      <c r="Z556" s="24">
        <f t="shared" si="3"/>
        <v>1</v>
      </c>
      <c r="AA556" s="23">
        <f t="shared" si="5"/>
        <v>7000000</v>
      </c>
      <c r="AB556" s="20"/>
      <c r="AC556" s="20"/>
      <c r="AD556" s="20"/>
      <c r="AE556" s="20"/>
      <c r="AF556" s="20"/>
      <c r="AG556" s="20"/>
      <c r="AH556" s="20"/>
      <c r="AI556" s="20"/>
      <c r="AJ556" s="20"/>
      <c r="AK556" s="20"/>
      <c r="AL556" s="20"/>
      <c r="AM556" s="20"/>
      <c r="AN556" s="20"/>
      <c r="AO556" s="20"/>
      <c r="AP556" s="20"/>
      <c r="AQ556" s="20"/>
      <c r="AR556" s="20"/>
      <c r="AS556" s="20"/>
      <c r="AT556" s="20"/>
    </row>
    <row r="557">
      <c r="A557" s="20">
        <v>555.0</v>
      </c>
      <c r="B557" s="29" t="s">
        <v>584</v>
      </c>
      <c r="C557" s="20"/>
      <c r="D557" s="20"/>
      <c r="E557" s="20"/>
      <c r="F557" s="20"/>
      <c r="G557" s="20"/>
      <c r="H557" s="33" t="s">
        <v>65</v>
      </c>
      <c r="I557" s="33" t="s">
        <v>66</v>
      </c>
      <c r="J557" s="21"/>
      <c r="K557" s="20" t="str">
        <f t="shared" si="1"/>
        <v>ROADS,TRANSPORT AND PUBLIC WORKS</v>
      </c>
      <c r="L557" s="20" t="s">
        <v>107</v>
      </c>
      <c r="M557" s="20" t="str">
        <f t="shared" si="2"/>
        <v>ROADS,TRANSPORT AND PUBLIC WORKS</v>
      </c>
      <c r="N557" s="22" t="s">
        <v>510</v>
      </c>
      <c r="O557" s="22" t="s">
        <v>511</v>
      </c>
      <c r="P557" s="20" t="s">
        <v>512</v>
      </c>
      <c r="Q557" s="20" t="s">
        <v>512</v>
      </c>
      <c r="R557" s="34">
        <v>1.0E7</v>
      </c>
      <c r="S557" s="34">
        <v>1.0E7</v>
      </c>
      <c r="T557" s="34">
        <v>1.0E7</v>
      </c>
      <c r="U557" s="20" t="s">
        <v>71</v>
      </c>
      <c r="V557" s="20"/>
      <c r="W557" s="38">
        <f t="shared" si="6"/>
        <v>10000000</v>
      </c>
      <c r="X557" s="20"/>
      <c r="Y557" s="38">
        <f t="shared" si="7"/>
        <v>10000000</v>
      </c>
      <c r="Z557" s="24">
        <f t="shared" si="3"/>
        <v>1</v>
      </c>
      <c r="AA557" s="23">
        <f t="shared" si="5"/>
        <v>10000000</v>
      </c>
      <c r="AB557" s="20"/>
      <c r="AC557" s="20"/>
      <c r="AD557" s="20"/>
      <c r="AE557" s="20"/>
      <c r="AF557" s="20"/>
      <c r="AG557" s="20"/>
      <c r="AH557" s="20"/>
      <c r="AI557" s="20"/>
      <c r="AJ557" s="20"/>
      <c r="AK557" s="20"/>
      <c r="AL557" s="20"/>
      <c r="AM557" s="20"/>
      <c r="AN557" s="20"/>
      <c r="AO557" s="20"/>
      <c r="AP557" s="20"/>
      <c r="AQ557" s="20"/>
      <c r="AR557" s="20"/>
      <c r="AS557" s="20"/>
      <c r="AT557" s="20"/>
    </row>
    <row r="558">
      <c r="A558" s="20">
        <v>556.0</v>
      </c>
      <c r="B558" s="29" t="s">
        <v>585</v>
      </c>
      <c r="C558" s="20"/>
      <c r="D558" s="20"/>
      <c r="E558" s="20"/>
      <c r="F558" s="20"/>
      <c r="G558" s="20"/>
      <c r="H558" s="33" t="s">
        <v>65</v>
      </c>
      <c r="I558" s="33" t="s">
        <v>66</v>
      </c>
      <c r="J558" s="21"/>
      <c r="K558" s="20" t="str">
        <f t="shared" si="1"/>
        <v>ROADS,TRANSPORT AND PUBLIC WORKS</v>
      </c>
      <c r="L558" s="20" t="s">
        <v>107</v>
      </c>
      <c r="M558" s="20" t="str">
        <f t="shared" si="2"/>
        <v>ROADS,TRANSPORT AND PUBLIC WORKS</v>
      </c>
      <c r="N558" s="22" t="s">
        <v>510</v>
      </c>
      <c r="O558" s="22" t="s">
        <v>511</v>
      </c>
      <c r="P558" s="20" t="s">
        <v>512</v>
      </c>
      <c r="Q558" s="20" t="s">
        <v>512</v>
      </c>
      <c r="R558" s="34">
        <v>1.26E7</v>
      </c>
      <c r="S558" s="34">
        <v>1.26E7</v>
      </c>
      <c r="T558" s="34">
        <v>1.26E7</v>
      </c>
      <c r="U558" s="20" t="s">
        <v>71</v>
      </c>
      <c r="V558" s="20"/>
      <c r="W558" s="38">
        <f t="shared" si="6"/>
        <v>12600000</v>
      </c>
      <c r="X558" s="20"/>
      <c r="Y558" s="38">
        <f t="shared" si="7"/>
        <v>12600000</v>
      </c>
      <c r="Z558" s="24">
        <f t="shared" si="3"/>
        <v>1</v>
      </c>
      <c r="AA558" s="23">
        <f t="shared" si="5"/>
        <v>12600000</v>
      </c>
      <c r="AB558" s="20"/>
      <c r="AC558" s="20"/>
      <c r="AD558" s="20"/>
      <c r="AE558" s="20"/>
      <c r="AF558" s="20"/>
      <c r="AG558" s="20"/>
      <c r="AH558" s="20"/>
      <c r="AI558" s="20"/>
      <c r="AJ558" s="20"/>
      <c r="AK558" s="20"/>
      <c r="AL558" s="20"/>
      <c r="AM558" s="20"/>
      <c r="AN558" s="20"/>
      <c r="AO558" s="20"/>
      <c r="AP558" s="20"/>
      <c r="AQ558" s="20"/>
      <c r="AR558" s="20"/>
      <c r="AS558" s="20"/>
      <c r="AT558" s="20"/>
    </row>
    <row r="559">
      <c r="A559" s="20">
        <v>557.0</v>
      </c>
      <c r="B559" s="29" t="s">
        <v>578</v>
      </c>
      <c r="C559" s="20"/>
      <c r="D559" s="20"/>
      <c r="E559" s="20"/>
      <c r="F559" s="20"/>
      <c r="G559" s="20"/>
      <c r="H559" s="33" t="s">
        <v>65</v>
      </c>
      <c r="I559" s="33" t="s">
        <v>66</v>
      </c>
      <c r="J559" s="21"/>
      <c r="K559" s="20" t="str">
        <f t="shared" si="1"/>
        <v>ROADS,TRANSPORT AND PUBLIC WORKS</v>
      </c>
      <c r="L559" s="20" t="s">
        <v>107</v>
      </c>
      <c r="M559" s="20" t="str">
        <f t="shared" si="2"/>
        <v>ROADS,TRANSPORT AND PUBLIC WORKS</v>
      </c>
      <c r="N559" s="22" t="s">
        <v>510</v>
      </c>
      <c r="O559" s="22" t="s">
        <v>511</v>
      </c>
      <c r="P559" s="20" t="s">
        <v>512</v>
      </c>
      <c r="Q559" s="20" t="s">
        <v>512</v>
      </c>
      <c r="R559" s="34">
        <v>5000000.0</v>
      </c>
      <c r="S559" s="34">
        <v>5000000.0</v>
      </c>
      <c r="T559" s="34">
        <v>5000000.0</v>
      </c>
      <c r="U559" s="20" t="s">
        <v>71</v>
      </c>
      <c r="V559" s="20"/>
      <c r="W559" s="38">
        <f t="shared" si="6"/>
        <v>5000000</v>
      </c>
      <c r="X559" s="20"/>
      <c r="Y559" s="38">
        <f t="shared" si="7"/>
        <v>5000000</v>
      </c>
      <c r="Z559" s="24">
        <f t="shared" si="3"/>
        <v>1</v>
      </c>
      <c r="AA559" s="23">
        <f t="shared" si="5"/>
        <v>5000000</v>
      </c>
      <c r="AB559" s="20"/>
      <c r="AC559" s="20"/>
      <c r="AD559" s="20"/>
      <c r="AE559" s="20"/>
      <c r="AF559" s="20"/>
      <c r="AG559" s="20"/>
      <c r="AH559" s="20"/>
      <c r="AI559" s="20"/>
      <c r="AJ559" s="20"/>
      <c r="AK559" s="20"/>
      <c r="AL559" s="20"/>
      <c r="AM559" s="20"/>
      <c r="AN559" s="20"/>
      <c r="AO559" s="20"/>
      <c r="AP559" s="20"/>
      <c r="AQ559" s="20"/>
      <c r="AR559" s="20"/>
      <c r="AS559" s="20"/>
      <c r="AT559" s="20"/>
    </row>
    <row r="560">
      <c r="A560" s="20">
        <v>558.0</v>
      </c>
      <c r="B560" s="29" t="s">
        <v>581</v>
      </c>
      <c r="C560" s="20"/>
      <c r="D560" s="20"/>
      <c r="E560" s="20"/>
      <c r="F560" s="20"/>
      <c r="G560" s="20"/>
      <c r="H560" s="33" t="s">
        <v>65</v>
      </c>
      <c r="I560" s="33" t="s">
        <v>66</v>
      </c>
      <c r="J560" s="21"/>
      <c r="K560" s="20" t="str">
        <f t="shared" si="1"/>
        <v>ROADS,TRANSPORT AND PUBLIC WORKS</v>
      </c>
      <c r="L560" s="20" t="s">
        <v>107</v>
      </c>
      <c r="M560" s="20" t="str">
        <f t="shared" si="2"/>
        <v>ROADS,TRANSPORT AND PUBLIC WORKS</v>
      </c>
      <c r="N560" s="22" t="s">
        <v>510</v>
      </c>
      <c r="O560" s="22" t="s">
        <v>511</v>
      </c>
      <c r="P560" s="20" t="s">
        <v>512</v>
      </c>
      <c r="Q560" s="20" t="s">
        <v>512</v>
      </c>
      <c r="R560" s="34">
        <v>5000000.0</v>
      </c>
      <c r="S560" s="34">
        <v>5000000.0</v>
      </c>
      <c r="T560" s="34">
        <v>5000000.0</v>
      </c>
      <c r="U560" s="20" t="s">
        <v>71</v>
      </c>
      <c r="V560" s="20"/>
      <c r="W560" s="38">
        <f t="shared" si="6"/>
        <v>5000000</v>
      </c>
      <c r="X560" s="20"/>
      <c r="Y560" s="38">
        <f t="shared" si="7"/>
        <v>5000000</v>
      </c>
      <c r="Z560" s="24">
        <f t="shared" si="3"/>
        <v>1</v>
      </c>
      <c r="AA560" s="23">
        <f t="shared" si="5"/>
        <v>5000000</v>
      </c>
      <c r="AB560" s="20"/>
      <c r="AC560" s="20"/>
      <c r="AD560" s="20"/>
      <c r="AE560" s="20"/>
      <c r="AF560" s="20"/>
      <c r="AG560" s="20"/>
      <c r="AH560" s="20"/>
      <c r="AI560" s="20"/>
      <c r="AJ560" s="20"/>
      <c r="AK560" s="20"/>
      <c r="AL560" s="20"/>
      <c r="AM560" s="20"/>
      <c r="AN560" s="20"/>
      <c r="AO560" s="20"/>
      <c r="AP560" s="20"/>
      <c r="AQ560" s="20"/>
      <c r="AR560" s="20"/>
      <c r="AS560" s="20"/>
      <c r="AT560" s="20"/>
    </row>
    <row r="561">
      <c r="A561" s="20">
        <v>559.0</v>
      </c>
      <c r="B561" s="29" t="s">
        <v>586</v>
      </c>
      <c r="C561" s="20"/>
      <c r="D561" s="20"/>
      <c r="E561" s="20"/>
      <c r="F561" s="20"/>
      <c r="G561" s="20"/>
      <c r="H561" s="33" t="s">
        <v>77</v>
      </c>
      <c r="I561" s="33" t="s">
        <v>77</v>
      </c>
      <c r="J561" s="21"/>
      <c r="K561" s="20" t="str">
        <f t="shared" si="1"/>
        <v>ROADS,TRANSPORT AND PUBLIC WORKS</v>
      </c>
      <c r="L561" s="20" t="s">
        <v>107</v>
      </c>
      <c r="M561" s="20" t="str">
        <f t="shared" si="2"/>
        <v>ROADS,TRANSPORT AND PUBLIC WORKS</v>
      </c>
      <c r="N561" s="22" t="s">
        <v>510</v>
      </c>
      <c r="O561" s="22" t="s">
        <v>511</v>
      </c>
      <c r="P561" s="20" t="s">
        <v>512</v>
      </c>
      <c r="Q561" s="20" t="s">
        <v>512</v>
      </c>
      <c r="R561" s="34">
        <v>1600000.0</v>
      </c>
      <c r="S561" s="34">
        <v>1600000.0</v>
      </c>
      <c r="T561" s="34">
        <v>1600000.0</v>
      </c>
      <c r="U561" s="20" t="s">
        <v>71</v>
      </c>
      <c r="V561" s="20"/>
      <c r="W561" s="38">
        <f t="shared" si="6"/>
        <v>1600000</v>
      </c>
      <c r="X561" s="20"/>
      <c r="Y561" s="38">
        <f t="shared" si="7"/>
        <v>1600000</v>
      </c>
      <c r="Z561" s="24">
        <f t="shared" si="3"/>
        <v>1</v>
      </c>
      <c r="AA561" s="23">
        <f t="shared" si="5"/>
        <v>1600000</v>
      </c>
      <c r="AB561" s="20"/>
      <c r="AC561" s="20"/>
      <c r="AD561" s="20"/>
      <c r="AE561" s="20"/>
      <c r="AF561" s="20"/>
      <c r="AG561" s="20"/>
      <c r="AH561" s="20"/>
      <c r="AI561" s="20"/>
      <c r="AJ561" s="20"/>
      <c r="AK561" s="20"/>
      <c r="AL561" s="20"/>
      <c r="AM561" s="20"/>
      <c r="AN561" s="20"/>
      <c r="AO561" s="20"/>
      <c r="AP561" s="20"/>
      <c r="AQ561" s="20"/>
      <c r="AR561" s="20"/>
      <c r="AS561" s="20"/>
      <c r="AT561" s="20"/>
    </row>
    <row r="562">
      <c r="A562" s="20">
        <v>560.0</v>
      </c>
      <c r="B562" s="29" t="s">
        <v>587</v>
      </c>
      <c r="C562" s="20"/>
      <c r="D562" s="20"/>
      <c r="E562" s="20"/>
      <c r="F562" s="20"/>
      <c r="G562" s="20"/>
      <c r="H562" s="33" t="s">
        <v>65</v>
      </c>
      <c r="I562" s="33" t="s">
        <v>66</v>
      </c>
      <c r="J562" s="21"/>
      <c r="K562" s="20" t="str">
        <f t="shared" si="1"/>
        <v>ROADS,TRANSPORT AND PUBLIC WORKS</v>
      </c>
      <c r="L562" s="20" t="s">
        <v>107</v>
      </c>
      <c r="M562" s="20" t="str">
        <f t="shared" si="2"/>
        <v>ROADS,TRANSPORT AND PUBLIC WORKS</v>
      </c>
      <c r="N562" s="22" t="s">
        <v>510</v>
      </c>
      <c r="O562" s="22" t="s">
        <v>511</v>
      </c>
      <c r="P562" s="20" t="s">
        <v>512</v>
      </c>
      <c r="Q562" s="20" t="s">
        <v>512</v>
      </c>
      <c r="R562" s="34">
        <v>2.4371184E7</v>
      </c>
      <c r="S562" s="34">
        <v>2.4371184E7</v>
      </c>
      <c r="T562" s="34">
        <v>2.4371184E7</v>
      </c>
      <c r="U562" s="20" t="s">
        <v>71</v>
      </c>
      <c r="V562" s="20"/>
      <c r="W562" s="38">
        <f t="shared" si="6"/>
        <v>24371184</v>
      </c>
      <c r="X562" s="20"/>
      <c r="Y562" s="38">
        <f t="shared" si="7"/>
        <v>24371184</v>
      </c>
      <c r="Z562" s="24">
        <f t="shared" si="3"/>
        <v>1</v>
      </c>
      <c r="AA562" s="23">
        <f t="shared" si="5"/>
        <v>24371184</v>
      </c>
      <c r="AB562" s="20"/>
      <c r="AC562" s="20"/>
      <c r="AD562" s="20"/>
      <c r="AE562" s="20"/>
      <c r="AF562" s="20"/>
      <c r="AG562" s="20"/>
      <c r="AH562" s="20"/>
      <c r="AI562" s="20"/>
      <c r="AJ562" s="20"/>
      <c r="AK562" s="20"/>
      <c r="AL562" s="20"/>
      <c r="AM562" s="20"/>
      <c r="AN562" s="20"/>
      <c r="AO562" s="20"/>
      <c r="AP562" s="20"/>
      <c r="AQ562" s="20"/>
      <c r="AR562" s="20"/>
      <c r="AS562" s="20"/>
      <c r="AT562" s="20"/>
    </row>
    <row r="563">
      <c r="A563" s="20">
        <v>561.0</v>
      </c>
      <c r="B563" s="29" t="s">
        <v>588</v>
      </c>
      <c r="C563" s="20"/>
      <c r="D563" s="20"/>
      <c r="E563" s="20"/>
      <c r="F563" s="20"/>
      <c r="G563" s="20"/>
      <c r="H563" s="33" t="s">
        <v>65</v>
      </c>
      <c r="I563" s="33" t="s">
        <v>66</v>
      </c>
      <c r="J563" s="21"/>
      <c r="K563" s="20" t="str">
        <f t="shared" si="1"/>
        <v>ROADS,TRANSPORT AND PUBLIC WORKS</v>
      </c>
      <c r="L563" s="20" t="s">
        <v>107</v>
      </c>
      <c r="M563" s="20" t="str">
        <f t="shared" si="2"/>
        <v>ROADS,TRANSPORT AND PUBLIC WORKS</v>
      </c>
      <c r="N563" s="22" t="s">
        <v>510</v>
      </c>
      <c r="O563" s="22" t="s">
        <v>511</v>
      </c>
      <c r="P563" s="20" t="s">
        <v>512</v>
      </c>
      <c r="Q563" s="20" t="s">
        <v>512</v>
      </c>
      <c r="R563" s="34">
        <v>1.4E7</v>
      </c>
      <c r="S563" s="34">
        <v>1.4E7</v>
      </c>
      <c r="T563" s="34">
        <v>1.4E7</v>
      </c>
      <c r="U563" s="20" t="s">
        <v>71</v>
      </c>
      <c r="V563" s="20"/>
      <c r="W563" s="38">
        <f t="shared" si="6"/>
        <v>14000000</v>
      </c>
      <c r="X563" s="20"/>
      <c r="Y563" s="38">
        <f t="shared" si="7"/>
        <v>14000000</v>
      </c>
      <c r="Z563" s="24">
        <f t="shared" si="3"/>
        <v>1</v>
      </c>
      <c r="AA563" s="23">
        <f t="shared" si="5"/>
        <v>14000000</v>
      </c>
      <c r="AB563" s="20"/>
      <c r="AC563" s="20"/>
      <c r="AD563" s="20"/>
      <c r="AE563" s="20"/>
      <c r="AF563" s="20"/>
      <c r="AG563" s="20"/>
      <c r="AH563" s="20"/>
      <c r="AI563" s="20"/>
      <c r="AJ563" s="20"/>
      <c r="AK563" s="20"/>
      <c r="AL563" s="20"/>
      <c r="AM563" s="20"/>
      <c r="AN563" s="20"/>
      <c r="AO563" s="20"/>
      <c r="AP563" s="20"/>
      <c r="AQ563" s="20"/>
      <c r="AR563" s="20"/>
      <c r="AS563" s="20"/>
      <c r="AT563" s="20"/>
    </row>
    <row r="564">
      <c r="A564" s="20">
        <v>562.0</v>
      </c>
      <c r="B564" s="29" t="s">
        <v>589</v>
      </c>
      <c r="C564" s="20"/>
      <c r="D564" s="20"/>
      <c r="E564" s="20"/>
      <c r="F564" s="20"/>
      <c r="G564" s="20"/>
      <c r="H564" s="33" t="s">
        <v>65</v>
      </c>
      <c r="I564" s="33" t="s">
        <v>66</v>
      </c>
      <c r="J564" s="21"/>
      <c r="K564" s="20" t="str">
        <f t="shared" si="1"/>
        <v>Health services</v>
      </c>
      <c r="L564" s="20" t="s">
        <v>67</v>
      </c>
      <c r="M564" s="20" t="str">
        <f t="shared" si="2"/>
        <v>Health services</v>
      </c>
      <c r="N564" s="22" t="s">
        <v>510</v>
      </c>
      <c r="O564" s="22" t="s">
        <v>511</v>
      </c>
      <c r="P564" s="20" t="s">
        <v>512</v>
      </c>
      <c r="Q564" s="20" t="s">
        <v>512</v>
      </c>
      <c r="R564" s="34">
        <v>6.0E7</v>
      </c>
      <c r="S564" s="34">
        <v>6.0E7</v>
      </c>
      <c r="T564" s="34">
        <v>6.0E7</v>
      </c>
      <c r="U564" s="20" t="s">
        <v>71</v>
      </c>
      <c r="V564" s="20"/>
      <c r="W564" s="38">
        <f t="shared" si="6"/>
        <v>60000000</v>
      </c>
      <c r="X564" s="20"/>
      <c r="Y564" s="38">
        <f t="shared" si="7"/>
        <v>60000000</v>
      </c>
      <c r="Z564" s="24">
        <f t="shared" si="3"/>
        <v>1</v>
      </c>
      <c r="AA564" s="23">
        <f t="shared" si="5"/>
        <v>60000000</v>
      </c>
      <c r="AB564" s="20"/>
      <c r="AC564" s="20"/>
      <c r="AD564" s="20"/>
      <c r="AE564" s="20"/>
      <c r="AF564" s="20"/>
      <c r="AG564" s="20"/>
      <c r="AH564" s="20"/>
      <c r="AI564" s="20"/>
      <c r="AJ564" s="20"/>
      <c r="AK564" s="20"/>
      <c r="AL564" s="20"/>
      <c r="AM564" s="20"/>
      <c r="AN564" s="20"/>
      <c r="AO564" s="20"/>
      <c r="AP564" s="20"/>
      <c r="AQ564" s="20"/>
      <c r="AR564" s="20"/>
      <c r="AS564" s="20"/>
      <c r="AT564" s="20"/>
    </row>
    <row r="565">
      <c r="A565" s="20">
        <v>563.0</v>
      </c>
      <c r="B565" s="29" t="s">
        <v>589</v>
      </c>
      <c r="C565" s="20"/>
      <c r="D565" s="20"/>
      <c r="E565" s="20"/>
      <c r="F565" s="20"/>
      <c r="G565" s="20"/>
      <c r="H565" s="33" t="s">
        <v>65</v>
      </c>
      <c r="I565" s="33" t="s">
        <v>66</v>
      </c>
      <c r="J565" s="21"/>
      <c r="K565" s="20" t="str">
        <f t="shared" si="1"/>
        <v>Health services</v>
      </c>
      <c r="L565" s="20" t="s">
        <v>67</v>
      </c>
      <c r="M565" s="20" t="str">
        <f t="shared" si="2"/>
        <v>Health services</v>
      </c>
      <c r="N565" s="22" t="s">
        <v>510</v>
      </c>
      <c r="O565" s="22" t="s">
        <v>511</v>
      </c>
      <c r="P565" s="20" t="s">
        <v>512</v>
      </c>
      <c r="Q565" s="20" t="s">
        <v>512</v>
      </c>
      <c r="R565" s="34">
        <v>5000000.0</v>
      </c>
      <c r="S565" s="34">
        <v>5000000.0</v>
      </c>
      <c r="T565" s="34">
        <v>5000000.0</v>
      </c>
      <c r="U565" s="20" t="s">
        <v>71</v>
      </c>
      <c r="V565" s="20"/>
      <c r="W565" s="38">
        <f t="shared" si="6"/>
        <v>5000000</v>
      </c>
      <c r="X565" s="20"/>
      <c r="Y565" s="38">
        <f t="shared" si="7"/>
        <v>5000000</v>
      </c>
      <c r="Z565" s="24">
        <f t="shared" si="3"/>
        <v>1</v>
      </c>
      <c r="AA565" s="23">
        <f t="shared" si="5"/>
        <v>5000000</v>
      </c>
      <c r="AB565" s="20"/>
      <c r="AC565" s="20"/>
      <c r="AD565" s="20"/>
      <c r="AE565" s="20"/>
      <c r="AF565" s="20"/>
      <c r="AG565" s="20"/>
      <c r="AH565" s="20"/>
      <c r="AI565" s="20"/>
      <c r="AJ565" s="20"/>
      <c r="AK565" s="20"/>
      <c r="AL565" s="20"/>
      <c r="AM565" s="20"/>
      <c r="AN565" s="20"/>
      <c r="AO565" s="20"/>
      <c r="AP565" s="20"/>
      <c r="AQ565" s="20"/>
      <c r="AR565" s="20"/>
      <c r="AS565" s="20"/>
      <c r="AT565" s="20"/>
    </row>
    <row r="566">
      <c r="A566" s="20">
        <v>564.0</v>
      </c>
      <c r="B566" s="29" t="s">
        <v>590</v>
      </c>
      <c r="C566" s="20"/>
      <c r="D566" s="20"/>
      <c r="E566" s="20"/>
      <c r="F566" s="20"/>
      <c r="G566" s="20"/>
      <c r="H566" s="33" t="s">
        <v>65</v>
      </c>
      <c r="I566" s="33" t="s">
        <v>66</v>
      </c>
      <c r="J566" s="21"/>
      <c r="K566" s="20" t="str">
        <f t="shared" si="1"/>
        <v>ROADS,TRANSPORT AND PUBLIC WORKS</v>
      </c>
      <c r="L566" s="20" t="s">
        <v>107</v>
      </c>
      <c r="M566" s="20" t="str">
        <f t="shared" si="2"/>
        <v>ROADS,TRANSPORT AND PUBLIC WORKS</v>
      </c>
      <c r="N566" s="22" t="s">
        <v>510</v>
      </c>
      <c r="O566" s="22" t="s">
        <v>511</v>
      </c>
      <c r="P566" s="20" t="s">
        <v>512</v>
      </c>
      <c r="Q566" s="20" t="s">
        <v>512</v>
      </c>
      <c r="R566" s="34">
        <v>1.43266726E7</v>
      </c>
      <c r="S566" s="34">
        <v>1.43266726E7</v>
      </c>
      <c r="T566" s="34">
        <v>1.43266726E7</v>
      </c>
      <c r="U566" s="20" t="s">
        <v>71</v>
      </c>
      <c r="V566" s="20"/>
      <c r="W566" s="38">
        <f t="shared" si="6"/>
        <v>14326672.6</v>
      </c>
      <c r="X566" s="20"/>
      <c r="Y566" s="38">
        <f t="shared" si="7"/>
        <v>14326672.6</v>
      </c>
      <c r="Z566" s="24">
        <f t="shared" si="3"/>
        <v>1</v>
      </c>
      <c r="AA566" s="23">
        <f t="shared" si="5"/>
        <v>14326672.6</v>
      </c>
      <c r="AB566" s="20"/>
      <c r="AC566" s="20"/>
      <c r="AD566" s="20"/>
      <c r="AE566" s="20"/>
      <c r="AF566" s="20"/>
      <c r="AG566" s="20"/>
      <c r="AH566" s="20"/>
      <c r="AI566" s="20"/>
      <c r="AJ566" s="20"/>
      <c r="AK566" s="20"/>
      <c r="AL566" s="20"/>
      <c r="AM566" s="20"/>
      <c r="AN566" s="20"/>
      <c r="AO566" s="20"/>
      <c r="AP566" s="20"/>
      <c r="AQ566" s="20"/>
      <c r="AR566" s="20"/>
      <c r="AS566" s="20"/>
      <c r="AT566" s="20"/>
    </row>
    <row r="567">
      <c r="A567" s="20">
        <v>565.0</v>
      </c>
      <c r="B567" s="29" t="s">
        <v>591</v>
      </c>
      <c r="C567" s="20"/>
      <c r="D567" s="20"/>
      <c r="E567" s="20"/>
      <c r="F567" s="20"/>
      <c r="G567" s="20"/>
      <c r="H567" s="33" t="s">
        <v>65</v>
      </c>
      <c r="I567" s="33" t="s">
        <v>66</v>
      </c>
      <c r="J567" s="21"/>
      <c r="K567" s="20" t="str">
        <f t="shared" si="1"/>
        <v>ROADS,TRANSPORT AND PUBLIC WORKS</v>
      </c>
      <c r="L567" s="20" t="s">
        <v>107</v>
      </c>
      <c r="M567" s="20" t="str">
        <f t="shared" si="2"/>
        <v>ROADS,TRANSPORT AND PUBLIC WORKS</v>
      </c>
      <c r="N567" s="22" t="s">
        <v>510</v>
      </c>
      <c r="O567" s="22" t="s">
        <v>511</v>
      </c>
      <c r="P567" s="20" t="s">
        <v>512</v>
      </c>
      <c r="Q567" s="20" t="s">
        <v>512</v>
      </c>
      <c r="R567" s="34">
        <v>1.13E7</v>
      </c>
      <c r="S567" s="34">
        <v>1.13E7</v>
      </c>
      <c r="T567" s="34">
        <v>1.13E7</v>
      </c>
      <c r="U567" s="20" t="s">
        <v>71</v>
      </c>
      <c r="V567" s="20"/>
      <c r="W567" s="38">
        <f t="shared" si="6"/>
        <v>11300000</v>
      </c>
      <c r="X567" s="20"/>
      <c r="Y567" s="38">
        <f t="shared" si="7"/>
        <v>11300000</v>
      </c>
      <c r="Z567" s="24">
        <f t="shared" si="3"/>
        <v>1</v>
      </c>
      <c r="AA567" s="23">
        <f t="shared" si="5"/>
        <v>11300000</v>
      </c>
      <c r="AB567" s="20"/>
      <c r="AC567" s="20"/>
      <c r="AD567" s="20"/>
      <c r="AE567" s="20"/>
      <c r="AF567" s="20"/>
      <c r="AG567" s="20"/>
      <c r="AH567" s="20"/>
      <c r="AI567" s="20"/>
      <c r="AJ567" s="20"/>
      <c r="AK567" s="20"/>
      <c r="AL567" s="20"/>
      <c r="AM567" s="20"/>
      <c r="AN567" s="20"/>
      <c r="AO567" s="20"/>
      <c r="AP567" s="20"/>
      <c r="AQ567" s="20"/>
      <c r="AR567" s="20"/>
      <c r="AS567" s="20"/>
      <c r="AT567" s="20"/>
    </row>
    <row r="568">
      <c r="A568" s="20">
        <v>566.0</v>
      </c>
      <c r="B568" s="29" t="s">
        <v>581</v>
      </c>
      <c r="C568" s="20"/>
      <c r="D568" s="20"/>
      <c r="E568" s="20"/>
      <c r="F568" s="20"/>
      <c r="G568" s="20"/>
      <c r="H568" s="33" t="s">
        <v>65</v>
      </c>
      <c r="I568" s="33" t="s">
        <v>66</v>
      </c>
      <c r="J568" s="21"/>
      <c r="K568" s="20" t="str">
        <f t="shared" si="1"/>
        <v>ROADS,TRANSPORT AND PUBLIC WORKS</v>
      </c>
      <c r="L568" s="20" t="s">
        <v>107</v>
      </c>
      <c r="M568" s="20" t="str">
        <f t="shared" si="2"/>
        <v>ROADS,TRANSPORT AND PUBLIC WORKS</v>
      </c>
      <c r="N568" s="22" t="s">
        <v>510</v>
      </c>
      <c r="O568" s="22" t="s">
        <v>511</v>
      </c>
      <c r="P568" s="20" t="s">
        <v>512</v>
      </c>
      <c r="Q568" s="20" t="s">
        <v>512</v>
      </c>
      <c r="R568" s="34">
        <v>1.27E7</v>
      </c>
      <c r="S568" s="34">
        <v>1.27E7</v>
      </c>
      <c r="T568" s="34">
        <v>1.27E7</v>
      </c>
      <c r="U568" s="20" t="s">
        <v>71</v>
      </c>
      <c r="V568" s="20"/>
      <c r="W568" s="38">
        <f t="shared" si="6"/>
        <v>12700000</v>
      </c>
      <c r="X568" s="20"/>
      <c r="Y568" s="38">
        <f t="shared" si="7"/>
        <v>12700000</v>
      </c>
      <c r="Z568" s="24">
        <f t="shared" si="3"/>
        <v>1</v>
      </c>
      <c r="AA568" s="23">
        <f t="shared" si="5"/>
        <v>12700000</v>
      </c>
      <c r="AB568" s="20"/>
      <c r="AC568" s="20"/>
      <c r="AD568" s="20"/>
      <c r="AE568" s="20"/>
      <c r="AF568" s="20"/>
      <c r="AG568" s="20"/>
      <c r="AH568" s="20"/>
      <c r="AI568" s="20"/>
      <c r="AJ568" s="20"/>
      <c r="AK568" s="20"/>
      <c r="AL568" s="20"/>
      <c r="AM568" s="20"/>
      <c r="AN568" s="20"/>
      <c r="AO568" s="20"/>
      <c r="AP568" s="20"/>
      <c r="AQ568" s="20"/>
      <c r="AR568" s="20"/>
      <c r="AS568" s="20"/>
      <c r="AT568" s="20"/>
    </row>
    <row r="569">
      <c r="A569" s="20">
        <v>567.0</v>
      </c>
      <c r="B569" s="29" t="s">
        <v>592</v>
      </c>
      <c r="C569" s="20"/>
      <c r="D569" s="20"/>
      <c r="E569" s="20"/>
      <c r="F569" s="20"/>
      <c r="G569" s="20"/>
      <c r="H569" s="33" t="s">
        <v>65</v>
      </c>
      <c r="I569" s="33" t="s">
        <v>66</v>
      </c>
      <c r="J569" s="21"/>
      <c r="K569" s="20" t="str">
        <f t="shared" si="1"/>
        <v>Health services</v>
      </c>
      <c r="L569" s="20" t="s">
        <v>67</v>
      </c>
      <c r="M569" s="20" t="str">
        <f t="shared" si="2"/>
        <v>Health services</v>
      </c>
      <c r="N569" s="22" t="s">
        <v>510</v>
      </c>
      <c r="O569" s="22" t="s">
        <v>511</v>
      </c>
      <c r="P569" s="20" t="s">
        <v>512</v>
      </c>
      <c r="Q569" s="20" t="s">
        <v>512</v>
      </c>
      <c r="R569" s="34">
        <v>4607120.0</v>
      </c>
      <c r="S569" s="34">
        <v>4607120.0</v>
      </c>
      <c r="T569" s="34">
        <v>4607120.0</v>
      </c>
      <c r="U569" s="20" t="s">
        <v>71</v>
      </c>
      <c r="V569" s="20"/>
      <c r="W569" s="38">
        <f t="shared" si="6"/>
        <v>4607120</v>
      </c>
      <c r="X569" s="20"/>
      <c r="Y569" s="38">
        <f t="shared" si="7"/>
        <v>4607120</v>
      </c>
      <c r="Z569" s="24">
        <f t="shared" si="3"/>
        <v>1</v>
      </c>
      <c r="AA569" s="23">
        <f t="shared" si="5"/>
        <v>4607120</v>
      </c>
      <c r="AB569" s="20"/>
      <c r="AC569" s="20"/>
      <c r="AD569" s="20"/>
      <c r="AE569" s="20"/>
      <c r="AF569" s="20"/>
      <c r="AG569" s="20"/>
      <c r="AH569" s="20"/>
      <c r="AI569" s="20"/>
      <c r="AJ569" s="20"/>
      <c r="AK569" s="20"/>
      <c r="AL569" s="20"/>
      <c r="AM569" s="20"/>
      <c r="AN569" s="20"/>
      <c r="AO569" s="20"/>
      <c r="AP569" s="20"/>
      <c r="AQ569" s="20"/>
      <c r="AR569" s="20"/>
      <c r="AS569" s="20"/>
      <c r="AT569" s="20"/>
    </row>
    <row r="570">
      <c r="A570" s="20">
        <v>568.0</v>
      </c>
      <c r="B570" s="29" t="s">
        <v>493</v>
      </c>
      <c r="C570" s="20"/>
      <c r="D570" s="20"/>
      <c r="E570" s="20"/>
      <c r="F570" s="20"/>
      <c r="G570" s="20"/>
      <c r="H570" s="33" t="s">
        <v>77</v>
      </c>
      <c r="I570" s="33" t="s">
        <v>77</v>
      </c>
      <c r="J570" s="21"/>
      <c r="K570" s="20" t="str">
        <f t="shared" si="1"/>
        <v>ROADS,TRANSPORT AND PUBLIC WORKS</v>
      </c>
      <c r="L570" s="20" t="s">
        <v>107</v>
      </c>
      <c r="M570" s="20" t="str">
        <f t="shared" si="2"/>
        <v>ROADS,TRANSPORT AND PUBLIC WORKS</v>
      </c>
      <c r="N570" s="22" t="s">
        <v>510</v>
      </c>
      <c r="O570" s="22" t="s">
        <v>511</v>
      </c>
      <c r="P570" s="20" t="s">
        <v>512</v>
      </c>
      <c r="Q570" s="20" t="s">
        <v>512</v>
      </c>
      <c r="R570" s="34">
        <v>1000000.0</v>
      </c>
      <c r="S570" s="34">
        <v>1000000.0</v>
      </c>
      <c r="T570" s="34">
        <v>1000000.0</v>
      </c>
      <c r="U570" s="20" t="s">
        <v>71</v>
      </c>
      <c r="V570" s="20"/>
      <c r="W570" s="38">
        <f t="shared" si="6"/>
        <v>1000000</v>
      </c>
      <c r="X570" s="20"/>
      <c r="Y570" s="38">
        <f t="shared" si="7"/>
        <v>1000000</v>
      </c>
      <c r="Z570" s="24">
        <f t="shared" si="3"/>
        <v>1</v>
      </c>
      <c r="AA570" s="23">
        <f t="shared" si="5"/>
        <v>1000000</v>
      </c>
      <c r="AB570" s="20"/>
      <c r="AC570" s="20"/>
      <c r="AD570" s="20"/>
      <c r="AE570" s="20"/>
      <c r="AF570" s="20"/>
      <c r="AG570" s="20"/>
      <c r="AH570" s="20"/>
      <c r="AI570" s="20"/>
      <c r="AJ570" s="20"/>
      <c r="AK570" s="20"/>
      <c r="AL570" s="20"/>
      <c r="AM570" s="20"/>
      <c r="AN570" s="20"/>
      <c r="AO570" s="20"/>
      <c r="AP570" s="20"/>
      <c r="AQ570" s="20"/>
      <c r="AR570" s="20"/>
      <c r="AS570" s="20"/>
      <c r="AT570" s="20"/>
    </row>
    <row r="571">
      <c r="A571" s="20">
        <v>569.0</v>
      </c>
      <c r="B571" s="29" t="s">
        <v>593</v>
      </c>
      <c r="C571" s="20"/>
      <c r="D571" s="20"/>
      <c r="E571" s="20"/>
      <c r="F571" s="20"/>
      <c r="G571" s="20"/>
      <c r="H571" s="33" t="s">
        <v>104</v>
      </c>
      <c r="I571" s="33" t="s">
        <v>104</v>
      </c>
      <c r="J571" s="21"/>
      <c r="K571" s="20" t="str">
        <f t="shared" si="1"/>
        <v>WATER,ENVIRONMENT,CLIMATE CHANGE AND NATURAL RESOURCES</v>
      </c>
      <c r="L571" s="20" t="s">
        <v>75</v>
      </c>
      <c r="M571" s="20" t="str">
        <f t="shared" si="2"/>
        <v>WATER,ENVIRONMENT,CLIMATE CHANGE AND NATURAL RESOURCES</v>
      </c>
      <c r="N571" s="22" t="s">
        <v>510</v>
      </c>
      <c r="O571" s="22" t="s">
        <v>511</v>
      </c>
      <c r="P571" s="20" t="s">
        <v>512</v>
      </c>
      <c r="Q571" s="20" t="s">
        <v>512</v>
      </c>
      <c r="R571" s="34">
        <v>7600000.0</v>
      </c>
      <c r="S571" s="34">
        <v>7600000.0</v>
      </c>
      <c r="T571" s="34">
        <v>7600000.0</v>
      </c>
      <c r="U571" s="20" t="s">
        <v>71</v>
      </c>
      <c r="V571" s="20"/>
      <c r="W571" s="38">
        <f t="shared" si="6"/>
        <v>7600000</v>
      </c>
      <c r="X571" s="20"/>
      <c r="Y571" s="38">
        <f t="shared" si="7"/>
        <v>7600000</v>
      </c>
      <c r="Z571" s="24">
        <f t="shared" si="3"/>
        <v>1</v>
      </c>
      <c r="AA571" s="23">
        <f t="shared" si="5"/>
        <v>7600000</v>
      </c>
      <c r="AB571" s="20"/>
      <c r="AC571" s="20"/>
      <c r="AD571" s="20"/>
      <c r="AE571" s="20"/>
      <c r="AF571" s="20"/>
      <c r="AG571" s="20"/>
      <c r="AH571" s="20"/>
      <c r="AI571" s="20"/>
      <c r="AJ571" s="20"/>
      <c r="AK571" s="20"/>
      <c r="AL571" s="20"/>
      <c r="AM571" s="20"/>
      <c r="AN571" s="20"/>
      <c r="AO571" s="20"/>
      <c r="AP571" s="20"/>
      <c r="AQ571" s="20"/>
      <c r="AR571" s="20"/>
      <c r="AS571" s="20"/>
      <c r="AT571" s="20"/>
    </row>
    <row r="572">
      <c r="A572" s="20">
        <v>570.0</v>
      </c>
      <c r="B572" s="29" t="s">
        <v>594</v>
      </c>
      <c r="C572" s="20"/>
      <c r="D572" s="20"/>
      <c r="E572" s="20"/>
      <c r="F572" s="20"/>
      <c r="G572" s="20"/>
      <c r="H572" s="33" t="s">
        <v>65</v>
      </c>
      <c r="I572" s="33" t="s">
        <v>66</v>
      </c>
      <c r="J572" s="21"/>
      <c r="K572" s="20" t="str">
        <f t="shared" si="1"/>
        <v>ROADS,TRANSPORT AND PUBLIC WORKS</v>
      </c>
      <c r="L572" s="20" t="s">
        <v>107</v>
      </c>
      <c r="M572" s="20" t="str">
        <f t="shared" si="2"/>
        <v>ROADS,TRANSPORT AND PUBLIC WORKS</v>
      </c>
      <c r="N572" s="22" t="s">
        <v>510</v>
      </c>
      <c r="O572" s="22" t="s">
        <v>511</v>
      </c>
      <c r="P572" s="20" t="s">
        <v>512</v>
      </c>
      <c r="Q572" s="20" t="s">
        <v>512</v>
      </c>
      <c r="R572" s="34">
        <v>1.4E7</v>
      </c>
      <c r="S572" s="34">
        <v>1.4E7</v>
      </c>
      <c r="T572" s="34">
        <v>1.4E7</v>
      </c>
      <c r="U572" s="20" t="s">
        <v>71</v>
      </c>
      <c r="V572" s="20"/>
      <c r="W572" s="38">
        <f t="shared" si="6"/>
        <v>14000000</v>
      </c>
      <c r="X572" s="20"/>
      <c r="Y572" s="38">
        <f t="shared" si="7"/>
        <v>14000000</v>
      </c>
      <c r="Z572" s="24">
        <f t="shared" si="3"/>
        <v>1</v>
      </c>
      <c r="AA572" s="23">
        <f t="shared" si="5"/>
        <v>14000000</v>
      </c>
      <c r="AB572" s="20"/>
      <c r="AC572" s="20"/>
      <c r="AD572" s="20"/>
      <c r="AE572" s="20"/>
      <c r="AF572" s="20"/>
      <c r="AG572" s="20"/>
      <c r="AH572" s="20"/>
      <c r="AI572" s="20"/>
      <c r="AJ572" s="20"/>
      <c r="AK572" s="20"/>
      <c r="AL572" s="20"/>
      <c r="AM572" s="20"/>
      <c r="AN572" s="20"/>
      <c r="AO572" s="20"/>
      <c r="AP572" s="20"/>
      <c r="AQ572" s="20"/>
      <c r="AR572" s="20"/>
      <c r="AS572" s="20"/>
      <c r="AT572" s="20"/>
    </row>
    <row r="573">
      <c r="A573" s="20">
        <v>571.0</v>
      </c>
      <c r="B573" s="29" t="s">
        <v>595</v>
      </c>
      <c r="C573" s="20"/>
      <c r="D573" s="20"/>
      <c r="E573" s="20"/>
      <c r="F573" s="20"/>
      <c r="G573" s="20"/>
      <c r="H573" s="33" t="s">
        <v>65</v>
      </c>
      <c r="I573" s="33" t="s">
        <v>87</v>
      </c>
      <c r="J573" s="21"/>
      <c r="K573" s="20" t="str">
        <f t="shared" si="1"/>
        <v>WATER,ENVIRONMENT,CLIMATE CHANGE AND NATURAL RESOURCES</v>
      </c>
      <c r="L573" s="20" t="s">
        <v>75</v>
      </c>
      <c r="M573" s="20" t="str">
        <f t="shared" si="2"/>
        <v>WATER,ENVIRONMENT,CLIMATE CHANGE AND NATURAL RESOURCES</v>
      </c>
      <c r="N573" s="22" t="s">
        <v>510</v>
      </c>
      <c r="O573" s="22" t="s">
        <v>511</v>
      </c>
      <c r="P573" s="20" t="s">
        <v>512</v>
      </c>
      <c r="Q573" s="20" t="s">
        <v>512</v>
      </c>
      <c r="R573" s="34">
        <v>5491841.7</v>
      </c>
      <c r="S573" s="34">
        <v>5491841.7</v>
      </c>
      <c r="T573" s="34">
        <v>5491841.7</v>
      </c>
      <c r="U573" s="20" t="s">
        <v>71</v>
      </c>
      <c r="V573" s="20"/>
      <c r="W573" s="38">
        <f t="shared" si="6"/>
        <v>5491841.7</v>
      </c>
      <c r="X573" s="20"/>
      <c r="Y573" s="38">
        <f t="shared" si="7"/>
        <v>5491841.7</v>
      </c>
      <c r="Z573" s="24">
        <f t="shared" si="3"/>
        <v>1</v>
      </c>
      <c r="AA573" s="23">
        <f t="shared" si="5"/>
        <v>5491841.7</v>
      </c>
      <c r="AB573" s="20"/>
      <c r="AC573" s="20"/>
      <c r="AD573" s="20"/>
      <c r="AE573" s="20"/>
      <c r="AF573" s="20"/>
      <c r="AG573" s="20"/>
      <c r="AH573" s="20"/>
      <c r="AI573" s="20"/>
      <c r="AJ573" s="20"/>
      <c r="AK573" s="20"/>
      <c r="AL573" s="20"/>
      <c r="AM573" s="20"/>
      <c r="AN573" s="20"/>
      <c r="AO573" s="20"/>
      <c r="AP573" s="20"/>
      <c r="AQ573" s="20"/>
      <c r="AR573" s="20"/>
      <c r="AS573" s="20"/>
      <c r="AT573" s="20"/>
    </row>
    <row r="574">
      <c r="A574" s="20">
        <v>572.0</v>
      </c>
      <c r="B574" s="29" t="s">
        <v>596</v>
      </c>
      <c r="C574" s="20"/>
      <c r="D574" s="20"/>
      <c r="E574" s="20"/>
      <c r="F574" s="20"/>
      <c r="G574" s="20"/>
      <c r="H574" s="33" t="s">
        <v>65</v>
      </c>
      <c r="I574" s="33" t="s">
        <v>66</v>
      </c>
      <c r="J574" s="21"/>
      <c r="K574" s="20" t="str">
        <f t="shared" si="1"/>
        <v>ROADS,TRANSPORT AND PUBLIC WORKS</v>
      </c>
      <c r="L574" s="20" t="s">
        <v>107</v>
      </c>
      <c r="M574" s="20" t="str">
        <f t="shared" si="2"/>
        <v>ROADS,TRANSPORT AND PUBLIC WORKS</v>
      </c>
      <c r="N574" s="22" t="s">
        <v>510</v>
      </c>
      <c r="O574" s="22" t="s">
        <v>511</v>
      </c>
      <c r="P574" s="20" t="s">
        <v>512</v>
      </c>
      <c r="Q574" s="20" t="s">
        <v>512</v>
      </c>
      <c r="R574" s="34">
        <v>1.02897931E7</v>
      </c>
      <c r="S574" s="34">
        <v>1.02897931E7</v>
      </c>
      <c r="T574" s="34">
        <v>1.02897931E7</v>
      </c>
      <c r="U574" s="20" t="s">
        <v>71</v>
      </c>
      <c r="V574" s="20"/>
      <c r="W574" s="38">
        <f t="shared" si="6"/>
        <v>10289793.1</v>
      </c>
      <c r="X574" s="20"/>
      <c r="Y574" s="38">
        <f t="shared" si="7"/>
        <v>10289793.1</v>
      </c>
      <c r="Z574" s="24">
        <f t="shared" si="3"/>
        <v>1</v>
      </c>
      <c r="AA574" s="23">
        <f t="shared" si="5"/>
        <v>10289793.1</v>
      </c>
      <c r="AB574" s="20"/>
      <c r="AC574" s="20"/>
      <c r="AD574" s="20"/>
      <c r="AE574" s="20"/>
      <c r="AF574" s="20"/>
      <c r="AG574" s="20"/>
      <c r="AH574" s="20"/>
      <c r="AI574" s="20"/>
      <c r="AJ574" s="20"/>
      <c r="AK574" s="20"/>
      <c r="AL574" s="20"/>
      <c r="AM574" s="20"/>
      <c r="AN574" s="20"/>
      <c r="AO574" s="20"/>
      <c r="AP574" s="20"/>
      <c r="AQ574" s="20"/>
      <c r="AR574" s="20"/>
      <c r="AS574" s="20"/>
      <c r="AT574" s="20"/>
    </row>
    <row r="575">
      <c r="A575" s="20">
        <v>573.0</v>
      </c>
      <c r="B575" s="29" t="s">
        <v>597</v>
      </c>
      <c r="C575" s="20"/>
      <c r="D575" s="20"/>
      <c r="E575" s="20"/>
      <c r="F575" s="20"/>
      <c r="G575" s="20"/>
      <c r="H575" s="33" t="s">
        <v>65</v>
      </c>
      <c r="I575" s="33" t="s">
        <v>74</v>
      </c>
      <c r="J575" s="21"/>
      <c r="K575" s="20" t="str">
        <f t="shared" si="1"/>
        <v>ROADS,TRANSPORT AND PUBLIC WORKS</v>
      </c>
      <c r="L575" s="20" t="s">
        <v>107</v>
      </c>
      <c r="M575" s="20" t="str">
        <f t="shared" si="2"/>
        <v>ROADS,TRANSPORT AND PUBLIC WORKS</v>
      </c>
      <c r="N575" s="22" t="s">
        <v>510</v>
      </c>
      <c r="O575" s="22" t="s">
        <v>511</v>
      </c>
      <c r="P575" s="20" t="s">
        <v>512</v>
      </c>
      <c r="Q575" s="20" t="s">
        <v>512</v>
      </c>
      <c r="R575" s="34">
        <v>6568000.0</v>
      </c>
      <c r="S575" s="34">
        <v>6568000.0</v>
      </c>
      <c r="T575" s="34">
        <v>6568000.0</v>
      </c>
      <c r="U575" s="20" t="s">
        <v>71</v>
      </c>
      <c r="V575" s="20"/>
      <c r="W575" s="38">
        <f t="shared" si="6"/>
        <v>6568000</v>
      </c>
      <c r="X575" s="20"/>
      <c r="Y575" s="38">
        <f t="shared" si="7"/>
        <v>6568000</v>
      </c>
      <c r="Z575" s="24">
        <f t="shared" si="3"/>
        <v>1</v>
      </c>
      <c r="AA575" s="23">
        <f t="shared" si="5"/>
        <v>6568000</v>
      </c>
      <c r="AB575" s="20"/>
      <c r="AC575" s="20"/>
      <c r="AD575" s="20"/>
      <c r="AE575" s="20"/>
      <c r="AF575" s="20"/>
      <c r="AG575" s="20"/>
      <c r="AH575" s="20"/>
      <c r="AI575" s="20"/>
      <c r="AJ575" s="20"/>
      <c r="AK575" s="20"/>
      <c r="AL575" s="20"/>
      <c r="AM575" s="20"/>
      <c r="AN575" s="20"/>
      <c r="AO575" s="20"/>
      <c r="AP575" s="20"/>
      <c r="AQ575" s="20"/>
      <c r="AR575" s="20"/>
      <c r="AS575" s="20"/>
      <c r="AT575" s="20"/>
    </row>
    <row r="576">
      <c r="A576" s="20">
        <v>574.0</v>
      </c>
      <c r="B576" s="29" t="s">
        <v>598</v>
      </c>
      <c r="C576" s="20"/>
      <c r="D576" s="20"/>
      <c r="E576" s="20"/>
      <c r="F576" s="20"/>
      <c r="G576" s="20"/>
      <c r="H576" s="33" t="s">
        <v>65</v>
      </c>
      <c r="I576" s="33" t="s">
        <v>66</v>
      </c>
      <c r="J576" s="21"/>
      <c r="K576" s="20" t="str">
        <f t="shared" si="1"/>
        <v>ROADS,TRANSPORT AND PUBLIC WORKS</v>
      </c>
      <c r="L576" s="20" t="s">
        <v>107</v>
      </c>
      <c r="M576" s="20" t="str">
        <f t="shared" si="2"/>
        <v>ROADS,TRANSPORT AND PUBLIC WORKS</v>
      </c>
      <c r="N576" s="22" t="s">
        <v>510</v>
      </c>
      <c r="O576" s="22" t="s">
        <v>511</v>
      </c>
      <c r="P576" s="20" t="s">
        <v>512</v>
      </c>
      <c r="Q576" s="20" t="s">
        <v>512</v>
      </c>
      <c r="R576" s="34">
        <v>4617380.0</v>
      </c>
      <c r="S576" s="34">
        <v>4617380.0</v>
      </c>
      <c r="T576" s="34">
        <v>4617380.0</v>
      </c>
      <c r="U576" s="20" t="s">
        <v>71</v>
      </c>
      <c r="V576" s="20"/>
      <c r="W576" s="38">
        <f t="shared" si="6"/>
        <v>4617380</v>
      </c>
      <c r="X576" s="20"/>
      <c r="Y576" s="38">
        <f t="shared" si="7"/>
        <v>4617380</v>
      </c>
      <c r="Z576" s="24">
        <f t="shared" si="3"/>
        <v>1</v>
      </c>
      <c r="AA576" s="23">
        <f t="shared" si="5"/>
        <v>4617380</v>
      </c>
      <c r="AB576" s="20"/>
      <c r="AC576" s="20"/>
      <c r="AD576" s="20"/>
      <c r="AE576" s="20"/>
      <c r="AF576" s="20"/>
      <c r="AG576" s="20"/>
      <c r="AH576" s="20"/>
      <c r="AI576" s="20"/>
      <c r="AJ576" s="20"/>
      <c r="AK576" s="20"/>
      <c r="AL576" s="20"/>
      <c r="AM576" s="20"/>
      <c r="AN576" s="20"/>
      <c r="AO576" s="20"/>
      <c r="AP576" s="20"/>
      <c r="AQ576" s="20"/>
      <c r="AR576" s="20"/>
      <c r="AS576" s="20"/>
      <c r="AT576" s="20"/>
    </row>
    <row r="577">
      <c r="A577" s="20">
        <v>575.0</v>
      </c>
      <c r="B577" s="29" t="s">
        <v>599</v>
      </c>
      <c r="C577" s="20"/>
      <c r="D577" s="20"/>
      <c r="E577" s="20"/>
      <c r="F577" s="20"/>
      <c r="G577" s="20"/>
      <c r="H577" s="33" t="s">
        <v>65</v>
      </c>
      <c r="I577" s="33" t="s">
        <v>87</v>
      </c>
      <c r="J577" s="21"/>
      <c r="K577" s="20" t="str">
        <f t="shared" si="1"/>
        <v>ROADS,TRANSPORT AND PUBLIC WORKS</v>
      </c>
      <c r="L577" s="20" t="s">
        <v>107</v>
      </c>
      <c r="M577" s="20" t="str">
        <f t="shared" si="2"/>
        <v>ROADS,TRANSPORT AND PUBLIC WORKS</v>
      </c>
      <c r="N577" s="22" t="s">
        <v>510</v>
      </c>
      <c r="O577" s="22" t="s">
        <v>511</v>
      </c>
      <c r="P577" s="20" t="s">
        <v>512</v>
      </c>
      <c r="Q577" s="20" t="s">
        <v>512</v>
      </c>
      <c r="R577" s="34">
        <v>2344615.0</v>
      </c>
      <c r="S577" s="34">
        <v>2344615.0</v>
      </c>
      <c r="T577" s="34">
        <v>2344615.0</v>
      </c>
      <c r="U577" s="20" t="s">
        <v>71</v>
      </c>
      <c r="V577" s="20"/>
      <c r="W577" s="38">
        <f t="shared" si="6"/>
        <v>2344615</v>
      </c>
      <c r="X577" s="20"/>
      <c r="Y577" s="38">
        <f t="shared" si="7"/>
        <v>2344615</v>
      </c>
      <c r="Z577" s="24">
        <f t="shared" si="3"/>
        <v>1</v>
      </c>
      <c r="AA577" s="23">
        <f t="shared" si="5"/>
        <v>2344615</v>
      </c>
      <c r="AB577" s="20"/>
      <c r="AC577" s="20"/>
      <c r="AD577" s="20"/>
      <c r="AE577" s="20"/>
      <c r="AF577" s="20"/>
      <c r="AG577" s="20"/>
      <c r="AH577" s="20"/>
      <c r="AI577" s="20"/>
      <c r="AJ577" s="20"/>
      <c r="AK577" s="20"/>
      <c r="AL577" s="20"/>
      <c r="AM577" s="20"/>
      <c r="AN577" s="20"/>
      <c r="AO577" s="20"/>
      <c r="AP577" s="20"/>
      <c r="AQ577" s="20"/>
      <c r="AR577" s="20"/>
      <c r="AS577" s="20"/>
      <c r="AT577" s="20"/>
    </row>
    <row r="578">
      <c r="A578" s="20">
        <v>576.0</v>
      </c>
      <c r="B578" s="29" t="s">
        <v>600</v>
      </c>
      <c r="C578" s="20"/>
      <c r="D578" s="20"/>
      <c r="E578" s="20"/>
      <c r="F578" s="20"/>
      <c r="G578" s="20"/>
      <c r="H578" s="33" t="s">
        <v>65</v>
      </c>
      <c r="I578" s="33" t="s">
        <v>66</v>
      </c>
      <c r="J578" s="21"/>
      <c r="K578" s="20" t="str">
        <f t="shared" si="1"/>
        <v>ROADS,TRANSPORT AND PUBLIC WORKS</v>
      </c>
      <c r="L578" s="20" t="s">
        <v>107</v>
      </c>
      <c r="M578" s="20" t="str">
        <f t="shared" si="2"/>
        <v>ROADS,TRANSPORT AND PUBLIC WORKS</v>
      </c>
      <c r="N578" s="22" t="s">
        <v>510</v>
      </c>
      <c r="O578" s="22" t="s">
        <v>511</v>
      </c>
      <c r="P578" s="20" t="s">
        <v>512</v>
      </c>
      <c r="Q578" s="20" t="s">
        <v>512</v>
      </c>
      <c r="R578" s="34">
        <v>4374940.0</v>
      </c>
      <c r="S578" s="34">
        <v>4374940.0</v>
      </c>
      <c r="T578" s="34">
        <v>4374940.0</v>
      </c>
      <c r="U578" s="20" t="s">
        <v>71</v>
      </c>
      <c r="V578" s="20"/>
      <c r="W578" s="38">
        <f t="shared" si="6"/>
        <v>4374940</v>
      </c>
      <c r="X578" s="20"/>
      <c r="Y578" s="38">
        <f t="shared" si="7"/>
        <v>4374940</v>
      </c>
      <c r="Z578" s="24">
        <f t="shared" si="3"/>
        <v>1</v>
      </c>
      <c r="AA578" s="23">
        <f t="shared" si="5"/>
        <v>4374940</v>
      </c>
      <c r="AB578" s="20"/>
      <c r="AC578" s="20"/>
      <c r="AD578" s="20"/>
      <c r="AE578" s="20"/>
      <c r="AF578" s="20"/>
      <c r="AG578" s="20"/>
      <c r="AH578" s="20"/>
      <c r="AI578" s="20"/>
      <c r="AJ578" s="20"/>
      <c r="AK578" s="20"/>
      <c r="AL578" s="20"/>
      <c r="AM578" s="20"/>
      <c r="AN578" s="20"/>
      <c r="AO578" s="20"/>
      <c r="AP578" s="20"/>
      <c r="AQ578" s="20"/>
      <c r="AR578" s="20"/>
      <c r="AS578" s="20"/>
      <c r="AT578" s="20"/>
    </row>
    <row r="579">
      <c r="A579" s="20">
        <v>577.0</v>
      </c>
      <c r="B579" s="29" t="s">
        <v>599</v>
      </c>
      <c r="C579" s="20"/>
      <c r="D579" s="20"/>
      <c r="E579" s="20"/>
      <c r="F579" s="20"/>
      <c r="G579" s="20"/>
      <c r="H579" s="33" t="s">
        <v>65</v>
      </c>
      <c r="I579" s="33" t="s">
        <v>66</v>
      </c>
      <c r="J579" s="21"/>
      <c r="K579" s="20" t="str">
        <f t="shared" si="1"/>
        <v>ROADS,TRANSPORT AND PUBLIC WORKS</v>
      </c>
      <c r="L579" s="20" t="s">
        <v>107</v>
      </c>
      <c r="M579" s="20" t="str">
        <f t="shared" si="2"/>
        <v>ROADS,TRANSPORT AND PUBLIC WORKS</v>
      </c>
      <c r="N579" s="22" t="s">
        <v>510</v>
      </c>
      <c r="O579" s="22" t="s">
        <v>511</v>
      </c>
      <c r="P579" s="20" t="s">
        <v>512</v>
      </c>
      <c r="Q579" s="20" t="s">
        <v>512</v>
      </c>
      <c r="R579" s="34">
        <v>4551260.0</v>
      </c>
      <c r="S579" s="34">
        <v>4551260.0</v>
      </c>
      <c r="T579" s="34">
        <v>4551260.0</v>
      </c>
      <c r="U579" s="20" t="s">
        <v>71</v>
      </c>
      <c r="V579" s="20"/>
      <c r="W579" s="38">
        <f t="shared" si="6"/>
        <v>4551260</v>
      </c>
      <c r="X579" s="20"/>
      <c r="Y579" s="38">
        <f t="shared" si="7"/>
        <v>4551260</v>
      </c>
      <c r="Z579" s="24">
        <f t="shared" si="3"/>
        <v>1</v>
      </c>
      <c r="AA579" s="23">
        <f t="shared" si="5"/>
        <v>4551260</v>
      </c>
      <c r="AB579" s="20"/>
      <c r="AC579" s="20"/>
      <c r="AD579" s="20"/>
      <c r="AE579" s="20"/>
      <c r="AF579" s="20"/>
      <c r="AG579" s="20"/>
      <c r="AH579" s="20"/>
      <c r="AI579" s="20"/>
      <c r="AJ579" s="20"/>
      <c r="AK579" s="20"/>
      <c r="AL579" s="20"/>
      <c r="AM579" s="20"/>
      <c r="AN579" s="20"/>
      <c r="AO579" s="20"/>
      <c r="AP579" s="20"/>
      <c r="AQ579" s="20"/>
      <c r="AR579" s="20"/>
      <c r="AS579" s="20"/>
      <c r="AT579" s="20"/>
    </row>
    <row r="580">
      <c r="A580" s="20">
        <v>578.0</v>
      </c>
      <c r="B580" s="29" t="s">
        <v>596</v>
      </c>
      <c r="C580" s="20"/>
      <c r="D580" s="20"/>
      <c r="E580" s="20"/>
      <c r="F580" s="20"/>
      <c r="G580" s="20"/>
      <c r="H580" s="33" t="s">
        <v>65</v>
      </c>
      <c r="I580" s="33" t="s">
        <v>74</v>
      </c>
      <c r="J580" s="21"/>
      <c r="K580" s="20" t="str">
        <f t="shared" si="1"/>
        <v>ROADS,TRANSPORT AND PUBLIC WORKS</v>
      </c>
      <c r="L580" s="20" t="s">
        <v>107</v>
      </c>
      <c r="M580" s="20" t="str">
        <f t="shared" si="2"/>
        <v>ROADS,TRANSPORT AND PUBLIC WORKS</v>
      </c>
      <c r="N580" s="22" t="s">
        <v>510</v>
      </c>
      <c r="O580" s="22" t="s">
        <v>511</v>
      </c>
      <c r="P580" s="20" t="s">
        <v>512</v>
      </c>
      <c r="Q580" s="20" t="s">
        <v>512</v>
      </c>
      <c r="R580" s="34">
        <v>5716551.75</v>
      </c>
      <c r="S580" s="34">
        <v>5716551.75</v>
      </c>
      <c r="T580" s="34">
        <v>5716551.75</v>
      </c>
      <c r="U580" s="20" t="s">
        <v>71</v>
      </c>
      <c r="V580" s="20"/>
      <c r="W580" s="38">
        <f t="shared" si="6"/>
        <v>5716551.75</v>
      </c>
      <c r="X580" s="20"/>
      <c r="Y580" s="38">
        <f t="shared" si="7"/>
        <v>5716551.75</v>
      </c>
      <c r="Z580" s="24">
        <f t="shared" si="3"/>
        <v>1</v>
      </c>
      <c r="AA580" s="23">
        <f t="shared" si="5"/>
        <v>5716551.75</v>
      </c>
      <c r="AB580" s="20"/>
      <c r="AC580" s="20"/>
      <c r="AD580" s="20"/>
      <c r="AE580" s="20"/>
      <c r="AF580" s="20"/>
      <c r="AG580" s="20"/>
      <c r="AH580" s="20"/>
      <c r="AI580" s="20"/>
      <c r="AJ580" s="20"/>
      <c r="AK580" s="20"/>
      <c r="AL580" s="20"/>
      <c r="AM580" s="20"/>
      <c r="AN580" s="20"/>
      <c r="AO580" s="20"/>
      <c r="AP580" s="20"/>
      <c r="AQ580" s="20"/>
      <c r="AR580" s="20"/>
      <c r="AS580" s="20"/>
      <c r="AT580" s="20"/>
    </row>
    <row r="581">
      <c r="A581" s="20">
        <v>579.0</v>
      </c>
      <c r="B581" s="29" t="s">
        <v>601</v>
      </c>
      <c r="C581" s="20"/>
      <c r="D581" s="20"/>
      <c r="E581" s="20"/>
      <c r="F581" s="20"/>
      <c r="G581" s="20"/>
      <c r="H581" s="33" t="s">
        <v>65</v>
      </c>
      <c r="I581" s="33" t="s">
        <v>66</v>
      </c>
      <c r="J581" s="21"/>
      <c r="K581" s="20" t="str">
        <f t="shared" si="1"/>
        <v>ROADS,TRANSPORT AND PUBLIC WORKS</v>
      </c>
      <c r="L581" s="20" t="s">
        <v>107</v>
      </c>
      <c r="M581" s="20" t="str">
        <f t="shared" si="2"/>
        <v>ROADS,TRANSPORT AND PUBLIC WORKS</v>
      </c>
      <c r="N581" s="22" t="s">
        <v>510</v>
      </c>
      <c r="O581" s="22" t="s">
        <v>511</v>
      </c>
      <c r="P581" s="20" t="s">
        <v>512</v>
      </c>
      <c r="Q581" s="20" t="s">
        <v>512</v>
      </c>
      <c r="R581" s="34">
        <v>4588728.0</v>
      </c>
      <c r="S581" s="34">
        <v>4588728.0</v>
      </c>
      <c r="T581" s="34">
        <v>4588728.0</v>
      </c>
      <c r="U581" s="20" t="s">
        <v>71</v>
      </c>
      <c r="V581" s="20"/>
      <c r="W581" s="38">
        <f t="shared" si="6"/>
        <v>4588728</v>
      </c>
      <c r="X581" s="20"/>
      <c r="Y581" s="38">
        <f t="shared" si="7"/>
        <v>4588728</v>
      </c>
      <c r="Z581" s="24">
        <f t="shared" si="3"/>
        <v>1</v>
      </c>
      <c r="AA581" s="23">
        <f t="shared" si="5"/>
        <v>4588728</v>
      </c>
      <c r="AB581" s="20"/>
      <c r="AC581" s="20"/>
      <c r="AD581" s="20"/>
      <c r="AE581" s="20"/>
      <c r="AF581" s="20"/>
      <c r="AG581" s="20"/>
      <c r="AH581" s="20"/>
      <c r="AI581" s="20"/>
      <c r="AJ581" s="20"/>
      <c r="AK581" s="20"/>
      <c r="AL581" s="20"/>
      <c r="AM581" s="20"/>
      <c r="AN581" s="20"/>
      <c r="AO581" s="20"/>
      <c r="AP581" s="20"/>
      <c r="AQ581" s="20"/>
      <c r="AR581" s="20"/>
      <c r="AS581" s="20"/>
      <c r="AT581" s="20"/>
    </row>
    <row r="582">
      <c r="A582" s="20">
        <v>580.0</v>
      </c>
      <c r="B582" s="29" t="s">
        <v>600</v>
      </c>
      <c r="C582" s="20"/>
      <c r="D582" s="20"/>
      <c r="E582" s="20"/>
      <c r="F582" s="20"/>
      <c r="G582" s="20"/>
      <c r="H582" s="33" t="s">
        <v>65</v>
      </c>
      <c r="I582" s="33" t="s">
        <v>66</v>
      </c>
      <c r="J582" s="21"/>
      <c r="K582" s="20" t="str">
        <f t="shared" si="1"/>
        <v>ROADS,TRANSPORT AND PUBLIC WORKS</v>
      </c>
      <c r="L582" s="20" t="s">
        <v>107</v>
      </c>
      <c r="M582" s="20" t="str">
        <f t="shared" si="2"/>
        <v>ROADS,TRANSPORT AND PUBLIC WORKS</v>
      </c>
      <c r="N582" s="22" t="s">
        <v>510</v>
      </c>
      <c r="O582" s="22" t="s">
        <v>511</v>
      </c>
      <c r="P582" s="20" t="s">
        <v>512</v>
      </c>
      <c r="Q582" s="20" t="s">
        <v>512</v>
      </c>
      <c r="R582" s="34">
        <v>4573300.0</v>
      </c>
      <c r="S582" s="34">
        <v>4573300.0</v>
      </c>
      <c r="T582" s="34">
        <v>4573300.0</v>
      </c>
      <c r="U582" s="20" t="s">
        <v>71</v>
      </c>
      <c r="V582" s="20"/>
      <c r="W582" s="38">
        <f t="shared" si="6"/>
        <v>4573300</v>
      </c>
      <c r="X582" s="20"/>
      <c r="Y582" s="38">
        <f t="shared" si="7"/>
        <v>4573300</v>
      </c>
      <c r="Z582" s="24">
        <f t="shared" si="3"/>
        <v>1</v>
      </c>
      <c r="AA582" s="23">
        <f t="shared" si="5"/>
        <v>4573300</v>
      </c>
      <c r="AB582" s="20"/>
      <c r="AC582" s="20"/>
      <c r="AD582" s="20"/>
      <c r="AE582" s="20"/>
      <c r="AF582" s="20"/>
      <c r="AG582" s="20"/>
      <c r="AH582" s="20"/>
      <c r="AI582" s="20"/>
      <c r="AJ582" s="20"/>
      <c r="AK582" s="20"/>
      <c r="AL582" s="20"/>
      <c r="AM582" s="20"/>
      <c r="AN582" s="20"/>
      <c r="AO582" s="20"/>
      <c r="AP582" s="20"/>
      <c r="AQ582" s="20"/>
      <c r="AR582" s="20"/>
      <c r="AS582" s="20"/>
      <c r="AT582" s="20"/>
    </row>
    <row r="583">
      <c r="A583" s="20">
        <v>581.0</v>
      </c>
      <c r="B583" s="29" t="s">
        <v>597</v>
      </c>
      <c r="C583" s="20"/>
      <c r="D583" s="20"/>
      <c r="E583" s="20"/>
      <c r="F583" s="20"/>
      <c r="G583" s="20"/>
      <c r="H583" s="33" t="s">
        <v>65</v>
      </c>
      <c r="I583" s="33" t="s">
        <v>66</v>
      </c>
      <c r="J583" s="21"/>
      <c r="K583" s="20" t="str">
        <f t="shared" si="1"/>
        <v>ROADS,TRANSPORT AND PUBLIC WORKS</v>
      </c>
      <c r="L583" s="20" t="s">
        <v>107</v>
      </c>
      <c r="M583" s="20" t="str">
        <f t="shared" si="2"/>
        <v>ROADS,TRANSPORT AND PUBLIC WORKS</v>
      </c>
      <c r="N583" s="22" t="s">
        <v>510</v>
      </c>
      <c r="O583" s="22" t="s">
        <v>511</v>
      </c>
      <c r="P583" s="20" t="s">
        <v>512</v>
      </c>
      <c r="Q583" s="20" t="s">
        <v>512</v>
      </c>
      <c r="R583" s="34">
        <v>1425000.0</v>
      </c>
      <c r="S583" s="34">
        <v>1425000.0</v>
      </c>
      <c r="T583" s="34">
        <v>1425000.0</v>
      </c>
      <c r="U583" s="20" t="s">
        <v>71</v>
      </c>
      <c r="V583" s="20"/>
      <c r="W583" s="38">
        <f t="shared" si="6"/>
        <v>1425000</v>
      </c>
      <c r="X583" s="20"/>
      <c r="Y583" s="38">
        <f t="shared" si="7"/>
        <v>1425000</v>
      </c>
      <c r="Z583" s="24">
        <f t="shared" si="3"/>
        <v>1</v>
      </c>
      <c r="AA583" s="23">
        <f t="shared" si="5"/>
        <v>1425000</v>
      </c>
      <c r="AB583" s="20"/>
      <c r="AC583" s="20"/>
      <c r="AD583" s="20"/>
      <c r="AE583" s="20"/>
      <c r="AF583" s="20"/>
      <c r="AG583" s="20"/>
      <c r="AH583" s="20"/>
      <c r="AI583" s="20"/>
      <c r="AJ583" s="20"/>
      <c r="AK583" s="20"/>
      <c r="AL583" s="20"/>
      <c r="AM583" s="20"/>
      <c r="AN583" s="20"/>
      <c r="AO583" s="20"/>
      <c r="AP583" s="20"/>
      <c r="AQ583" s="20"/>
      <c r="AR583" s="20"/>
      <c r="AS583" s="20"/>
      <c r="AT583" s="20"/>
    </row>
    <row r="584">
      <c r="A584" s="20">
        <v>582.0</v>
      </c>
      <c r="B584" s="29" t="s">
        <v>602</v>
      </c>
      <c r="C584" s="20"/>
      <c r="D584" s="20"/>
      <c r="E584" s="20"/>
      <c r="F584" s="20"/>
      <c r="G584" s="20"/>
      <c r="H584" s="33" t="s">
        <v>65</v>
      </c>
      <c r="I584" s="33" t="s">
        <v>66</v>
      </c>
      <c r="J584" s="21"/>
      <c r="K584" s="20" t="str">
        <f t="shared" si="1"/>
        <v>ROADS,TRANSPORT AND PUBLIC WORKS</v>
      </c>
      <c r="L584" s="20" t="s">
        <v>107</v>
      </c>
      <c r="M584" s="20" t="str">
        <f t="shared" si="2"/>
        <v>ROADS,TRANSPORT AND PUBLIC WORKS</v>
      </c>
      <c r="N584" s="22" t="s">
        <v>510</v>
      </c>
      <c r="O584" s="22" t="s">
        <v>511</v>
      </c>
      <c r="P584" s="20" t="s">
        <v>512</v>
      </c>
      <c r="Q584" s="20" t="s">
        <v>512</v>
      </c>
      <c r="R584" s="34">
        <v>4276862.0</v>
      </c>
      <c r="S584" s="34">
        <v>4276862.0</v>
      </c>
      <c r="T584" s="34">
        <v>4276862.0</v>
      </c>
      <c r="U584" s="20" t="s">
        <v>71</v>
      </c>
      <c r="V584" s="20"/>
      <c r="W584" s="38">
        <f t="shared" si="6"/>
        <v>4276862</v>
      </c>
      <c r="X584" s="20"/>
      <c r="Y584" s="38">
        <f t="shared" si="7"/>
        <v>4276862</v>
      </c>
      <c r="Z584" s="24">
        <f t="shared" si="3"/>
        <v>1</v>
      </c>
      <c r="AA584" s="23">
        <f t="shared" si="5"/>
        <v>4276862</v>
      </c>
      <c r="AB584" s="20"/>
      <c r="AC584" s="20"/>
      <c r="AD584" s="20"/>
      <c r="AE584" s="20"/>
      <c r="AF584" s="20"/>
      <c r="AG584" s="20"/>
      <c r="AH584" s="20"/>
      <c r="AI584" s="20"/>
      <c r="AJ584" s="20"/>
      <c r="AK584" s="20"/>
      <c r="AL584" s="20"/>
      <c r="AM584" s="20"/>
      <c r="AN584" s="20"/>
      <c r="AO584" s="20"/>
      <c r="AP584" s="20"/>
      <c r="AQ584" s="20"/>
      <c r="AR584" s="20"/>
      <c r="AS584" s="20"/>
      <c r="AT584" s="20"/>
    </row>
    <row r="585">
      <c r="A585" s="20">
        <v>583.0</v>
      </c>
      <c r="B585" s="29" t="s">
        <v>603</v>
      </c>
      <c r="C585" s="20"/>
      <c r="D585" s="20"/>
      <c r="E585" s="20"/>
      <c r="F585" s="20"/>
      <c r="G585" s="20"/>
      <c r="H585" s="33" t="s">
        <v>65</v>
      </c>
      <c r="I585" s="33" t="s">
        <v>66</v>
      </c>
      <c r="J585" s="21"/>
      <c r="K585" s="20" t="str">
        <f t="shared" si="1"/>
        <v>ROADS,TRANSPORT AND PUBLIC WORKS</v>
      </c>
      <c r="L585" s="20" t="s">
        <v>107</v>
      </c>
      <c r="M585" s="20" t="str">
        <f t="shared" si="2"/>
        <v>ROADS,TRANSPORT AND PUBLIC WORKS</v>
      </c>
      <c r="N585" s="22" t="s">
        <v>510</v>
      </c>
      <c r="O585" s="22" t="s">
        <v>511</v>
      </c>
      <c r="P585" s="20" t="s">
        <v>512</v>
      </c>
      <c r="Q585" s="20" t="s">
        <v>512</v>
      </c>
      <c r="R585" s="34">
        <v>4738600.0</v>
      </c>
      <c r="S585" s="34">
        <v>4738600.0</v>
      </c>
      <c r="T585" s="34">
        <v>4738600.0</v>
      </c>
      <c r="U585" s="20" t="s">
        <v>71</v>
      </c>
      <c r="V585" s="20"/>
      <c r="W585" s="38">
        <f t="shared" si="6"/>
        <v>4738600</v>
      </c>
      <c r="X585" s="20"/>
      <c r="Y585" s="38">
        <f t="shared" si="7"/>
        <v>4738600</v>
      </c>
      <c r="Z585" s="24">
        <f t="shared" si="3"/>
        <v>1</v>
      </c>
      <c r="AA585" s="23">
        <f t="shared" si="5"/>
        <v>4738600</v>
      </c>
      <c r="AB585" s="20"/>
      <c r="AC585" s="20"/>
      <c r="AD585" s="20"/>
      <c r="AE585" s="20"/>
      <c r="AF585" s="20"/>
      <c r="AG585" s="20"/>
      <c r="AH585" s="20"/>
      <c r="AI585" s="20"/>
      <c r="AJ585" s="20"/>
      <c r="AK585" s="20"/>
      <c r="AL585" s="20"/>
      <c r="AM585" s="20"/>
      <c r="AN585" s="20"/>
      <c r="AO585" s="20"/>
      <c r="AP585" s="20"/>
      <c r="AQ585" s="20"/>
      <c r="AR585" s="20"/>
      <c r="AS585" s="20"/>
      <c r="AT585" s="20"/>
    </row>
    <row r="586">
      <c r="A586" s="20">
        <v>584.0</v>
      </c>
      <c r="B586" s="29" t="s">
        <v>604</v>
      </c>
      <c r="C586" s="20"/>
      <c r="D586" s="20"/>
      <c r="E586" s="20"/>
      <c r="F586" s="20"/>
      <c r="G586" s="20"/>
      <c r="H586" s="33" t="s">
        <v>65</v>
      </c>
      <c r="I586" s="33" t="s">
        <v>66</v>
      </c>
      <c r="J586" s="21"/>
      <c r="K586" s="20" t="str">
        <f t="shared" si="1"/>
        <v>ROADS,TRANSPORT AND PUBLIC WORKS</v>
      </c>
      <c r="L586" s="20" t="s">
        <v>107</v>
      </c>
      <c r="M586" s="20" t="str">
        <f t="shared" si="2"/>
        <v>ROADS,TRANSPORT AND PUBLIC WORKS</v>
      </c>
      <c r="N586" s="22" t="s">
        <v>510</v>
      </c>
      <c r="O586" s="22" t="s">
        <v>511</v>
      </c>
      <c r="P586" s="20" t="s">
        <v>512</v>
      </c>
      <c r="Q586" s="20" t="s">
        <v>512</v>
      </c>
      <c r="R586" s="34">
        <v>4148704.8</v>
      </c>
      <c r="S586" s="34">
        <v>4148704.8</v>
      </c>
      <c r="T586" s="34">
        <v>4148704.8</v>
      </c>
      <c r="U586" s="20" t="s">
        <v>71</v>
      </c>
      <c r="V586" s="20"/>
      <c r="W586" s="38">
        <f t="shared" si="6"/>
        <v>4148704.8</v>
      </c>
      <c r="X586" s="20"/>
      <c r="Y586" s="38">
        <f t="shared" si="7"/>
        <v>4148704.8</v>
      </c>
      <c r="Z586" s="24">
        <f t="shared" si="3"/>
        <v>1</v>
      </c>
      <c r="AA586" s="23">
        <f t="shared" si="5"/>
        <v>4148704.8</v>
      </c>
      <c r="AB586" s="20"/>
      <c r="AC586" s="20"/>
      <c r="AD586" s="20"/>
      <c r="AE586" s="20"/>
      <c r="AF586" s="20"/>
      <c r="AG586" s="20"/>
      <c r="AH586" s="20"/>
      <c r="AI586" s="20"/>
      <c r="AJ586" s="20"/>
      <c r="AK586" s="20"/>
      <c r="AL586" s="20"/>
      <c r="AM586" s="20"/>
      <c r="AN586" s="20"/>
      <c r="AO586" s="20"/>
      <c r="AP586" s="20"/>
      <c r="AQ586" s="20"/>
      <c r="AR586" s="20"/>
      <c r="AS586" s="20"/>
      <c r="AT586" s="20"/>
    </row>
    <row r="587">
      <c r="A587" s="20">
        <v>585.0</v>
      </c>
      <c r="B587" s="29" t="s">
        <v>600</v>
      </c>
      <c r="C587" s="20"/>
      <c r="D587" s="20"/>
      <c r="E587" s="20"/>
      <c r="F587" s="20"/>
      <c r="G587" s="20"/>
      <c r="H587" s="33" t="s">
        <v>65</v>
      </c>
      <c r="I587" s="33" t="s">
        <v>66</v>
      </c>
      <c r="J587" s="21"/>
      <c r="K587" s="20" t="str">
        <f t="shared" si="1"/>
        <v>ROADS,TRANSPORT AND PUBLIC WORKS</v>
      </c>
      <c r="L587" s="20" t="s">
        <v>107</v>
      </c>
      <c r="M587" s="20" t="str">
        <f t="shared" si="2"/>
        <v>ROADS,TRANSPORT AND PUBLIC WORKS</v>
      </c>
      <c r="N587" s="22" t="s">
        <v>510</v>
      </c>
      <c r="O587" s="22" t="s">
        <v>511</v>
      </c>
      <c r="P587" s="20" t="s">
        <v>512</v>
      </c>
      <c r="Q587" s="20" t="s">
        <v>512</v>
      </c>
      <c r="R587" s="34">
        <v>4678311.0</v>
      </c>
      <c r="S587" s="34">
        <v>4678311.0</v>
      </c>
      <c r="T587" s="34">
        <v>4678311.0</v>
      </c>
      <c r="U587" s="20" t="s">
        <v>71</v>
      </c>
      <c r="V587" s="20"/>
      <c r="W587" s="38">
        <f t="shared" si="6"/>
        <v>4678311</v>
      </c>
      <c r="X587" s="20"/>
      <c r="Y587" s="38">
        <f t="shared" si="7"/>
        <v>4678311</v>
      </c>
      <c r="Z587" s="24">
        <f t="shared" si="3"/>
        <v>1</v>
      </c>
      <c r="AA587" s="23">
        <f t="shared" si="5"/>
        <v>4678311</v>
      </c>
      <c r="AB587" s="20"/>
      <c r="AC587" s="20"/>
      <c r="AD587" s="20"/>
      <c r="AE587" s="20"/>
      <c r="AF587" s="20"/>
      <c r="AG587" s="20"/>
      <c r="AH587" s="20"/>
      <c r="AI587" s="20"/>
      <c r="AJ587" s="20"/>
      <c r="AK587" s="20"/>
      <c r="AL587" s="20"/>
      <c r="AM587" s="20"/>
      <c r="AN587" s="20"/>
      <c r="AO587" s="20"/>
      <c r="AP587" s="20"/>
      <c r="AQ587" s="20"/>
      <c r="AR587" s="20"/>
      <c r="AS587" s="20"/>
      <c r="AT587" s="20"/>
    </row>
    <row r="588">
      <c r="A588" s="20">
        <v>586.0</v>
      </c>
      <c r="B588" s="29" t="s">
        <v>605</v>
      </c>
      <c r="C588" s="20"/>
      <c r="D588" s="20"/>
      <c r="E588" s="20"/>
      <c r="F588" s="20"/>
      <c r="G588" s="20"/>
      <c r="H588" s="33" t="s">
        <v>65</v>
      </c>
      <c r="I588" s="33" t="s">
        <v>66</v>
      </c>
      <c r="J588" s="21"/>
      <c r="K588" s="20" t="str">
        <f t="shared" si="1"/>
        <v>ROADS,TRANSPORT AND PUBLIC WORKS</v>
      </c>
      <c r="L588" s="20" t="s">
        <v>107</v>
      </c>
      <c r="M588" s="20" t="str">
        <f t="shared" si="2"/>
        <v>ROADS,TRANSPORT AND PUBLIC WORKS</v>
      </c>
      <c r="N588" s="22" t="s">
        <v>510</v>
      </c>
      <c r="O588" s="22" t="s">
        <v>511</v>
      </c>
      <c r="P588" s="20" t="s">
        <v>512</v>
      </c>
      <c r="Q588" s="20" t="s">
        <v>512</v>
      </c>
      <c r="R588" s="34">
        <v>3182500.0</v>
      </c>
      <c r="S588" s="34">
        <v>3182500.0</v>
      </c>
      <c r="T588" s="34">
        <v>3182500.0</v>
      </c>
      <c r="U588" s="20" t="s">
        <v>71</v>
      </c>
      <c r="V588" s="20"/>
      <c r="W588" s="38">
        <f t="shared" si="6"/>
        <v>3182500</v>
      </c>
      <c r="X588" s="20"/>
      <c r="Y588" s="38">
        <f t="shared" si="7"/>
        <v>3182500</v>
      </c>
      <c r="Z588" s="24">
        <f t="shared" si="3"/>
        <v>1</v>
      </c>
      <c r="AA588" s="23">
        <f t="shared" si="5"/>
        <v>3182500</v>
      </c>
      <c r="AB588" s="20"/>
      <c r="AC588" s="20"/>
      <c r="AD588" s="20"/>
      <c r="AE588" s="20"/>
      <c r="AF588" s="20"/>
      <c r="AG588" s="20"/>
      <c r="AH588" s="20"/>
      <c r="AI588" s="20"/>
      <c r="AJ588" s="20"/>
      <c r="AK588" s="20"/>
      <c r="AL588" s="20"/>
      <c r="AM588" s="20"/>
      <c r="AN588" s="20"/>
      <c r="AO588" s="20"/>
      <c r="AP588" s="20"/>
      <c r="AQ588" s="20"/>
      <c r="AR588" s="20"/>
      <c r="AS588" s="20"/>
      <c r="AT588" s="20"/>
    </row>
    <row r="589">
      <c r="A589" s="20">
        <v>587.0</v>
      </c>
      <c r="B589" s="29" t="s">
        <v>602</v>
      </c>
      <c r="C589" s="20"/>
      <c r="D589" s="20"/>
      <c r="E589" s="20"/>
      <c r="F589" s="20"/>
      <c r="G589" s="20"/>
      <c r="H589" s="33" t="s">
        <v>65</v>
      </c>
      <c r="I589" s="33" t="s">
        <v>66</v>
      </c>
      <c r="J589" s="21"/>
      <c r="K589" s="20" t="str">
        <f t="shared" si="1"/>
        <v>ROADS,TRANSPORT AND PUBLIC WORKS</v>
      </c>
      <c r="L589" s="20" t="s">
        <v>107</v>
      </c>
      <c r="M589" s="20" t="str">
        <f t="shared" si="2"/>
        <v>ROADS,TRANSPORT AND PUBLIC WORKS</v>
      </c>
      <c r="N589" s="22" t="s">
        <v>510</v>
      </c>
      <c r="O589" s="22" t="s">
        <v>511</v>
      </c>
      <c r="P589" s="20" t="s">
        <v>512</v>
      </c>
      <c r="Q589" s="20" t="s">
        <v>512</v>
      </c>
      <c r="R589" s="34">
        <v>4738600.0</v>
      </c>
      <c r="S589" s="34">
        <v>4738600.0</v>
      </c>
      <c r="T589" s="34">
        <v>4738600.0</v>
      </c>
      <c r="U589" s="20" t="s">
        <v>71</v>
      </c>
      <c r="V589" s="20"/>
      <c r="W589" s="38">
        <f t="shared" si="6"/>
        <v>4738600</v>
      </c>
      <c r="X589" s="20"/>
      <c r="Y589" s="38">
        <f t="shared" si="7"/>
        <v>4738600</v>
      </c>
      <c r="Z589" s="24">
        <f t="shared" si="3"/>
        <v>1</v>
      </c>
      <c r="AA589" s="23">
        <f t="shared" si="5"/>
        <v>4738600</v>
      </c>
      <c r="AB589" s="20"/>
      <c r="AC589" s="20"/>
      <c r="AD589" s="20"/>
      <c r="AE589" s="20"/>
      <c r="AF589" s="20"/>
      <c r="AG589" s="20"/>
      <c r="AH589" s="20"/>
      <c r="AI589" s="20"/>
      <c r="AJ589" s="20"/>
      <c r="AK589" s="20"/>
      <c r="AL589" s="20"/>
      <c r="AM589" s="20"/>
      <c r="AN589" s="20"/>
      <c r="AO589" s="20"/>
      <c r="AP589" s="20"/>
      <c r="AQ589" s="20"/>
      <c r="AR589" s="20"/>
      <c r="AS589" s="20"/>
      <c r="AT589" s="20"/>
    </row>
    <row r="590">
      <c r="A590" s="20">
        <v>588.0</v>
      </c>
      <c r="B590" s="29" t="s">
        <v>606</v>
      </c>
      <c r="C590" s="20"/>
      <c r="D590" s="20"/>
      <c r="E590" s="20"/>
      <c r="F590" s="20"/>
      <c r="G590" s="20"/>
      <c r="H590" s="33" t="s">
        <v>65</v>
      </c>
      <c r="I590" s="33" t="s">
        <v>66</v>
      </c>
      <c r="J590" s="21"/>
      <c r="K590" s="20" t="str">
        <f t="shared" si="1"/>
        <v>ROADS,TRANSPORT AND PUBLIC WORKS</v>
      </c>
      <c r="L590" s="20" t="s">
        <v>107</v>
      </c>
      <c r="M590" s="20" t="str">
        <f t="shared" si="2"/>
        <v>ROADS,TRANSPORT AND PUBLIC WORKS</v>
      </c>
      <c r="N590" s="22" t="s">
        <v>510</v>
      </c>
      <c r="O590" s="22" t="s">
        <v>511</v>
      </c>
      <c r="P590" s="20" t="s">
        <v>512</v>
      </c>
      <c r="Q590" s="20" t="s">
        <v>512</v>
      </c>
      <c r="R590" s="34">
        <v>1572828.0</v>
      </c>
      <c r="S590" s="34">
        <v>1572828.0</v>
      </c>
      <c r="T590" s="34">
        <v>1572828.0</v>
      </c>
      <c r="U590" s="20" t="s">
        <v>71</v>
      </c>
      <c r="V590" s="20"/>
      <c r="W590" s="38">
        <f t="shared" si="6"/>
        <v>1572828</v>
      </c>
      <c r="X590" s="20"/>
      <c r="Y590" s="38">
        <f t="shared" si="7"/>
        <v>1572828</v>
      </c>
      <c r="Z590" s="24">
        <f t="shared" si="3"/>
        <v>1</v>
      </c>
      <c r="AA590" s="23">
        <f t="shared" si="5"/>
        <v>1572828</v>
      </c>
      <c r="AB590" s="20"/>
      <c r="AC590" s="20"/>
      <c r="AD590" s="20"/>
      <c r="AE590" s="20"/>
      <c r="AF590" s="20"/>
      <c r="AG590" s="20"/>
      <c r="AH590" s="20"/>
      <c r="AI590" s="20"/>
      <c r="AJ590" s="20"/>
      <c r="AK590" s="20"/>
      <c r="AL590" s="20"/>
      <c r="AM590" s="20"/>
      <c r="AN590" s="20"/>
      <c r="AO590" s="20"/>
      <c r="AP590" s="20"/>
      <c r="AQ590" s="20"/>
      <c r="AR590" s="20"/>
      <c r="AS590" s="20"/>
      <c r="AT590" s="20"/>
    </row>
    <row r="591">
      <c r="A591" s="20">
        <v>589.0</v>
      </c>
      <c r="B591" s="29" t="s">
        <v>607</v>
      </c>
      <c r="C591" s="20"/>
      <c r="D591" s="20"/>
      <c r="E591" s="20"/>
      <c r="F591" s="20"/>
      <c r="G591" s="20"/>
      <c r="H591" s="33" t="s">
        <v>65</v>
      </c>
      <c r="I591" s="33" t="s">
        <v>66</v>
      </c>
      <c r="J591" s="21"/>
      <c r="K591" s="20" t="str">
        <f t="shared" si="1"/>
        <v>ROADS,TRANSPORT AND PUBLIC WORKS</v>
      </c>
      <c r="L591" s="20" t="s">
        <v>107</v>
      </c>
      <c r="M591" s="20" t="str">
        <f t="shared" si="2"/>
        <v>ROADS,TRANSPORT AND PUBLIC WORKS</v>
      </c>
      <c r="N591" s="22" t="s">
        <v>510</v>
      </c>
      <c r="O591" s="22" t="s">
        <v>511</v>
      </c>
      <c r="P591" s="20" t="s">
        <v>512</v>
      </c>
      <c r="Q591" s="20" t="s">
        <v>512</v>
      </c>
      <c r="R591" s="34">
        <v>3404826.4</v>
      </c>
      <c r="S591" s="34">
        <v>3404826.4</v>
      </c>
      <c r="T591" s="34">
        <v>3404826.4</v>
      </c>
      <c r="U591" s="20" t="s">
        <v>71</v>
      </c>
      <c r="V591" s="20"/>
      <c r="W591" s="38">
        <f t="shared" si="6"/>
        <v>3404826.4</v>
      </c>
      <c r="X591" s="20"/>
      <c r="Y591" s="38">
        <f t="shared" si="7"/>
        <v>3404826.4</v>
      </c>
      <c r="Z591" s="24">
        <f t="shared" si="3"/>
        <v>1</v>
      </c>
      <c r="AA591" s="23">
        <f t="shared" si="5"/>
        <v>3404826.4</v>
      </c>
      <c r="AB591" s="20"/>
      <c r="AC591" s="20"/>
      <c r="AD591" s="20"/>
      <c r="AE591" s="20"/>
      <c r="AF591" s="20"/>
      <c r="AG591" s="20"/>
      <c r="AH591" s="20"/>
      <c r="AI591" s="20"/>
      <c r="AJ591" s="20"/>
      <c r="AK591" s="20"/>
      <c r="AL591" s="20"/>
      <c r="AM591" s="20"/>
      <c r="AN591" s="20"/>
      <c r="AO591" s="20"/>
      <c r="AP591" s="20"/>
      <c r="AQ591" s="20"/>
      <c r="AR591" s="20"/>
      <c r="AS591" s="20"/>
      <c r="AT591" s="20"/>
    </row>
    <row r="592">
      <c r="A592" s="20">
        <v>590.0</v>
      </c>
      <c r="B592" s="29" t="s">
        <v>607</v>
      </c>
      <c r="C592" s="20"/>
      <c r="D592" s="20"/>
      <c r="E592" s="20"/>
      <c r="F592" s="20"/>
      <c r="G592" s="20"/>
      <c r="H592" s="33" t="s">
        <v>65</v>
      </c>
      <c r="I592" s="33" t="s">
        <v>66</v>
      </c>
      <c r="J592" s="21"/>
      <c r="K592" s="20" t="str">
        <f t="shared" si="1"/>
        <v>ROADS,TRANSPORT AND PUBLIC WORKS</v>
      </c>
      <c r="L592" s="20" t="s">
        <v>107</v>
      </c>
      <c r="M592" s="20" t="str">
        <f t="shared" si="2"/>
        <v>ROADS,TRANSPORT AND PUBLIC WORKS</v>
      </c>
      <c r="N592" s="22" t="s">
        <v>510</v>
      </c>
      <c r="O592" s="22" t="s">
        <v>511</v>
      </c>
      <c r="P592" s="20" t="s">
        <v>512</v>
      </c>
      <c r="Q592" s="20" t="s">
        <v>512</v>
      </c>
      <c r="R592" s="34">
        <v>3600000.0</v>
      </c>
      <c r="S592" s="34">
        <v>3600000.0</v>
      </c>
      <c r="T592" s="34">
        <v>3600000.0</v>
      </c>
      <c r="U592" s="20" t="s">
        <v>71</v>
      </c>
      <c r="V592" s="20"/>
      <c r="W592" s="38">
        <f t="shared" si="6"/>
        <v>3600000</v>
      </c>
      <c r="X592" s="20"/>
      <c r="Y592" s="38">
        <f t="shared" si="7"/>
        <v>3600000</v>
      </c>
      <c r="Z592" s="24">
        <f t="shared" si="3"/>
        <v>1</v>
      </c>
      <c r="AA592" s="23">
        <f t="shared" si="5"/>
        <v>3600000</v>
      </c>
      <c r="AB592" s="20"/>
      <c r="AC592" s="20"/>
      <c r="AD592" s="20"/>
      <c r="AE592" s="20"/>
      <c r="AF592" s="20"/>
      <c r="AG592" s="20"/>
      <c r="AH592" s="20"/>
      <c r="AI592" s="20"/>
      <c r="AJ592" s="20"/>
      <c r="AK592" s="20"/>
      <c r="AL592" s="20"/>
      <c r="AM592" s="20"/>
      <c r="AN592" s="20"/>
      <c r="AO592" s="20"/>
      <c r="AP592" s="20"/>
      <c r="AQ592" s="20"/>
      <c r="AR592" s="20"/>
      <c r="AS592" s="20"/>
      <c r="AT592" s="20"/>
    </row>
    <row r="593">
      <c r="A593" s="20">
        <v>591.0</v>
      </c>
      <c r="B593" s="29" t="s">
        <v>607</v>
      </c>
      <c r="C593" s="20"/>
      <c r="D593" s="20"/>
      <c r="E593" s="20"/>
      <c r="F593" s="20"/>
      <c r="G593" s="20"/>
      <c r="H593" s="33" t="s">
        <v>65</v>
      </c>
      <c r="I593" s="33" t="s">
        <v>66</v>
      </c>
      <c r="J593" s="21"/>
      <c r="K593" s="20" t="str">
        <f t="shared" si="1"/>
        <v>ROADS,TRANSPORT AND PUBLIC WORKS</v>
      </c>
      <c r="L593" s="20" t="s">
        <v>107</v>
      </c>
      <c r="M593" s="20" t="str">
        <f t="shared" si="2"/>
        <v>ROADS,TRANSPORT AND PUBLIC WORKS</v>
      </c>
      <c r="N593" s="22" t="s">
        <v>510</v>
      </c>
      <c r="O593" s="22" t="s">
        <v>511</v>
      </c>
      <c r="P593" s="20" t="s">
        <v>512</v>
      </c>
      <c r="Q593" s="20" t="s">
        <v>512</v>
      </c>
      <c r="R593" s="34">
        <v>3794775.85</v>
      </c>
      <c r="S593" s="34">
        <v>3794775.85</v>
      </c>
      <c r="T593" s="34">
        <v>3794775.85</v>
      </c>
      <c r="U593" s="20" t="s">
        <v>71</v>
      </c>
      <c r="V593" s="20"/>
      <c r="W593" s="38">
        <f t="shared" si="6"/>
        <v>3794775.85</v>
      </c>
      <c r="X593" s="20"/>
      <c r="Y593" s="38">
        <f t="shared" si="7"/>
        <v>3794775.85</v>
      </c>
      <c r="Z593" s="24">
        <f t="shared" si="3"/>
        <v>1</v>
      </c>
      <c r="AA593" s="23">
        <f t="shared" si="5"/>
        <v>3794775.85</v>
      </c>
      <c r="AB593" s="20"/>
      <c r="AC593" s="20"/>
      <c r="AD593" s="20"/>
      <c r="AE593" s="20"/>
      <c r="AF593" s="20"/>
      <c r="AG593" s="20"/>
      <c r="AH593" s="20"/>
      <c r="AI593" s="20"/>
      <c r="AJ593" s="20"/>
      <c r="AK593" s="20"/>
      <c r="AL593" s="20"/>
      <c r="AM593" s="20"/>
      <c r="AN593" s="20"/>
      <c r="AO593" s="20"/>
      <c r="AP593" s="20"/>
      <c r="AQ593" s="20"/>
      <c r="AR593" s="20"/>
      <c r="AS593" s="20"/>
      <c r="AT593" s="20"/>
    </row>
    <row r="594">
      <c r="A594" s="20">
        <v>592.0</v>
      </c>
      <c r="B594" s="29" t="s">
        <v>607</v>
      </c>
      <c r="C594" s="20"/>
      <c r="D594" s="20"/>
      <c r="E594" s="20"/>
      <c r="F594" s="20"/>
      <c r="G594" s="20"/>
      <c r="H594" s="33" t="s">
        <v>65</v>
      </c>
      <c r="I594" s="33" t="s">
        <v>66</v>
      </c>
      <c r="J594" s="21"/>
      <c r="K594" s="20" t="str">
        <f t="shared" si="1"/>
        <v>ROADS,TRANSPORT AND PUBLIC WORKS</v>
      </c>
      <c r="L594" s="20" t="s">
        <v>107</v>
      </c>
      <c r="M594" s="20" t="str">
        <f t="shared" si="2"/>
        <v>ROADS,TRANSPORT AND PUBLIC WORKS</v>
      </c>
      <c r="N594" s="22" t="s">
        <v>510</v>
      </c>
      <c r="O594" s="22" t="s">
        <v>511</v>
      </c>
      <c r="P594" s="20" t="s">
        <v>512</v>
      </c>
      <c r="Q594" s="20" t="s">
        <v>512</v>
      </c>
      <c r="R594" s="34">
        <v>3794775.85</v>
      </c>
      <c r="S594" s="34">
        <v>3794775.85</v>
      </c>
      <c r="T594" s="34">
        <v>3794775.85</v>
      </c>
      <c r="U594" s="20" t="s">
        <v>71</v>
      </c>
      <c r="V594" s="20"/>
      <c r="W594" s="38">
        <f t="shared" si="6"/>
        <v>3794775.85</v>
      </c>
      <c r="X594" s="20"/>
      <c r="Y594" s="38">
        <f t="shared" si="7"/>
        <v>3794775.85</v>
      </c>
      <c r="Z594" s="24">
        <f t="shared" si="3"/>
        <v>1</v>
      </c>
      <c r="AA594" s="23">
        <f t="shared" si="5"/>
        <v>3794775.85</v>
      </c>
      <c r="AB594" s="20"/>
      <c r="AC594" s="20"/>
      <c r="AD594" s="20"/>
      <c r="AE594" s="20"/>
      <c r="AF594" s="20"/>
      <c r="AG594" s="20"/>
      <c r="AH594" s="20"/>
      <c r="AI594" s="20"/>
      <c r="AJ594" s="20"/>
      <c r="AK594" s="20"/>
      <c r="AL594" s="20"/>
      <c r="AM594" s="20"/>
      <c r="AN594" s="20"/>
      <c r="AO594" s="20"/>
      <c r="AP594" s="20"/>
      <c r="AQ594" s="20"/>
      <c r="AR594" s="20"/>
      <c r="AS594" s="20"/>
      <c r="AT594" s="20"/>
    </row>
    <row r="595">
      <c r="A595" s="20">
        <v>593.0</v>
      </c>
      <c r="B595" s="29" t="s">
        <v>607</v>
      </c>
      <c r="C595" s="20"/>
      <c r="D595" s="20"/>
      <c r="E595" s="20"/>
      <c r="F595" s="20"/>
      <c r="G595" s="20"/>
      <c r="H595" s="33" t="s">
        <v>65</v>
      </c>
      <c r="I595" s="33" t="s">
        <v>66</v>
      </c>
      <c r="J595" s="21"/>
      <c r="K595" s="20" t="str">
        <f t="shared" si="1"/>
        <v>ROADS,TRANSPORT AND PUBLIC WORKS</v>
      </c>
      <c r="L595" s="20" t="s">
        <v>107</v>
      </c>
      <c r="M595" s="20" t="str">
        <f t="shared" si="2"/>
        <v>ROADS,TRANSPORT AND PUBLIC WORKS</v>
      </c>
      <c r="N595" s="22" t="s">
        <v>510</v>
      </c>
      <c r="O595" s="22" t="s">
        <v>511</v>
      </c>
      <c r="P595" s="20" t="s">
        <v>512</v>
      </c>
      <c r="Q595" s="20" t="s">
        <v>512</v>
      </c>
      <c r="R595" s="34">
        <v>3962121.2</v>
      </c>
      <c r="S595" s="34">
        <v>3962121.2</v>
      </c>
      <c r="T595" s="34">
        <v>3962121.2</v>
      </c>
      <c r="U595" s="20" t="s">
        <v>71</v>
      </c>
      <c r="V595" s="20"/>
      <c r="W595" s="38">
        <f t="shared" si="6"/>
        <v>3962121.2</v>
      </c>
      <c r="X595" s="20"/>
      <c r="Y595" s="38">
        <f t="shared" si="7"/>
        <v>3962121.2</v>
      </c>
      <c r="Z595" s="24">
        <f t="shared" si="3"/>
        <v>1</v>
      </c>
      <c r="AA595" s="23">
        <f t="shared" si="5"/>
        <v>3962121.2</v>
      </c>
      <c r="AB595" s="20"/>
      <c r="AC595" s="20"/>
      <c r="AD595" s="20"/>
      <c r="AE595" s="20"/>
      <c r="AF595" s="20"/>
      <c r="AG595" s="20"/>
      <c r="AH595" s="20"/>
      <c r="AI595" s="20"/>
      <c r="AJ595" s="20"/>
      <c r="AK595" s="20"/>
      <c r="AL595" s="20"/>
      <c r="AM595" s="20"/>
      <c r="AN595" s="20"/>
      <c r="AO595" s="20"/>
      <c r="AP595" s="20"/>
      <c r="AQ595" s="20"/>
      <c r="AR595" s="20"/>
      <c r="AS595" s="20"/>
      <c r="AT595" s="20"/>
    </row>
    <row r="596">
      <c r="A596" s="20">
        <v>594.0</v>
      </c>
      <c r="B596" s="29" t="s">
        <v>607</v>
      </c>
      <c r="C596" s="20"/>
      <c r="D596" s="20"/>
      <c r="E596" s="20"/>
      <c r="F596" s="20"/>
      <c r="G596" s="20"/>
      <c r="H596" s="33" t="s">
        <v>65</v>
      </c>
      <c r="I596" s="33" t="s">
        <v>66</v>
      </c>
      <c r="J596" s="21"/>
      <c r="K596" s="20" t="str">
        <f t="shared" si="1"/>
        <v>ROADS,TRANSPORT AND PUBLIC WORKS</v>
      </c>
      <c r="L596" s="20" t="s">
        <v>107</v>
      </c>
      <c r="M596" s="20" t="str">
        <f t="shared" si="2"/>
        <v>ROADS,TRANSPORT AND PUBLIC WORKS</v>
      </c>
      <c r="N596" s="22" t="s">
        <v>510</v>
      </c>
      <c r="O596" s="22" t="s">
        <v>511</v>
      </c>
      <c r="P596" s="20" t="s">
        <v>512</v>
      </c>
      <c r="Q596" s="20" t="s">
        <v>512</v>
      </c>
      <c r="R596" s="34">
        <v>3970648.8</v>
      </c>
      <c r="S596" s="34">
        <v>3970648.8</v>
      </c>
      <c r="T596" s="34">
        <v>3970648.8</v>
      </c>
      <c r="U596" s="20" t="s">
        <v>71</v>
      </c>
      <c r="V596" s="20"/>
      <c r="W596" s="38">
        <f t="shared" si="6"/>
        <v>3970648.8</v>
      </c>
      <c r="X596" s="20"/>
      <c r="Y596" s="38">
        <f t="shared" si="7"/>
        <v>3970648.8</v>
      </c>
      <c r="Z596" s="24">
        <f t="shared" si="3"/>
        <v>1</v>
      </c>
      <c r="AA596" s="23">
        <f t="shared" si="5"/>
        <v>3970648.8</v>
      </c>
      <c r="AB596" s="20"/>
      <c r="AC596" s="20"/>
      <c r="AD596" s="20"/>
      <c r="AE596" s="20"/>
      <c r="AF596" s="20"/>
      <c r="AG596" s="20"/>
      <c r="AH596" s="20"/>
      <c r="AI596" s="20"/>
      <c r="AJ596" s="20"/>
      <c r="AK596" s="20"/>
      <c r="AL596" s="20"/>
      <c r="AM596" s="20"/>
      <c r="AN596" s="20"/>
      <c r="AO596" s="20"/>
      <c r="AP596" s="20"/>
      <c r="AQ596" s="20"/>
      <c r="AR596" s="20"/>
      <c r="AS596" s="20"/>
      <c r="AT596" s="20"/>
    </row>
    <row r="597">
      <c r="A597" s="20">
        <v>595.0</v>
      </c>
      <c r="B597" s="29" t="s">
        <v>607</v>
      </c>
      <c r="C597" s="20"/>
      <c r="D597" s="20"/>
      <c r="E597" s="20"/>
      <c r="F597" s="20"/>
      <c r="G597" s="20"/>
      <c r="H597" s="33" t="s">
        <v>65</v>
      </c>
      <c r="I597" s="33" t="s">
        <v>66</v>
      </c>
      <c r="J597" s="21"/>
      <c r="K597" s="20" t="str">
        <f t="shared" si="1"/>
        <v>ROADS,TRANSPORT AND PUBLIC WORKS</v>
      </c>
      <c r="L597" s="20" t="s">
        <v>107</v>
      </c>
      <c r="M597" s="20" t="str">
        <f t="shared" si="2"/>
        <v>ROADS,TRANSPORT AND PUBLIC WORKS</v>
      </c>
      <c r="N597" s="22" t="s">
        <v>510</v>
      </c>
      <c r="O597" s="22" t="s">
        <v>511</v>
      </c>
      <c r="P597" s="20" t="s">
        <v>512</v>
      </c>
      <c r="Q597" s="20" t="s">
        <v>512</v>
      </c>
      <c r="R597" s="34">
        <v>3600000.0</v>
      </c>
      <c r="S597" s="34">
        <v>3600000.0</v>
      </c>
      <c r="T597" s="34">
        <v>3600000.0</v>
      </c>
      <c r="U597" s="20" t="s">
        <v>71</v>
      </c>
      <c r="V597" s="20"/>
      <c r="W597" s="38">
        <f t="shared" si="6"/>
        <v>3600000</v>
      </c>
      <c r="X597" s="20"/>
      <c r="Y597" s="38">
        <f t="shared" si="7"/>
        <v>3600000</v>
      </c>
      <c r="Z597" s="24">
        <f t="shared" si="3"/>
        <v>1</v>
      </c>
      <c r="AA597" s="23">
        <f t="shared" si="5"/>
        <v>3600000</v>
      </c>
      <c r="AB597" s="20"/>
      <c r="AC597" s="20"/>
      <c r="AD597" s="20"/>
      <c r="AE597" s="20"/>
      <c r="AF597" s="20"/>
      <c r="AG597" s="20"/>
      <c r="AH597" s="20"/>
      <c r="AI597" s="20"/>
      <c r="AJ597" s="20"/>
      <c r="AK597" s="20"/>
      <c r="AL597" s="20"/>
      <c r="AM597" s="20"/>
      <c r="AN597" s="20"/>
      <c r="AO597" s="20"/>
      <c r="AP597" s="20"/>
      <c r="AQ597" s="20"/>
      <c r="AR597" s="20"/>
      <c r="AS597" s="20"/>
      <c r="AT597" s="20"/>
    </row>
    <row r="598">
      <c r="A598" s="20">
        <v>596.0</v>
      </c>
      <c r="B598" s="29" t="s">
        <v>608</v>
      </c>
      <c r="C598" s="20"/>
      <c r="D598" s="20"/>
      <c r="E598" s="20"/>
      <c r="F598" s="20"/>
      <c r="G598" s="20"/>
      <c r="H598" s="33" t="s">
        <v>65</v>
      </c>
      <c r="I598" s="33" t="s">
        <v>87</v>
      </c>
      <c r="J598" s="21"/>
      <c r="K598" s="20" t="str">
        <f t="shared" si="1"/>
        <v>ROADS,TRANSPORT AND PUBLIC WORKS</v>
      </c>
      <c r="L598" s="20" t="s">
        <v>107</v>
      </c>
      <c r="M598" s="20" t="str">
        <f t="shared" si="2"/>
        <v>ROADS,TRANSPORT AND PUBLIC WORKS</v>
      </c>
      <c r="N598" s="22" t="s">
        <v>510</v>
      </c>
      <c r="O598" s="22" t="s">
        <v>511</v>
      </c>
      <c r="P598" s="20" t="s">
        <v>512</v>
      </c>
      <c r="Q598" s="20" t="s">
        <v>512</v>
      </c>
      <c r="R598" s="34">
        <v>2391891.0</v>
      </c>
      <c r="S598" s="34">
        <v>2391891.0</v>
      </c>
      <c r="T598" s="34">
        <v>2391891.0</v>
      </c>
      <c r="U598" s="20" t="s">
        <v>71</v>
      </c>
      <c r="V598" s="20"/>
      <c r="W598" s="38">
        <f t="shared" si="6"/>
        <v>2391891</v>
      </c>
      <c r="X598" s="20"/>
      <c r="Y598" s="38">
        <f t="shared" si="7"/>
        <v>2391891</v>
      </c>
      <c r="Z598" s="24">
        <f t="shared" si="3"/>
        <v>1</v>
      </c>
      <c r="AA598" s="23">
        <f t="shared" si="5"/>
        <v>2391891</v>
      </c>
      <c r="AB598" s="20"/>
      <c r="AC598" s="20"/>
      <c r="AD598" s="20"/>
      <c r="AE598" s="20"/>
      <c r="AF598" s="20"/>
      <c r="AG598" s="20"/>
      <c r="AH598" s="20"/>
      <c r="AI598" s="20"/>
      <c r="AJ598" s="20"/>
      <c r="AK598" s="20"/>
      <c r="AL598" s="20"/>
      <c r="AM598" s="20"/>
      <c r="AN598" s="20"/>
      <c r="AO598" s="20"/>
      <c r="AP598" s="20"/>
      <c r="AQ598" s="20"/>
      <c r="AR598" s="20"/>
      <c r="AS598" s="20"/>
      <c r="AT598" s="20"/>
    </row>
    <row r="599">
      <c r="A599" s="20">
        <v>597.0</v>
      </c>
      <c r="B599" s="29" t="s">
        <v>609</v>
      </c>
      <c r="C599" s="20"/>
      <c r="D599" s="20"/>
      <c r="E599" s="20"/>
      <c r="F599" s="20"/>
      <c r="G599" s="20"/>
      <c r="H599" s="33" t="s">
        <v>65</v>
      </c>
      <c r="I599" s="33" t="s">
        <v>66</v>
      </c>
      <c r="J599" s="21"/>
      <c r="K599" s="20" t="str">
        <f t="shared" si="1"/>
        <v>ROADS,TRANSPORT AND PUBLIC WORKS</v>
      </c>
      <c r="L599" s="20" t="s">
        <v>107</v>
      </c>
      <c r="M599" s="20" t="str">
        <f t="shared" si="2"/>
        <v>ROADS,TRANSPORT AND PUBLIC WORKS</v>
      </c>
      <c r="N599" s="22" t="s">
        <v>510</v>
      </c>
      <c r="O599" s="22" t="s">
        <v>511</v>
      </c>
      <c r="P599" s="20" t="s">
        <v>512</v>
      </c>
      <c r="Q599" s="20" t="s">
        <v>512</v>
      </c>
      <c r="R599" s="34">
        <v>2865200.0</v>
      </c>
      <c r="S599" s="34">
        <v>2865200.0</v>
      </c>
      <c r="T599" s="34">
        <v>2865200.0</v>
      </c>
      <c r="U599" s="20" t="s">
        <v>71</v>
      </c>
      <c r="V599" s="20"/>
      <c r="W599" s="38">
        <f t="shared" si="6"/>
        <v>2865200</v>
      </c>
      <c r="X599" s="20"/>
      <c r="Y599" s="38">
        <f t="shared" si="7"/>
        <v>2865200</v>
      </c>
      <c r="Z599" s="24">
        <f t="shared" si="3"/>
        <v>1</v>
      </c>
      <c r="AA599" s="23">
        <f t="shared" si="5"/>
        <v>2865200</v>
      </c>
      <c r="AB599" s="20"/>
      <c r="AC599" s="20"/>
      <c r="AD599" s="20"/>
      <c r="AE599" s="20"/>
      <c r="AF599" s="20"/>
      <c r="AG599" s="20"/>
      <c r="AH599" s="20"/>
      <c r="AI599" s="20"/>
      <c r="AJ599" s="20"/>
      <c r="AK599" s="20"/>
      <c r="AL599" s="20"/>
      <c r="AM599" s="20"/>
      <c r="AN599" s="20"/>
      <c r="AO599" s="20"/>
      <c r="AP599" s="20"/>
      <c r="AQ599" s="20"/>
      <c r="AR599" s="20"/>
      <c r="AS599" s="20"/>
      <c r="AT599" s="20"/>
    </row>
    <row r="600">
      <c r="A600" s="20">
        <v>598.0</v>
      </c>
      <c r="B600" s="29" t="s">
        <v>610</v>
      </c>
      <c r="C600" s="20"/>
      <c r="D600" s="20"/>
      <c r="E600" s="20"/>
      <c r="F600" s="20"/>
      <c r="G600" s="20"/>
      <c r="H600" s="33" t="s">
        <v>65</v>
      </c>
      <c r="I600" s="33" t="s">
        <v>66</v>
      </c>
      <c r="J600" s="21"/>
      <c r="K600" s="20" t="str">
        <f t="shared" si="1"/>
        <v>ROADS,TRANSPORT AND PUBLIC WORKS</v>
      </c>
      <c r="L600" s="20" t="s">
        <v>107</v>
      </c>
      <c r="M600" s="20" t="str">
        <f t="shared" si="2"/>
        <v>ROADS,TRANSPORT AND PUBLIC WORKS</v>
      </c>
      <c r="N600" s="22" t="s">
        <v>510</v>
      </c>
      <c r="O600" s="22" t="s">
        <v>511</v>
      </c>
      <c r="P600" s="20" t="s">
        <v>512</v>
      </c>
      <c r="Q600" s="20" t="s">
        <v>512</v>
      </c>
      <c r="R600" s="34">
        <v>4703336.0</v>
      </c>
      <c r="S600" s="34">
        <v>4703336.0</v>
      </c>
      <c r="T600" s="34">
        <v>4703336.0</v>
      </c>
      <c r="U600" s="20" t="s">
        <v>71</v>
      </c>
      <c r="V600" s="20"/>
      <c r="W600" s="38">
        <f t="shared" si="6"/>
        <v>4703336</v>
      </c>
      <c r="X600" s="20"/>
      <c r="Y600" s="38">
        <f t="shared" si="7"/>
        <v>4703336</v>
      </c>
      <c r="Z600" s="24">
        <f t="shared" si="3"/>
        <v>1</v>
      </c>
      <c r="AA600" s="23">
        <f t="shared" si="5"/>
        <v>4703336</v>
      </c>
      <c r="AB600" s="20"/>
      <c r="AC600" s="20"/>
      <c r="AD600" s="20"/>
      <c r="AE600" s="20"/>
      <c r="AF600" s="20"/>
      <c r="AG600" s="20"/>
      <c r="AH600" s="20"/>
      <c r="AI600" s="20"/>
      <c r="AJ600" s="20"/>
      <c r="AK600" s="20"/>
      <c r="AL600" s="20"/>
      <c r="AM600" s="20"/>
      <c r="AN600" s="20"/>
      <c r="AO600" s="20"/>
      <c r="AP600" s="20"/>
      <c r="AQ600" s="20"/>
      <c r="AR600" s="20"/>
      <c r="AS600" s="20"/>
      <c r="AT600" s="20"/>
    </row>
    <row r="601">
      <c r="A601" s="20">
        <v>599.0</v>
      </c>
      <c r="B601" s="29" t="s">
        <v>611</v>
      </c>
      <c r="C601" s="20"/>
      <c r="D601" s="20"/>
      <c r="E601" s="20"/>
      <c r="F601" s="20"/>
      <c r="G601" s="20"/>
      <c r="H601" s="33" t="s">
        <v>65</v>
      </c>
      <c r="I601" s="33" t="s">
        <v>66</v>
      </c>
      <c r="J601" s="21"/>
      <c r="K601" s="20" t="str">
        <f t="shared" si="1"/>
        <v>ROADS,TRANSPORT AND PUBLIC WORKS</v>
      </c>
      <c r="L601" s="20" t="s">
        <v>107</v>
      </c>
      <c r="M601" s="20" t="str">
        <f t="shared" si="2"/>
        <v>ROADS,TRANSPORT AND PUBLIC WORKS</v>
      </c>
      <c r="N601" s="22" t="s">
        <v>510</v>
      </c>
      <c r="O601" s="22" t="s">
        <v>511</v>
      </c>
      <c r="P601" s="20" t="s">
        <v>512</v>
      </c>
      <c r="Q601" s="20" t="s">
        <v>512</v>
      </c>
      <c r="R601" s="34">
        <v>4606360.0</v>
      </c>
      <c r="S601" s="34">
        <v>4606360.0</v>
      </c>
      <c r="T601" s="34">
        <v>4606360.0</v>
      </c>
      <c r="U601" s="20" t="s">
        <v>71</v>
      </c>
      <c r="V601" s="20"/>
      <c r="W601" s="38">
        <f t="shared" si="6"/>
        <v>4606360</v>
      </c>
      <c r="X601" s="20"/>
      <c r="Y601" s="38">
        <f t="shared" si="7"/>
        <v>4606360</v>
      </c>
      <c r="Z601" s="24">
        <f t="shared" si="3"/>
        <v>1</v>
      </c>
      <c r="AA601" s="23">
        <f t="shared" si="5"/>
        <v>4606360</v>
      </c>
      <c r="AB601" s="20"/>
      <c r="AC601" s="20"/>
      <c r="AD601" s="20"/>
      <c r="AE601" s="20"/>
      <c r="AF601" s="20"/>
      <c r="AG601" s="20"/>
      <c r="AH601" s="20"/>
      <c r="AI601" s="20"/>
      <c r="AJ601" s="20"/>
      <c r="AK601" s="20"/>
      <c r="AL601" s="20"/>
      <c r="AM601" s="20"/>
      <c r="AN601" s="20"/>
      <c r="AO601" s="20"/>
      <c r="AP601" s="20"/>
      <c r="AQ601" s="20"/>
      <c r="AR601" s="20"/>
      <c r="AS601" s="20"/>
      <c r="AT601" s="20"/>
    </row>
    <row r="602">
      <c r="A602" s="20">
        <v>600.0</v>
      </c>
      <c r="B602" s="29" t="s">
        <v>603</v>
      </c>
      <c r="C602" s="20"/>
      <c r="D602" s="20"/>
      <c r="E602" s="20"/>
      <c r="F602" s="20"/>
      <c r="G602" s="20"/>
      <c r="H602" s="33" t="s">
        <v>65</v>
      </c>
      <c r="I602" s="33" t="s">
        <v>66</v>
      </c>
      <c r="J602" s="21"/>
      <c r="K602" s="20" t="str">
        <f t="shared" si="1"/>
        <v>ROADS,TRANSPORT AND PUBLIC WORKS</v>
      </c>
      <c r="L602" s="20" t="s">
        <v>107</v>
      </c>
      <c r="M602" s="20" t="str">
        <f t="shared" si="2"/>
        <v>ROADS,TRANSPORT AND PUBLIC WORKS</v>
      </c>
      <c r="N602" s="22" t="s">
        <v>510</v>
      </c>
      <c r="O602" s="22" t="s">
        <v>511</v>
      </c>
      <c r="P602" s="20" t="s">
        <v>512</v>
      </c>
      <c r="Q602" s="20" t="s">
        <v>512</v>
      </c>
      <c r="R602" s="34">
        <v>4628400.0</v>
      </c>
      <c r="S602" s="34">
        <v>4628400.0</v>
      </c>
      <c r="T602" s="34">
        <v>4628400.0</v>
      </c>
      <c r="U602" s="20" t="s">
        <v>71</v>
      </c>
      <c r="V602" s="20"/>
      <c r="W602" s="38">
        <f t="shared" si="6"/>
        <v>4628400</v>
      </c>
      <c r="X602" s="20"/>
      <c r="Y602" s="38">
        <f t="shared" si="7"/>
        <v>4628400</v>
      </c>
      <c r="Z602" s="24">
        <f t="shared" si="3"/>
        <v>1</v>
      </c>
      <c r="AA602" s="23">
        <f t="shared" si="5"/>
        <v>4628400</v>
      </c>
      <c r="AB602" s="20"/>
      <c r="AC602" s="20"/>
      <c r="AD602" s="20"/>
      <c r="AE602" s="20"/>
      <c r="AF602" s="20"/>
      <c r="AG602" s="20"/>
      <c r="AH602" s="20"/>
      <c r="AI602" s="20"/>
      <c r="AJ602" s="20"/>
      <c r="AK602" s="20"/>
      <c r="AL602" s="20"/>
      <c r="AM602" s="20"/>
      <c r="AN602" s="20"/>
      <c r="AO602" s="20"/>
      <c r="AP602" s="20"/>
      <c r="AQ602" s="20"/>
      <c r="AR602" s="20"/>
      <c r="AS602" s="20"/>
      <c r="AT602" s="20"/>
    </row>
    <row r="603">
      <c r="A603" s="20">
        <v>601.0</v>
      </c>
      <c r="B603" s="29" t="s">
        <v>612</v>
      </c>
      <c r="C603" s="20"/>
      <c r="D603" s="20"/>
      <c r="E603" s="20"/>
      <c r="F603" s="20"/>
      <c r="G603" s="20"/>
      <c r="H603" s="33" t="s">
        <v>113</v>
      </c>
      <c r="I603" s="33" t="s">
        <v>114</v>
      </c>
      <c r="J603" s="21"/>
      <c r="K603" s="20" t="str">
        <f t="shared" si="1"/>
        <v>ROADS,TRANSPORT AND PUBLIC WORKS</v>
      </c>
      <c r="L603" s="20" t="s">
        <v>107</v>
      </c>
      <c r="M603" s="20" t="str">
        <f t="shared" si="2"/>
        <v>ROADS,TRANSPORT AND PUBLIC WORKS</v>
      </c>
      <c r="N603" s="22" t="s">
        <v>510</v>
      </c>
      <c r="O603" s="22" t="s">
        <v>511</v>
      </c>
      <c r="P603" s="20" t="s">
        <v>512</v>
      </c>
      <c r="Q603" s="20" t="s">
        <v>512</v>
      </c>
      <c r="R603" s="34">
        <v>4687908.0</v>
      </c>
      <c r="S603" s="34">
        <v>4687908.0</v>
      </c>
      <c r="T603" s="34">
        <v>4687908.0</v>
      </c>
      <c r="U603" s="20" t="s">
        <v>71</v>
      </c>
      <c r="V603" s="20"/>
      <c r="W603" s="38">
        <f t="shared" si="6"/>
        <v>4687908</v>
      </c>
      <c r="X603" s="20"/>
      <c r="Y603" s="38">
        <f t="shared" si="7"/>
        <v>4687908</v>
      </c>
      <c r="Z603" s="24">
        <f t="shared" si="3"/>
        <v>1</v>
      </c>
      <c r="AA603" s="23">
        <f t="shared" si="5"/>
        <v>4687908</v>
      </c>
      <c r="AB603" s="20"/>
      <c r="AC603" s="20"/>
      <c r="AD603" s="20"/>
      <c r="AE603" s="20"/>
      <c r="AF603" s="20"/>
      <c r="AG603" s="20"/>
      <c r="AH603" s="20"/>
      <c r="AI603" s="20"/>
      <c r="AJ603" s="20"/>
      <c r="AK603" s="20"/>
      <c r="AL603" s="20"/>
      <c r="AM603" s="20"/>
      <c r="AN603" s="20"/>
      <c r="AO603" s="20"/>
      <c r="AP603" s="20"/>
      <c r="AQ603" s="20"/>
      <c r="AR603" s="20"/>
      <c r="AS603" s="20"/>
      <c r="AT603" s="20"/>
    </row>
    <row r="604">
      <c r="A604" s="20">
        <v>602.0</v>
      </c>
      <c r="B604" s="29" t="s">
        <v>613</v>
      </c>
      <c r="C604" s="20"/>
      <c r="D604" s="20"/>
      <c r="E604" s="20"/>
      <c r="F604" s="20"/>
      <c r="G604" s="20"/>
      <c r="H604" s="33" t="s">
        <v>65</v>
      </c>
      <c r="I604" s="33" t="s">
        <v>66</v>
      </c>
      <c r="J604" s="21"/>
      <c r="K604" s="20" t="str">
        <f t="shared" si="1"/>
        <v>ROADS,TRANSPORT AND PUBLIC WORKS</v>
      </c>
      <c r="L604" s="20" t="s">
        <v>107</v>
      </c>
      <c r="M604" s="20" t="str">
        <f t="shared" si="2"/>
        <v>ROADS,TRANSPORT AND PUBLIC WORKS</v>
      </c>
      <c r="N604" s="22" t="s">
        <v>510</v>
      </c>
      <c r="O604" s="22" t="s">
        <v>511</v>
      </c>
      <c r="P604" s="20" t="s">
        <v>512</v>
      </c>
      <c r="Q604" s="20" t="s">
        <v>512</v>
      </c>
      <c r="R604" s="34">
        <v>3138116.0</v>
      </c>
      <c r="S604" s="34">
        <v>3138116.0</v>
      </c>
      <c r="T604" s="34">
        <v>3138116.0</v>
      </c>
      <c r="U604" s="20" t="s">
        <v>71</v>
      </c>
      <c r="V604" s="20"/>
      <c r="W604" s="38">
        <f t="shared" si="6"/>
        <v>3138116</v>
      </c>
      <c r="X604" s="20"/>
      <c r="Y604" s="38">
        <f t="shared" si="7"/>
        <v>3138116</v>
      </c>
      <c r="Z604" s="24">
        <f t="shared" si="3"/>
        <v>1</v>
      </c>
      <c r="AA604" s="23">
        <f t="shared" si="5"/>
        <v>3138116</v>
      </c>
      <c r="AB604" s="20"/>
      <c r="AC604" s="20"/>
      <c r="AD604" s="20"/>
      <c r="AE604" s="20"/>
      <c r="AF604" s="20"/>
      <c r="AG604" s="20"/>
      <c r="AH604" s="20"/>
      <c r="AI604" s="20"/>
      <c r="AJ604" s="20"/>
      <c r="AK604" s="20"/>
      <c r="AL604" s="20"/>
      <c r="AM604" s="20"/>
      <c r="AN604" s="20"/>
      <c r="AO604" s="20"/>
      <c r="AP604" s="20"/>
      <c r="AQ604" s="20"/>
      <c r="AR604" s="20"/>
      <c r="AS604" s="20"/>
      <c r="AT604" s="20"/>
    </row>
    <row r="605">
      <c r="A605" s="20">
        <v>603.0</v>
      </c>
      <c r="B605" s="29" t="s">
        <v>614</v>
      </c>
      <c r="C605" s="20"/>
      <c r="D605" s="20"/>
      <c r="E605" s="20"/>
      <c r="F605" s="20"/>
      <c r="G605" s="20"/>
      <c r="H605" s="33" t="s">
        <v>77</v>
      </c>
      <c r="I605" s="33" t="s">
        <v>157</v>
      </c>
      <c r="J605" s="21"/>
      <c r="K605" s="20" t="str">
        <f t="shared" si="1"/>
        <v>ROADS,TRANSPORT AND PUBLIC WORKS</v>
      </c>
      <c r="L605" s="20" t="s">
        <v>107</v>
      </c>
      <c r="M605" s="20" t="str">
        <f t="shared" si="2"/>
        <v>ROADS,TRANSPORT AND PUBLIC WORKS</v>
      </c>
      <c r="N605" s="22" t="s">
        <v>510</v>
      </c>
      <c r="O605" s="22" t="s">
        <v>511</v>
      </c>
      <c r="P605" s="20" t="s">
        <v>512</v>
      </c>
      <c r="Q605" s="20" t="s">
        <v>512</v>
      </c>
      <c r="R605" s="34">
        <v>3660040.0</v>
      </c>
      <c r="S605" s="34">
        <v>3660040.0</v>
      </c>
      <c r="T605" s="34">
        <v>3660040.0</v>
      </c>
      <c r="U605" s="20" t="s">
        <v>71</v>
      </c>
      <c r="V605" s="20"/>
      <c r="W605" s="38">
        <f t="shared" si="6"/>
        <v>3660040</v>
      </c>
      <c r="X605" s="20"/>
      <c r="Y605" s="38">
        <f t="shared" si="7"/>
        <v>3660040</v>
      </c>
      <c r="Z605" s="24">
        <f t="shared" si="3"/>
        <v>1</v>
      </c>
      <c r="AA605" s="23">
        <f t="shared" si="5"/>
        <v>3660040</v>
      </c>
      <c r="AB605" s="20"/>
      <c r="AC605" s="20"/>
      <c r="AD605" s="20"/>
      <c r="AE605" s="20"/>
      <c r="AF605" s="20"/>
      <c r="AG605" s="20"/>
      <c r="AH605" s="20"/>
      <c r="AI605" s="20"/>
      <c r="AJ605" s="20"/>
      <c r="AK605" s="20"/>
      <c r="AL605" s="20"/>
      <c r="AM605" s="20"/>
      <c r="AN605" s="20"/>
      <c r="AO605" s="20"/>
      <c r="AP605" s="20"/>
      <c r="AQ605" s="20"/>
      <c r="AR605" s="20"/>
      <c r="AS605" s="20"/>
      <c r="AT605" s="20"/>
    </row>
    <row r="606">
      <c r="A606" s="20">
        <v>604.0</v>
      </c>
      <c r="B606" s="29" t="s">
        <v>615</v>
      </c>
      <c r="C606" s="20"/>
      <c r="D606" s="20"/>
      <c r="E606" s="20"/>
      <c r="F606" s="20"/>
      <c r="G606" s="20"/>
      <c r="H606" s="33" t="s">
        <v>65</v>
      </c>
      <c r="I606" s="33" t="s">
        <v>66</v>
      </c>
      <c r="J606" s="21"/>
      <c r="K606" s="20" t="str">
        <f t="shared" si="1"/>
        <v>ROADS,TRANSPORT AND PUBLIC WORKS</v>
      </c>
      <c r="L606" s="20" t="s">
        <v>107</v>
      </c>
      <c r="M606" s="20" t="str">
        <f t="shared" si="2"/>
        <v>ROADS,TRANSPORT AND PUBLIC WORKS</v>
      </c>
      <c r="N606" s="22" t="s">
        <v>510</v>
      </c>
      <c r="O606" s="22" t="s">
        <v>511</v>
      </c>
      <c r="P606" s="20" t="s">
        <v>512</v>
      </c>
      <c r="Q606" s="20" t="s">
        <v>512</v>
      </c>
      <c r="R606" s="34">
        <v>4672480.0</v>
      </c>
      <c r="S606" s="34">
        <v>4672480.0</v>
      </c>
      <c r="T606" s="34">
        <v>4672480.0</v>
      </c>
      <c r="U606" s="20" t="s">
        <v>71</v>
      </c>
      <c r="V606" s="20"/>
      <c r="W606" s="38">
        <f t="shared" si="6"/>
        <v>4672480</v>
      </c>
      <c r="X606" s="20"/>
      <c r="Y606" s="38">
        <f t="shared" si="7"/>
        <v>4672480</v>
      </c>
      <c r="Z606" s="24">
        <f t="shared" si="3"/>
        <v>1</v>
      </c>
      <c r="AA606" s="23">
        <f t="shared" si="5"/>
        <v>4672480</v>
      </c>
      <c r="AB606" s="20"/>
      <c r="AC606" s="20"/>
      <c r="AD606" s="20"/>
      <c r="AE606" s="20"/>
      <c r="AF606" s="20"/>
      <c r="AG606" s="20"/>
      <c r="AH606" s="20"/>
      <c r="AI606" s="20"/>
      <c r="AJ606" s="20"/>
      <c r="AK606" s="20"/>
      <c r="AL606" s="20"/>
      <c r="AM606" s="20"/>
      <c r="AN606" s="20"/>
      <c r="AO606" s="20"/>
      <c r="AP606" s="20"/>
      <c r="AQ606" s="20"/>
      <c r="AR606" s="20"/>
      <c r="AS606" s="20"/>
      <c r="AT606" s="20"/>
    </row>
    <row r="607">
      <c r="A607" s="20">
        <v>605.0</v>
      </c>
      <c r="B607" s="29" t="s">
        <v>616</v>
      </c>
      <c r="C607" s="20"/>
      <c r="D607" s="20"/>
      <c r="E607" s="20"/>
      <c r="F607" s="20"/>
      <c r="G607" s="20"/>
      <c r="H607" s="33" t="s">
        <v>77</v>
      </c>
      <c r="I607" s="33" t="s">
        <v>77</v>
      </c>
      <c r="J607" s="21"/>
      <c r="K607" s="20" t="str">
        <f t="shared" si="1"/>
        <v>ROADS,TRANSPORT AND PUBLIC WORKS</v>
      </c>
      <c r="L607" s="20" t="s">
        <v>107</v>
      </c>
      <c r="M607" s="20" t="str">
        <f t="shared" si="2"/>
        <v>ROADS,TRANSPORT AND PUBLIC WORKS</v>
      </c>
      <c r="N607" s="22" t="s">
        <v>510</v>
      </c>
      <c r="O607" s="22" t="s">
        <v>511</v>
      </c>
      <c r="P607" s="20" t="s">
        <v>512</v>
      </c>
      <c r="Q607" s="20" t="s">
        <v>512</v>
      </c>
      <c r="R607" s="34">
        <v>4621788.0</v>
      </c>
      <c r="S607" s="34">
        <v>4621788.0</v>
      </c>
      <c r="T607" s="34">
        <v>4621788.0</v>
      </c>
      <c r="U607" s="20" t="s">
        <v>71</v>
      </c>
      <c r="V607" s="20"/>
      <c r="W607" s="38">
        <f t="shared" si="6"/>
        <v>4621788</v>
      </c>
      <c r="X607" s="20"/>
      <c r="Y607" s="38">
        <f t="shared" si="7"/>
        <v>4621788</v>
      </c>
      <c r="Z607" s="24">
        <f t="shared" si="3"/>
        <v>1</v>
      </c>
      <c r="AA607" s="23">
        <f t="shared" si="5"/>
        <v>4621788</v>
      </c>
      <c r="AB607" s="20"/>
      <c r="AC607" s="20"/>
      <c r="AD607" s="20"/>
      <c r="AE607" s="20"/>
      <c r="AF607" s="20"/>
      <c r="AG607" s="20"/>
      <c r="AH607" s="20"/>
      <c r="AI607" s="20"/>
      <c r="AJ607" s="20"/>
      <c r="AK607" s="20"/>
      <c r="AL607" s="20"/>
      <c r="AM607" s="20"/>
      <c r="AN607" s="20"/>
      <c r="AO607" s="20"/>
      <c r="AP607" s="20"/>
      <c r="AQ607" s="20"/>
      <c r="AR607" s="20"/>
      <c r="AS607" s="20"/>
      <c r="AT607" s="20"/>
    </row>
    <row r="608">
      <c r="A608" s="20">
        <v>606.0</v>
      </c>
      <c r="B608" s="29" t="s">
        <v>617</v>
      </c>
      <c r="C608" s="20"/>
      <c r="D608" s="20"/>
      <c r="E608" s="20"/>
      <c r="F608" s="20"/>
      <c r="G608" s="20"/>
      <c r="H608" s="33" t="s">
        <v>104</v>
      </c>
      <c r="I608" s="33" t="s">
        <v>104</v>
      </c>
      <c r="J608" s="21"/>
      <c r="K608" s="20" t="str">
        <f t="shared" si="1"/>
        <v>ROADS,TRANSPORT AND PUBLIC WORKS</v>
      </c>
      <c r="L608" s="20" t="s">
        <v>107</v>
      </c>
      <c r="M608" s="20" t="str">
        <f t="shared" si="2"/>
        <v>ROADS,TRANSPORT AND PUBLIC WORKS</v>
      </c>
      <c r="N608" s="22" t="s">
        <v>510</v>
      </c>
      <c r="O608" s="22" t="s">
        <v>511</v>
      </c>
      <c r="P608" s="20" t="s">
        <v>512</v>
      </c>
      <c r="Q608" s="20" t="s">
        <v>512</v>
      </c>
      <c r="R608" s="34">
        <v>3767200.0</v>
      </c>
      <c r="S608" s="34">
        <v>3767200.0</v>
      </c>
      <c r="T608" s="34">
        <v>3767200.0</v>
      </c>
      <c r="U608" s="20" t="s">
        <v>71</v>
      </c>
      <c r="V608" s="20"/>
      <c r="W608" s="38">
        <f t="shared" si="6"/>
        <v>3767200</v>
      </c>
      <c r="X608" s="20"/>
      <c r="Y608" s="38">
        <f t="shared" si="7"/>
        <v>3767200</v>
      </c>
      <c r="Z608" s="24">
        <f t="shared" si="3"/>
        <v>1</v>
      </c>
      <c r="AA608" s="23">
        <f t="shared" si="5"/>
        <v>3767200</v>
      </c>
      <c r="AB608" s="20"/>
      <c r="AC608" s="20"/>
      <c r="AD608" s="20"/>
      <c r="AE608" s="20"/>
      <c r="AF608" s="20"/>
      <c r="AG608" s="20"/>
      <c r="AH608" s="20"/>
      <c r="AI608" s="20"/>
      <c r="AJ608" s="20"/>
      <c r="AK608" s="20"/>
      <c r="AL608" s="20"/>
      <c r="AM608" s="20"/>
      <c r="AN608" s="20"/>
      <c r="AO608" s="20"/>
      <c r="AP608" s="20"/>
      <c r="AQ608" s="20"/>
      <c r="AR608" s="20"/>
      <c r="AS608" s="20"/>
      <c r="AT608" s="20"/>
    </row>
    <row r="609">
      <c r="A609" s="20">
        <v>607.0</v>
      </c>
      <c r="B609" s="29" t="s">
        <v>618</v>
      </c>
      <c r="C609" s="20"/>
      <c r="D609" s="20"/>
      <c r="E609" s="20"/>
      <c r="F609" s="20"/>
      <c r="G609" s="20"/>
      <c r="H609" s="33" t="s">
        <v>65</v>
      </c>
      <c r="I609" s="33" t="s">
        <v>66</v>
      </c>
      <c r="J609" s="21"/>
      <c r="K609" s="20" t="str">
        <f t="shared" si="1"/>
        <v>ROADS,TRANSPORT AND PUBLIC WORKS</v>
      </c>
      <c r="L609" s="20" t="s">
        <v>107</v>
      </c>
      <c r="M609" s="20" t="str">
        <f t="shared" si="2"/>
        <v>ROADS,TRANSPORT AND PUBLIC WORKS</v>
      </c>
      <c r="N609" s="22" t="s">
        <v>510</v>
      </c>
      <c r="O609" s="22" t="s">
        <v>511</v>
      </c>
      <c r="P609" s="20" t="s">
        <v>512</v>
      </c>
      <c r="Q609" s="20" t="s">
        <v>512</v>
      </c>
      <c r="R609" s="34">
        <v>4000000.0</v>
      </c>
      <c r="S609" s="34">
        <v>4000000.0</v>
      </c>
      <c r="T609" s="34">
        <v>4000000.0</v>
      </c>
      <c r="U609" s="20" t="s">
        <v>71</v>
      </c>
      <c r="V609" s="20"/>
      <c r="W609" s="38">
        <f t="shared" si="6"/>
        <v>4000000</v>
      </c>
      <c r="X609" s="20"/>
      <c r="Y609" s="38">
        <f t="shared" si="7"/>
        <v>4000000</v>
      </c>
      <c r="Z609" s="24">
        <f t="shared" si="3"/>
        <v>1</v>
      </c>
      <c r="AA609" s="23">
        <f t="shared" si="5"/>
        <v>4000000</v>
      </c>
      <c r="AB609" s="20"/>
      <c r="AC609" s="20"/>
      <c r="AD609" s="20"/>
      <c r="AE609" s="20"/>
      <c r="AF609" s="20"/>
      <c r="AG609" s="20"/>
      <c r="AH609" s="20"/>
      <c r="AI609" s="20"/>
      <c r="AJ609" s="20"/>
      <c r="AK609" s="20"/>
      <c r="AL609" s="20"/>
      <c r="AM609" s="20"/>
      <c r="AN609" s="20"/>
      <c r="AO609" s="20"/>
      <c r="AP609" s="20"/>
      <c r="AQ609" s="20"/>
      <c r="AR609" s="20"/>
      <c r="AS609" s="20"/>
      <c r="AT609" s="20"/>
    </row>
    <row r="610">
      <c r="A610" s="20">
        <v>608.0</v>
      </c>
      <c r="B610" s="29" t="s">
        <v>619</v>
      </c>
      <c r="C610" s="20"/>
      <c r="D610" s="20"/>
      <c r="E610" s="20"/>
      <c r="F610" s="20"/>
      <c r="G610" s="20"/>
      <c r="H610" s="33" t="s">
        <v>65</v>
      </c>
      <c r="I610" s="33" t="s">
        <v>87</v>
      </c>
      <c r="J610" s="21"/>
      <c r="K610" s="20" t="str">
        <f t="shared" si="1"/>
        <v>ROADS,TRANSPORT AND PUBLIC WORKS</v>
      </c>
      <c r="L610" s="20" t="s">
        <v>107</v>
      </c>
      <c r="M610" s="20" t="str">
        <f t="shared" si="2"/>
        <v>ROADS,TRANSPORT AND PUBLIC WORKS</v>
      </c>
      <c r="N610" s="22" t="s">
        <v>510</v>
      </c>
      <c r="O610" s="22" t="s">
        <v>511</v>
      </c>
      <c r="P610" s="20" t="s">
        <v>512</v>
      </c>
      <c r="Q610" s="20" t="s">
        <v>512</v>
      </c>
      <c r="R610" s="34">
        <v>4465304.0</v>
      </c>
      <c r="S610" s="34">
        <v>4465304.0</v>
      </c>
      <c r="T610" s="34">
        <v>4465304.0</v>
      </c>
      <c r="U610" s="20" t="s">
        <v>71</v>
      </c>
      <c r="V610" s="20"/>
      <c r="W610" s="38">
        <f t="shared" si="6"/>
        <v>4465304</v>
      </c>
      <c r="X610" s="20"/>
      <c r="Y610" s="38">
        <f t="shared" si="7"/>
        <v>4465304</v>
      </c>
      <c r="Z610" s="24">
        <f t="shared" si="3"/>
        <v>1</v>
      </c>
      <c r="AA610" s="23">
        <f t="shared" si="5"/>
        <v>4465304</v>
      </c>
      <c r="AB610" s="20"/>
      <c r="AC610" s="20"/>
      <c r="AD610" s="20"/>
      <c r="AE610" s="20"/>
      <c r="AF610" s="20"/>
      <c r="AG610" s="20"/>
      <c r="AH610" s="20"/>
      <c r="AI610" s="20"/>
      <c r="AJ610" s="20"/>
      <c r="AK610" s="20"/>
      <c r="AL610" s="20"/>
      <c r="AM610" s="20"/>
      <c r="AN610" s="20"/>
      <c r="AO610" s="20"/>
      <c r="AP610" s="20"/>
      <c r="AQ610" s="20"/>
      <c r="AR610" s="20"/>
      <c r="AS610" s="20"/>
      <c r="AT610" s="20"/>
    </row>
    <row r="611">
      <c r="A611" s="20">
        <v>609.0</v>
      </c>
      <c r="B611" s="29" t="s">
        <v>620</v>
      </c>
      <c r="C611" s="20"/>
      <c r="D611" s="20"/>
      <c r="E611" s="20"/>
      <c r="F611" s="20"/>
      <c r="G611" s="20"/>
      <c r="H611" s="33" t="s">
        <v>160</v>
      </c>
      <c r="I611" s="33" t="s">
        <v>207</v>
      </c>
      <c r="J611" s="21"/>
      <c r="K611" s="20" t="str">
        <f t="shared" si="1"/>
        <v>ROADS,TRANSPORT AND PUBLIC WORKS</v>
      </c>
      <c r="L611" s="20" t="s">
        <v>107</v>
      </c>
      <c r="M611" s="20" t="str">
        <f t="shared" si="2"/>
        <v>ROADS,TRANSPORT AND PUBLIC WORKS</v>
      </c>
      <c r="N611" s="22" t="s">
        <v>510</v>
      </c>
      <c r="O611" s="22" t="s">
        <v>511</v>
      </c>
      <c r="P611" s="20" t="s">
        <v>512</v>
      </c>
      <c r="Q611" s="20" t="s">
        <v>512</v>
      </c>
      <c r="R611" s="34">
        <v>4583438.0</v>
      </c>
      <c r="S611" s="34">
        <v>4583438.0</v>
      </c>
      <c r="T611" s="34">
        <v>4583438.0</v>
      </c>
      <c r="U611" s="20" t="s">
        <v>71</v>
      </c>
      <c r="V611" s="20"/>
      <c r="W611" s="38">
        <f t="shared" si="6"/>
        <v>4583438</v>
      </c>
      <c r="X611" s="20"/>
      <c r="Y611" s="38">
        <f t="shared" si="7"/>
        <v>4583438</v>
      </c>
      <c r="Z611" s="24">
        <f t="shared" si="3"/>
        <v>1</v>
      </c>
      <c r="AA611" s="23">
        <f t="shared" si="5"/>
        <v>4583438</v>
      </c>
      <c r="AB611" s="20"/>
      <c r="AC611" s="20"/>
      <c r="AD611" s="20"/>
      <c r="AE611" s="20"/>
      <c r="AF611" s="20"/>
      <c r="AG611" s="20"/>
      <c r="AH611" s="20"/>
      <c r="AI611" s="20"/>
      <c r="AJ611" s="20"/>
      <c r="AK611" s="20"/>
      <c r="AL611" s="20"/>
      <c r="AM611" s="20"/>
      <c r="AN611" s="20"/>
      <c r="AO611" s="20"/>
      <c r="AP611" s="20"/>
      <c r="AQ611" s="20"/>
      <c r="AR611" s="20"/>
      <c r="AS611" s="20"/>
      <c r="AT611" s="20"/>
    </row>
    <row r="612">
      <c r="A612" s="20">
        <v>610.0</v>
      </c>
      <c r="B612" s="29" t="s">
        <v>621</v>
      </c>
      <c r="C612" s="20"/>
      <c r="D612" s="20"/>
      <c r="E612" s="20"/>
      <c r="F612" s="20"/>
      <c r="G612" s="20"/>
      <c r="H612" s="33" t="s">
        <v>65</v>
      </c>
      <c r="I612" s="33" t="s">
        <v>90</v>
      </c>
      <c r="J612" s="21"/>
      <c r="K612" s="20" t="str">
        <f t="shared" si="1"/>
        <v>ROADS,TRANSPORT AND PUBLIC WORKS</v>
      </c>
      <c r="L612" s="20" t="s">
        <v>107</v>
      </c>
      <c r="M612" s="20" t="str">
        <f t="shared" si="2"/>
        <v>ROADS,TRANSPORT AND PUBLIC WORKS</v>
      </c>
      <c r="N612" s="22" t="s">
        <v>510</v>
      </c>
      <c r="O612" s="22" t="s">
        <v>511</v>
      </c>
      <c r="P612" s="20" t="s">
        <v>512</v>
      </c>
      <c r="Q612" s="20" t="s">
        <v>512</v>
      </c>
      <c r="R612" s="34">
        <v>4647023.0</v>
      </c>
      <c r="S612" s="34">
        <v>4647023.0</v>
      </c>
      <c r="T612" s="34">
        <v>4647023.0</v>
      </c>
      <c r="U612" s="20" t="s">
        <v>71</v>
      </c>
      <c r="V612" s="20"/>
      <c r="W612" s="38">
        <f t="shared" si="6"/>
        <v>4647023</v>
      </c>
      <c r="X612" s="20"/>
      <c r="Y612" s="38">
        <f t="shared" si="7"/>
        <v>4647023</v>
      </c>
      <c r="Z612" s="24">
        <f t="shared" si="3"/>
        <v>1</v>
      </c>
      <c r="AA612" s="23">
        <f t="shared" si="5"/>
        <v>4647023</v>
      </c>
      <c r="AB612" s="20"/>
      <c r="AC612" s="20"/>
      <c r="AD612" s="20"/>
      <c r="AE612" s="20"/>
      <c r="AF612" s="20"/>
      <c r="AG612" s="20"/>
      <c r="AH612" s="20"/>
      <c r="AI612" s="20"/>
      <c r="AJ612" s="20"/>
      <c r="AK612" s="20"/>
      <c r="AL612" s="20"/>
      <c r="AM612" s="20"/>
      <c r="AN612" s="20"/>
      <c r="AO612" s="20"/>
      <c r="AP612" s="20"/>
      <c r="AQ612" s="20"/>
      <c r="AR612" s="20"/>
      <c r="AS612" s="20"/>
      <c r="AT612" s="20"/>
    </row>
    <row r="613">
      <c r="A613" s="20">
        <v>611.0</v>
      </c>
      <c r="B613" s="29" t="s">
        <v>622</v>
      </c>
      <c r="C613" s="20"/>
      <c r="D613" s="20"/>
      <c r="E613" s="20"/>
      <c r="F613" s="20"/>
      <c r="G613" s="20"/>
      <c r="H613" s="33" t="s">
        <v>65</v>
      </c>
      <c r="I613" s="33" t="s">
        <v>74</v>
      </c>
      <c r="J613" s="21"/>
      <c r="K613" s="20" t="str">
        <f t="shared" si="1"/>
        <v>ROADS,TRANSPORT AND PUBLIC WORKS</v>
      </c>
      <c r="L613" s="20" t="s">
        <v>107</v>
      </c>
      <c r="M613" s="20" t="str">
        <f t="shared" si="2"/>
        <v>ROADS,TRANSPORT AND PUBLIC WORKS</v>
      </c>
      <c r="N613" s="22" t="s">
        <v>510</v>
      </c>
      <c r="O613" s="22" t="s">
        <v>511</v>
      </c>
      <c r="P613" s="20" t="s">
        <v>512</v>
      </c>
      <c r="Q613" s="20" t="s">
        <v>512</v>
      </c>
      <c r="R613" s="34">
        <v>4518200.0</v>
      </c>
      <c r="S613" s="34">
        <v>4518200.0</v>
      </c>
      <c r="T613" s="34">
        <v>4518200.0</v>
      </c>
      <c r="U613" s="20" t="s">
        <v>71</v>
      </c>
      <c r="V613" s="20"/>
      <c r="W613" s="38">
        <f t="shared" si="6"/>
        <v>4518200</v>
      </c>
      <c r="X613" s="20"/>
      <c r="Y613" s="38">
        <f t="shared" si="7"/>
        <v>4518200</v>
      </c>
      <c r="Z613" s="24">
        <f t="shared" si="3"/>
        <v>1</v>
      </c>
      <c r="AA613" s="23">
        <f t="shared" si="5"/>
        <v>4518200</v>
      </c>
      <c r="AB613" s="20"/>
      <c r="AC613" s="20"/>
      <c r="AD613" s="20"/>
      <c r="AE613" s="20"/>
      <c r="AF613" s="20"/>
      <c r="AG613" s="20"/>
      <c r="AH613" s="20"/>
      <c r="AI613" s="20"/>
      <c r="AJ613" s="20"/>
      <c r="AK613" s="20"/>
      <c r="AL613" s="20"/>
      <c r="AM613" s="20"/>
      <c r="AN613" s="20"/>
      <c r="AO613" s="20"/>
      <c r="AP613" s="20"/>
      <c r="AQ613" s="20"/>
      <c r="AR613" s="20"/>
      <c r="AS613" s="20"/>
      <c r="AT613" s="20"/>
    </row>
    <row r="614">
      <c r="A614" s="20">
        <v>612.0</v>
      </c>
      <c r="B614" s="29" t="s">
        <v>623</v>
      </c>
      <c r="C614" s="20"/>
      <c r="D614" s="20"/>
      <c r="E614" s="20"/>
      <c r="F614" s="20"/>
      <c r="G614" s="20"/>
      <c r="H614" s="33" t="s">
        <v>104</v>
      </c>
      <c r="I614" s="20"/>
      <c r="J614" s="21"/>
      <c r="K614" s="20" t="str">
        <f t="shared" si="1"/>
        <v>ROADS,TRANSPORT AND PUBLIC WORKS</v>
      </c>
      <c r="L614" s="20" t="s">
        <v>107</v>
      </c>
      <c r="M614" s="20" t="str">
        <f t="shared" si="2"/>
        <v>ROADS,TRANSPORT AND PUBLIC WORKS</v>
      </c>
      <c r="N614" s="22" t="s">
        <v>510</v>
      </c>
      <c r="O614" s="22" t="s">
        <v>511</v>
      </c>
      <c r="P614" s="20" t="s">
        <v>512</v>
      </c>
      <c r="Q614" s="20" t="s">
        <v>512</v>
      </c>
      <c r="R614" s="34">
        <v>3264500.0</v>
      </c>
      <c r="S614" s="34">
        <v>3264500.0</v>
      </c>
      <c r="T614" s="34">
        <v>3264500.0</v>
      </c>
      <c r="U614" s="20" t="s">
        <v>71</v>
      </c>
      <c r="V614" s="20"/>
      <c r="W614" s="38">
        <f t="shared" si="6"/>
        <v>3264500</v>
      </c>
      <c r="X614" s="20"/>
      <c r="Y614" s="38">
        <f t="shared" si="7"/>
        <v>3264500</v>
      </c>
      <c r="Z614" s="24">
        <f t="shared" si="3"/>
        <v>1</v>
      </c>
      <c r="AA614" s="23">
        <f t="shared" si="5"/>
        <v>3264500</v>
      </c>
      <c r="AB614" s="20"/>
      <c r="AC614" s="20"/>
      <c r="AD614" s="20"/>
      <c r="AE614" s="20"/>
      <c r="AF614" s="20"/>
      <c r="AG614" s="20"/>
      <c r="AH614" s="20"/>
      <c r="AI614" s="20"/>
      <c r="AJ614" s="20"/>
      <c r="AK614" s="20"/>
      <c r="AL614" s="20"/>
      <c r="AM614" s="20"/>
      <c r="AN614" s="20"/>
      <c r="AO614" s="20"/>
      <c r="AP614" s="20"/>
      <c r="AQ614" s="20"/>
      <c r="AR614" s="20"/>
      <c r="AS614" s="20"/>
      <c r="AT614" s="20"/>
    </row>
    <row r="615">
      <c r="A615" s="20">
        <v>613.0</v>
      </c>
      <c r="B615" s="29" t="s">
        <v>624</v>
      </c>
      <c r="C615" s="20"/>
      <c r="D615" s="20"/>
      <c r="E615" s="20"/>
      <c r="F615" s="20"/>
      <c r="G615" s="20"/>
      <c r="H615" s="33" t="s">
        <v>65</v>
      </c>
      <c r="I615" s="33" t="s">
        <v>66</v>
      </c>
      <c r="J615" s="21"/>
      <c r="K615" s="20" t="str">
        <f t="shared" si="1"/>
        <v>ROADS,TRANSPORT AND PUBLIC WORKS</v>
      </c>
      <c r="L615" s="20" t="s">
        <v>107</v>
      </c>
      <c r="M615" s="20" t="str">
        <f t="shared" si="2"/>
        <v>ROADS,TRANSPORT AND PUBLIC WORKS</v>
      </c>
      <c r="N615" s="22" t="s">
        <v>510</v>
      </c>
      <c r="O615" s="22" t="s">
        <v>511</v>
      </c>
      <c r="P615" s="20" t="s">
        <v>512</v>
      </c>
      <c r="Q615" s="20" t="s">
        <v>512</v>
      </c>
      <c r="R615" s="34">
        <v>400000.0</v>
      </c>
      <c r="S615" s="34">
        <v>400000.0</v>
      </c>
      <c r="T615" s="34">
        <v>400000.0</v>
      </c>
      <c r="U615" s="20" t="s">
        <v>71</v>
      </c>
      <c r="V615" s="20"/>
      <c r="W615" s="38">
        <f t="shared" si="6"/>
        <v>400000</v>
      </c>
      <c r="X615" s="20"/>
      <c r="Y615" s="38">
        <f t="shared" si="7"/>
        <v>400000</v>
      </c>
      <c r="Z615" s="24">
        <f t="shared" si="3"/>
        <v>1</v>
      </c>
      <c r="AA615" s="23">
        <f t="shared" si="5"/>
        <v>400000</v>
      </c>
      <c r="AB615" s="20"/>
      <c r="AC615" s="20"/>
      <c r="AD615" s="20"/>
      <c r="AE615" s="20"/>
      <c r="AF615" s="20"/>
      <c r="AG615" s="20"/>
      <c r="AH615" s="20"/>
      <c r="AI615" s="20"/>
      <c r="AJ615" s="20"/>
      <c r="AK615" s="20"/>
      <c r="AL615" s="20"/>
      <c r="AM615" s="20"/>
      <c r="AN615" s="20"/>
      <c r="AO615" s="20"/>
      <c r="AP615" s="20"/>
      <c r="AQ615" s="20"/>
      <c r="AR615" s="20"/>
      <c r="AS615" s="20"/>
      <c r="AT615" s="20"/>
    </row>
    <row r="616">
      <c r="A616" s="20">
        <v>614.0</v>
      </c>
      <c r="B616" s="29" t="s">
        <v>625</v>
      </c>
      <c r="C616" s="20"/>
      <c r="D616" s="20"/>
      <c r="E616" s="20"/>
      <c r="F616" s="20"/>
      <c r="G616" s="20"/>
      <c r="H616" s="33" t="s">
        <v>104</v>
      </c>
      <c r="I616" s="33" t="s">
        <v>104</v>
      </c>
      <c r="J616" s="21"/>
      <c r="K616" s="20" t="str">
        <f t="shared" si="1"/>
        <v>ROADS,TRANSPORT AND PUBLIC WORKS</v>
      </c>
      <c r="L616" s="20" t="s">
        <v>107</v>
      </c>
      <c r="M616" s="20" t="str">
        <f t="shared" si="2"/>
        <v>ROADS,TRANSPORT AND PUBLIC WORKS</v>
      </c>
      <c r="N616" s="22" t="s">
        <v>510</v>
      </c>
      <c r="O616" s="22" t="s">
        <v>511</v>
      </c>
      <c r="P616" s="20" t="s">
        <v>512</v>
      </c>
      <c r="Q616" s="20" t="s">
        <v>512</v>
      </c>
      <c r="R616" s="34">
        <v>3500000.0</v>
      </c>
      <c r="S616" s="34">
        <v>3500000.0</v>
      </c>
      <c r="T616" s="34">
        <v>3500000.0</v>
      </c>
      <c r="U616" s="20" t="s">
        <v>71</v>
      </c>
      <c r="V616" s="20"/>
      <c r="W616" s="38">
        <f t="shared" si="6"/>
        <v>3500000</v>
      </c>
      <c r="X616" s="20"/>
      <c r="Y616" s="38">
        <f t="shared" si="7"/>
        <v>3500000</v>
      </c>
      <c r="Z616" s="24">
        <f t="shared" si="3"/>
        <v>1</v>
      </c>
      <c r="AA616" s="23">
        <f t="shared" si="5"/>
        <v>3500000</v>
      </c>
      <c r="AB616" s="20"/>
      <c r="AC616" s="20"/>
      <c r="AD616" s="20"/>
      <c r="AE616" s="20"/>
      <c r="AF616" s="20"/>
      <c r="AG616" s="20"/>
      <c r="AH616" s="20"/>
      <c r="AI616" s="20"/>
      <c r="AJ616" s="20"/>
      <c r="AK616" s="20"/>
      <c r="AL616" s="20"/>
      <c r="AM616" s="20"/>
      <c r="AN616" s="20"/>
      <c r="AO616" s="20"/>
      <c r="AP616" s="20"/>
      <c r="AQ616" s="20"/>
      <c r="AR616" s="20"/>
      <c r="AS616" s="20"/>
      <c r="AT616" s="20"/>
    </row>
    <row r="617">
      <c r="A617" s="20">
        <v>615.0</v>
      </c>
      <c r="B617" s="29" t="s">
        <v>600</v>
      </c>
      <c r="C617" s="20"/>
      <c r="D617" s="20"/>
      <c r="E617" s="20"/>
      <c r="F617" s="20"/>
      <c r="G617" s="20"/>
      <c r="H617" s="33" t="s">
        <v>65</v>
      </c>
      <c r="I617" s="33" t="s">
        <v>66</v>
      </c>
      <c r="J617" s="21"/>
      <c r="K617" s="20" t="str">
        <f t="shared" si="1"/>
        <v>ROADS,TRANSPORT AND PUBLIC WORKS</v>
      </c>
      <c r="L617" s="20" t="s">
        <v>107</v>
      </c>
      <c r="M617" s="20" t="str">
        <f t="shared" si="2"/>
        <v>ROADS,TRANSPORT AND PUBLIC WORKS</v>
      </c>
      <c r="N617" s="22" t="s">
        <v>510</v>
      </c>
      <c r="O617" s="22" t="s">
        <v>511</v>
      </c>
      <c r="P617" s="20" t="s">
        <v>512</v>
      </c>
      <c r="Q617" s="20" t="s">
        <v>512</v>
      </c>
      <c r="R617" s="34">
        <v>4561116.0</v>
      </c>
      <c r="S617" s="34">
        <v>4561116.0</v>
      </c>
      <c r="T617" s="34">
        <v>4561116.0</v>
      </c>
      <c r="U617" s="20" t="s">
        <v>71</v>
      </c>
      <c r="V617" s="20"/>
      <c r="W617" s="38">
        <f t="shared" si="6"/>
        <v>4561116</v>
      </c>
      <c r="X617" s="20"/>
      <c r="Y617" s="38">
        <f t="shared" si="7"/>
        <v>4561116</v>
      </c>
      <c r="Z617" s="24">
        <f t="shared" si="3"/>
        <v>1</v>
      </c>
      <c r="AA617" s="23">
        <f t="shared" si="5"/>
        <v>4561116</v>
      </c>
      <c r="AB617" s="20"/>
      <c r="AC617" s="20"/>
      <c r="AD617" s="20"/>
      <c r="AE617" s="20"/>
      <c r="AF617" s="20"/>
      <c r="AG617" s="20"/>
      <c r="AH617" s="20"/>
      <c r="AI617" s="20"/>
      <c r="AJ617" s="20"/>
      <c r="AK617" s="20"/>
      <c r="AL617" s="20"/>
      <c r="AM617" s="20"/>
      <c r="AN617" s="20"/>
      <c r="AO617" s="20"/>
      <c r="AP617" s="20"/>
      <c r="AQ617" s="20"/>
      <c r="AR617" s="20"/>
      <c r="AS617" s="20"/>
      <c r="AT617" s="20"/>
    </row>
    <row r="618">
      <c r="A618" s="20">
        <v>616.0</v>
      </c>
      <c r="B618" s="29" t="s">
        <v>626</v>
      </c>
      <c r="C618" s="20"/>
      <c r="D618" s="20"/>
      <c r="E618" s="20"/>
      <c r="F618" s="20"/>
      <c r="G618" s="20"/>
      <c r="H618" s="33" t="s">
        <v>65</v>
      </c>
      <c r="I618" s="33" t="s">
        <v>66</v>
      </c>
      <c r="J618" s="21"/>
      <c r="K618" s="20" t="str">
        <f t="shared" si="1"/>
        <v>ROADS,TRANSPORT AND PUBLIC WORKS</v>
      </c>
      <c r="L618" s="20" t="s">
        <v>107</v>
      </c>
      <c r="M618" s="20" t="str">
        <f t="shared" si="2"/>
        <v>ROADS,TRANSPORT AND PUBLIC WORKS</v>
      </c>
      <c r="N618" s="22" t="s">
        <v>510</v>
      </c>
      <c r="O618" s="22" t="s">
        <v>511</v>
      </c>
      <c r="P618" s="20" t="s">
        <v>512</v>
      </c>
      <c r="Q618" s="20" t="s">
        <v>512</v>
      </c>
      <c r="R618" s="34">
        <v>4095288.0</v>
      </c>
      <c r="S618" s="34">
        <v>4095288.0</v>
      </c>
      <c r="T618" s="34">
        <v>4095288.0</v>
      </c>
      <c r="U618" s="20" t="s">
        <v>71</v>
      </c>
      <c r="V618" s="20"/>
      <c r="W618" s="38">
        <f t="shared" si="6"/>
        <v>4095288</v>
      </c>
      <c r="X618" s="20"/>
      <c r="Y618" s="38">
        <f t="shared" si="7"/>
        <v>4095288</v>
      </c>
      <c r="Z618" s="24">
        <f t="shared" si="3"/>
        <v>1</v>
      </c>
      <c r="AA618" s="23">
        <f t="shared" si="5"/>
        <v>4095288</v>
      </c>
      <c r="AB618" s="20"/>
      <c r="AC618" s="20"/>
      <c r="AD618" s="20"/>
      <c r="AE618" s="20"/>
      <c r="AF618" s="20"/>
      <c r="AG618" s="20"/>
      <c r="AH618" s="20"/>
      <c r="AI618" s="20"/>
      <c r="AJ618" s="20"/>
      <c r="AK618" s="20"/>
      <c r="AL618" s="20"/>
      <c r="AM618" s="20"/>
      <c r="AN618" s="20"/>
      <c r="AO618" s="20"/>
      <c r="AP618" s="20"/>
      <c r="AQ618" s="20"/>
      <c r="AR618" s="20"/>
      <c r="AS618" s="20"/>
      <c r="AT618" s="20"/>
    </row>
    <row r="619">
      <c r="A619" s="20">
        <v>617.0</v>
      </c>
      <c r="B619" s="29" t="s">
        <v>627</v>
      </c>
      <c r="C619" s="20"/>
      <c r="D619" s="20"/>
      <c r="E619" s="20"/>
      <c r="F619" s="20"/>
      <c r="G619" s="20"/>
      <c r="H619" s="33" t="s">
        <v>160</v>
      </c>
      <c r="I619" s="33" t="s">
        <v>207</v>
      </c>
      <c r="J619" s="21"/>
      <c r="K619" s="20" t="str">
        <f t="shared" si="1"/>
        <v>ROADS,TRANSPORT AND PUBLIC WORKS</v>
      </c>
      <c r="L619" s="20" t="s">
        <v>107</v>
      </c>
      <c r="M619" s="20" t="str">
        <f t="shared" si="2"/>
        <v>ROADS,TRANSPORT AND PUBLIC WORKS</v>
      </c>
      <c r="N619" s="22" t="s">
        <v>510</v>
      </c>
      <c r="O619" s="22" t="s">
        <v>511</v>
      </c>
      <c r="P619" s="20" t="s">
        <v>512</v>
      </c>
      <c r="Q619" s="20" t="s">
        <v>512</v>
      </c>
      <c r="R619" s="34">
        <v>4154640.0</v>
      </c>
      <c r="S619" s="34">
        <v>4154640.0</v>
      </c>
      <c r="T619" s="34">
        <v>4154640.0</v>
      </c>
      <c r="U619" s="20" t="s">
        <v>71</v>
      </c>
      <c r="V619" s="20"/>
      <c r="W619" s="38">
        <f t="shared" si="6"/>
        <v>4154640</v>
      </c>
      <c r="X619" s="20"/>
      <c r="Y619" s="38">
        <f t="shared" si="7"/>
        <v>4154640</v>
      </c>
      <c r="Z619" s="24">
        <f t="shared" si="3"/>
        <v>1</v>
      </c>
      <c r="AA619" s="23">
        <f t="shared" si="5"/>
        <v>4154640</v>
      </c>
      <c r="AB619" s="20"/>
      <c r="AC619" s="20"/>
      <c r="AD619" s="20"/>
      <c r="AE619" s="20"/>
      <c r="AF619" s="20"/>
      <c r="AG619" s="20"/>
      <c r="AH619" s="20"/>
      <c r="AI619" s="20"/>
      <c r="AJ619" s="20"/>
      <c r="AK619" s="20"/>
      <c r="AL619" s="20"/>
      <c r="AM619" s="20"/>
      <c r="AN619" s="20"/>
      <c r="AO619" s="20"/>
      <c r="AP619" s="20"/>
      <c r="AQ619" s="20"/>
      <c r="AR619" s="20"/>
      <c r="AS619" s="20"/>
      <c r="AT619" s="20"/>
    </row>
    <row r="620">
      <c r="A620" s="20">
        <v>618.0</v>
      </c>
      <c r="B620" s="29" t="s">
        <v>628</v>
      </c>
      <c r="C620" s="20"/>
      <c r="D620" s="20"/>
      <c r="E620" s="20"/>
      <c r="F620" s="20"/>
      <c r="G620" s="20"/>
      <c r="H620" s="33" t="s">
        <v>65</v>
      </c>
      <c r="I620" s="33" t="s">
        <v>66</v>
      </c>
      <c r="J620" s="21"/>
      <c r="K620" s="20" t="str">
        <f t="shared" si="1"/>
        <v>ROADS,TRANSPORT AND PUBLIC WORKS</v>
      </c>
      <c r="L620" s="20" t="s">
        <v>107</v>
      </c>
      <c r="M620" s="20" t="str">
        <f t="shared" si="2"/>
        <v>ROADS,TRANSPORT AND PUBLIC WORKS</v>
      </c>
      <c r="N620" s="22" t="s">
        <v>510</v>
      </c>
      <c r="O620" s="22" t="s">
        <v>511</v>
      </c>
      <c r="P620" s="20" t="s">
        <v>512</v>
      </c>
      <c r="Q620" s="20" t="s">
        <v>512</v>
      </c>
      <c r="R620" s="34">
        <v>4696724.0</v>
      </c>
      <c r="S620" s="34">
        <v>4696724.0</v>
      </c>
      <c r="T620" s="34">
        <v>4696724.0</v>
      </c>
      <c r="U620" s="20" t="s">
        <v>71</v>
      </c>
      <c r="V620" s="20"/>
      <c r="W620" s="38">
        <f t="shared" si="6"/>
        <v>4696724</v>
      </c>
      <c r="X620" s="20"/>
      <c r="Y620" s="38">
        <f t="shared" si="7"/>
        <v>4696724</v>
      </c>
      <c r="Z620" s="24">
        <f t="shared" si="3"/>
        <v>1</v>
      </c>
      <c r="AA620" s="23">
        <f t="shared" si="5"/>
        <v>4696724</v>
      </c>
      <c r="AB620" s="20"/>
      <c r="AC620" s="20"/>
      <c r="AD620" s="20"/>
      <c r="AE620" s="20"/>
      <c r="AF620" s="20"/>
      <c r="AG620" s="20"/>
      <c r="AH620" s="20"/>
      <c r="AI620" s="20"/>
      <c r="AJ620" s="20"/>
      <c r="AK620" s="20"/>
      <c r="AL620" s="20"/>
      <c r="AM620" s="20"/>
      <c r="AN620" s="20"/>
      <c r="AO620" s="20"/>
      <c r="AP620" s="20"/>
      <c r="AQ620" s="20"/>
      <c r="AR620" s="20"/>
      <c r="AS620" s="20"/>
      <c r="AT620" s="20"/>
    </row>
    <row r="621">
      <c r="A621" s="20">
        <v>619.0</v>
      </c>
      <c r="B621" s="29" t="s">
        <v>607</v>
      </c>
      <c r="C621" s="20"/>
      <c r="D621" s="20"/>
      <c r="E621" s="20"/>
      <c r="F621" s="20"/>
      <c r="G621" s="20"/>
      <c r="H621" s="33" t="s">
        <v>65</v>
      </c>
      <c r="I621" s="33" t="s">
        <v>66</v>
      </c>
      <c r="J621" s="21"/>
      <c r="K621" s="20" t="str">
        <f t="shared" si="1"/>
        <v>ROADS,TRANSPORT AND PUBLIC WORKS</v>
      </c>
      <c r="L621" s="20" t="s">
        <v>107</v>
      </c>
      <c r="M621" s="20" t="str">
        <f t="shared" si="2"/>
        <v>ROADS,TRANSPORT AND PUBLIC WORKS</v>
      </c>
      <c r="N621" s="22" t="s">
        <v>510</v>
      </c>
      <c r="O621" s="22" t="s">
        <v>511</v>
      </c>
      <c r="P621" s="20" t="s">
        <v>512</v>
      </c>
      <c r="Q621" s="20" t="s">
        <v>512</v>
      </c>
      <c r="R621" s="34">
        <v>2045260.0</v>
      </c>
      <c r="S621" s="34">
        <v>2045260.0</v>
      </c>
      <c r="T621" s="34">
        <v>2045260.0</v>
      </c>
      <c r="U621" s="20" t="s">
        <v>71</v>
      </c>
      <c r="V621" s="20"/>
      <c r="W621" s="38">
        <f t="shared" si="6"/>
        <v>2045260</v>
      </c>
      <c r="X621" s="20"/>
      <c r="Y621" s="38">
        <f t="shared" si="7"/>
        <v>2045260</v>
      </c>
      <c r="Z621" s="24">
        <f t="shared" si="3"/>
        <v>1</v>
      </c>
      <c r="AA621" s="23">
        <f t="shared" si="5"/>
        <v>2045260</v>
      </c>
      <c r="AB621" s="20"/>
      <c r="AC621" s="20"/>
      <c r="AD621" s="20"/>
      <c r="AE621" s="20"/>
      <c r="AF621" s="20"/>
      <c r="AG621" s="20"/>
      <c r="AH621" s="20"/>
      <c r="AI621" s="20"/>
      <c r="AJ621" s="20"/>
      <c r="AK621" s="20"/>
      <c r="AL621" s="20"/>
      <c r="AM621" s="20"/>
      <c r="AN621" s="20"/>
      <c r="AO621" s="20"/>
      <c r="AP621" s="20"/>
      <c r="AQ621" s="20"/>
      <c r="AR621" s="20"/>
      <c r="AS621" s="20"/>
      <c r="AT621" s="20"/>
    </row>
    <row r="622">
      <c r="A622" s="20">
        <v>620.0</v>
      </c>
      <c r="B622" s="29" t="s">
        <v>607</v>
      </c>
      <c r="C622" s="20"/>
      <c r="D622" s="20"/>
      <c r="E622" s="20"/>
      <c r="F622" s="20"/>
      <c r="G622" s="20"/>
      <c r="H622" s="33" t="s">
        <v>65</v>
      </c>
      <c r="I622" s="33" t="s">
        <v>66</v>
      </c>
      <c r="J622" s="21"/>
      <c r="K622" s="20" t="str">
        <f t="shared" si="1"/>
        <v>ROADS,TRANSPORT AND PUBLIC WORKS</v>
      </c>
      <c r="L622" s="20" t="s">
        <v>107</v>
      </c>
      <c r="M622" s="20" t="str">
        <f t="shared" si="2"/>
        <v>ROADS,TRANSPORT AND PUBLIC WORKS</v>
      </c>
      <c r="N622" s="22" t="s">
        <v>510</v>
      </c>
      <c r="O622" s="22" t="s">
        <v>511</v>
      </c>
      <c r="P622" s="20" t="s">
        <v>512</v>
      </c>
      <c r="Q622" s="20" t="s">
        <v>512</v>
      </c>
      <c r="R622" s="34">
        <v>450000.0</v>
      </c>
      <c r="S622" s="34">
        <v>450000.0</v>
      </c>
      <c r="T622" s="34">
        <v>450000.0</v>
      </c>
      <c r="U622" s="20" t="s">
        <v>71</v>
      </c>
      <c r="V622" s="20"/>
      <c r="W622" s="38">
        <f t="shared" si="6"/>
        <v>450000</v>
      </c>
      <c r="X622" s="20"/>
      <c r="Y622" s="38">
        <f t="shared" si="7"/>
        <v>450000</v>
      </c>
      <c r="Z622" s="24">
        <f t="shared" si="3"/>
        <v>1</v>
      </c>
      <c r="AA622" s="23">
        <f t="shared" si="5"/>
        <v>450000</v>
      </c>
      <c r="AB622" s="20"/>
      <c r="AC622" s="20"/>
      <c r="AD622" s="20"/>
      <c r="AE622" s="20"/>
      <c r="AF622" s="20"/>
      <c r="AG622" s="20"/>
      <c r="AH622" s="20"/>
      <c r="AI622" s="20"/>
      <c r="AJ622" s="20"/>
      <c r="AK622" s="20"/>
      <c r="AL622" s="20"/>
      <c r="AM622" s="20"/>
      <c r="AN622" s="20"/>
      <c r="AO622" s="20"/>
      <c r="AP622" s="20"/>
      <c r="AQ622" s="20"/>
      <c r="AR622" s="20"/>
      <c r="AS622" s="20"/>
      <c r="AT622" s="20"/>
    </row>
    <row r="623">
      <c r="A623" s="20">
        <v>621.0</v>
      </c>
      <c r="B623" s="29" t="s">
        <v>629</v>
      </c>
      <c r="C623" s="20"/>
      <c r="D623" s="20"/>
      <c r="E623" s="20"/>
      <c r="F623" s="20"/>
      <c r="G623" s="20"/>
      <c r="H623" s="33" t="s">
        <v>65</v>
      </c>
      <c r="I623" s="33" t="s">
        <v>74</v>
      </c>
      <c r="J623" s="21"/>
      <c r="K623" s="20" t="str">
        <f t="shared" si="1"/>
        <v>ROADS,TRANSPORT AND PUBLIC WORKS</v>
      </c>
      <c r="L623" s="20" t="s">
        <v>107</v>
      </c>
      <c r="M623" s="20" t="str">
        <f t="shared" si="2"/>
        <v>ROADS,TRANSPORT AND PUBLIC WORKS</v>
      </c>
      <c r="N623" s="22" t="s">
        <v>510</v>
      </c>
      <c r="O623" s="22" t="s">
        <v>511</v>
      </c>
      <c r="P623" s="20" t="s">
        <v>512</v>
      </c>
      <c r="Q623" s="20" t="s">
        <v>512</v>
      </c>
      <c r="R623" s="34">
        <v>4568916.0</v>
      </c>
      <c r="S623" s="34">
        <v>4568916.0</v>
      </c>
      <c r="T623" s="34">
        <v>4568916.0</v>
      </c>
      <c r="U623" s="20" t="s">
        <v>71</v>
      </c>
      <c r="V623" s="20"/>
      <c r="W623" s="38">
        <f t="shared" si="6"/>
        <v>4568916</v>
      </c>
      <c r="X623" s="20"/>
      <c r="Y623" s="38">
        <f t="shared" si="7"/>
        <v>4568916</v>
      </c>
      <c r="Z623" s="24">
        <f t="shared" si="3"/>
        <v>1</v>
      </c>
      <c r="AA623" s="23">
        <f t="shared" si="5"/>
        <v>4568916</v>
      </c>
      <c r="AB623" s="20"/>
      <c r="AC623" s="20"/>
      <c r="AD623" s="20"/>
      <c r="AE623" s="20"/>
      <c r="AF623" s="20"/>
      <c r="AG623" s="20"/>
      <c r="AH623" s="20"/>
      <c r="AI623" s="20"/>
      <c r="AJ623" s="20"/>
      <c r="AK623" s="20"/>
      <c r="AL623" s="20"/>
      <c r="AM623" s="20"/>
      <c r="AN623" s="20"/>
      <c r="AO623" s="20"/>
      <c r="AP623" s="20"/>
      <c r="AQ623" s="20"/>
      <c r="AR623" s="20"/>
      <c r="AS623" s="20"/>
      <c r="AT623" s="20"/>
    </row>
    <row r="624">
      <c r="A624" s="20">
        <v>622.0</v>
      </c>
      <c r="B624" s="29" t="s">
        <v>630</v>
      </c>
      <c r="C624" s="20"/>
      <c r="D624" s="20"/>
      <c r="E624" s="20"/>
      <c r="F624" s="20"/>
      <c r="G624" s="20"/>
      <c r="H624" s="33" t="s">
        <v>65</v>
      </c>
      <c r="I624" s="33" t="s">
        <v>66</v>
      </c>
      <c r="J624" s="21"/>
      <c r="K624" s="20" t="str">
        <f t="shared" si="1"/>
        <v>ROADS,TRANSPORT AND PUBLIC WORKS</v>
      </c>
      <c r="L624" s="20" t="s">
        <v>107</v>
      </c>
      <c r="M624" s="20" t="str">
        <f t="shared" si="2"/>
        <v>ROADS,TRANSPORT AND PUBLIC WORKS</v>
      </c>
      <c r="N624" s="22" t="s">
        <v>510</v>
      </c>
      <c r="O624" s="22" t="s">
        <v>511</v>
      </c>
      <c r="P624" s="20" t="s">
        <v>512</v>
      </c>
      <c r="Q624" s="20" t="s">
        <v>512</v>
      </c>
      <c r="R624" s="34">
        <v>3758960.0</v>
      </c>
      <c r="S624" s="34">
        <v>3758960.0</v>
      </c>
      <c r="T624" s="34">
        <v>3758960.0</v>
      </c>
      <c r="U624" s="20" t="s">
        <v>71</v>
      </c>
      <c r="V624" s="20"/>
      <c r="W624" s="38">
        <f t="shared" si="6"/>
        <v>3758960</v>
      </c>
      <c r="X624" s="20"/>
      <c r="Y624" s="38">
        <f t="shared" si="7"/>
        <v>3758960</v>
      </c>
      <c r="Z624" s="24">
        <f t="shared" si="3"/>
        <v>1</v>
      </c>
      <c r="AA624" s="23">
        <f t="shared" si="5"/>
        <v>3758960</v>
      </c>
      <c r="AB624" s="20"/>
      <c r="AC624" s="20"/>
      <c r="AD624" s="20"/>
      <c r="AE624" s="20"/>
      <c r="AF624" s="20"/>
      <c r="AG624" s="20"/>
      <c r="AH624" s="20"/>
      <c r="AI624" s="20"/>
      <c r="AJ624" s="20"/>
      <c r="AK624" s="20"/>
      <c r="AL624" s="20"/>
      <c r="AM624" s="20"/>
      <c r="AN624" s="20"/>
      <c r="AO624" s="20"/>
      <c r="AP624" s="20"/>
      <c r="AQ624" s="20"/>
      <c r="AR624" s="20"/>
      <c r="AS624" s="20"/>
      <c r="AT624" s="20"/>
    </row>
    <row r="625">
      <c r="A625" s="20">
        <v>623.0</v>
      </c>
      <c r="B625" s="29" t="s">
        <v>631</v>
      </c>
      <c r="C625" s="20"/>
      <c r="D625" s="20"/>
      <c r="E625" s="20"/>
      <c r="F625" s="20"/>
      <c r="G625" s="20"/>
      <c r="H625" s="33" t="s">
        <v>65</v>
      </c>
      <c r="I625" s="33" t="s">
        <v>66</v>
      </c>
      <c r="J625" s="21"/>
      <c r="K625" s="20" t="str">
        <f t="shared" si="1"/>
        <v>ROADS,TRANSPORT AND PUBLIC WORKS</v>
      </c>
      <c r="L625" s="20" t="s">
        <v>107</v>
      </c>
      <c r="M625" s="20" t="str">
        <f t="shared" si="2"/>
        <v>ROADS,TRANSPORT AND PUBLIC WORKS</v>
      </c>
      <c r="N625" s="22" t="s">
        <v>510</v>
      </c>
      <c r="O625" s="22" t="s">
        <v>511</v>
      </c>
      <c r="P625" s="20" t="s">
        <v>512</v>
      </c>
      <c r="Q625" s="20" t="s">
        <v>512</v>
      </c>
      <c r="R625" s="34">
        <v>3765940.0</v>
      </c>
      <c r="S625" s="34">
        <v>3765940.0</v>
      </c>
      <c r="T625" s="34">
        <v>3765940.0</v>
      </c>
      <c r="U625" s="20" t="s">
        <v>71</v>
      </c>
      <c r="V625" s="20"/>
      <c r="W625" s="38">
        <f t="shared" si="6"/>
        <v>3765940</v>
      </c>
      <c r="X625" s="20"/>
      <c r="Y625" s="38">
        <f t="shared" si="7"/>
        <v>3765940</v>
      </c>
      <c r="Z625" s="24">
        <f t="shared" si="3"/>
        <v>1</v>
      </c>
      <c r="AA625" s="23">
        <f t="shared" si="5"/>
        <v>3765940</v>
      </c>
      <c r="AB625" s="20"/>
      <c r="AC625" s="20"/>
      <c r="AD625" s="20"/>
      <c r="AE625" s="20"/>
      <c r="AF625" s="20"/>
      <c r="AG625" s="20"/>
      <c r="AH625" s="20"/>
      <c r="AI625" s="20"/>
      <c r="AJ625" s="20"/>
      <c r="AK625" s="20"/>
      <c r="AL625" s="20"/>
      <c r="AM625" s="20"/>
      <c r="AN625" s="20"/>
      <c r="AO625" s="20"/>
      <c r="AP625" s="20"/>
      <c r="AQ625" s="20"/>
      <c r="AR625" s="20"/>
      <c r="AS625" s="20"/>
      <c r="AT625" s="20"/>
    </row>
    <row r="626">
      <c r="A626" s="20">
        <v>624.0</v>
      </c>
      <c r="B626" s="29" t="s">
        <v>632</v>
      </c>
      <c r="C626" s="20"/>
      <c r="D626" s="20"/>
      <c r="E626" s="20"/>
      <c r="F626" s="20"/>
      <c r="G626" s="20"/>
      <c r="H626" s="33" t="s">
        <v>65</v>
      </c>
      <c r="I626" s="33" t="s">
        <v>66</v>
      </c>
      <c r="J626" s="21"/>
      <c r="K626" s="20" t="str">
        <f t="shared" si="1"/>
        <v>ROADS,TRANSPORT AND PUBLIC WORKS</v>
      </c>
      <c r="L626" s="20" t="s">
        <v>107</v>
      </c>
      <c r="M626" s="20" t="str">
        <f t="shared" si="2"/>
        <v>ROADS,TRANSPORT AND PUBLIC WORKS</v>
      </c>
      <c r="N626" s="22" t="s">
        <v>510</v>
      </c>
      <c r="O626" s="22" t="s">
        <v>511</v>
      </c>
      <c r="P626" s="20" t="s">
        <v>512</v>
      </c>
      <c r="Q626" s="20" t="s">
        <v>512</v>
      </c>
      <c r="R626" s="34">
        <v>3718027.6</v>
      </c>
      <c r="S626" s="34">
        <v>3718027.6</v>
      </c>
      <c r="T626" s="34">
        <v>3718027.6</v>
      </c>
      <c r="U626" s="20" t="s">
        <v>71</v>
      </c>
      <c r="V626" s="20"/>
      <c r="W626" s="38">
        <f t="shared" si="6"/>
        <v>3718027.6</v>
      </c>
      <c r="X626" s="20"/>
      <c r="Y626" s="38">
        <f t="shared" si="7"/>
        <v>3718027.6</v>
      </c>
      <c r="Z626" s="24">
        <f t="shared" si="3"/>
        <v>1</v>
      </c>
      <c r="AA626" s="23">
        <f t="shared" si="5"/>
        <v>3718027.6</v>
      </c>
      <c r="AB626" s="20"/>
      <c r="AC626" s="20"/>
      <c r="AD626" s="20"/>
      <c r="AE626" s="20"/>
      <c r="AF626" s="20"/>
      <c r="AG626" s="20"/>
      <c r="AH626" s="20"/>
      <c r="AI626" s="20"/>
      <c r="AJ626" s="20"/>
      <c r="AK626" s="20"/>
      <c r="AL626" s="20"/>
      <c r="AM626" s="20"/>
      <c r="AN626" s="20"/>
      <c r="AO626" s="20"/>
      <c r="AP626" s="20"/>
      <c r="AQ626" s="20"/>
      <c r="AR626" s="20"/>
      <c r="AS626" s="20"/>
      <c r="AT626" s="20"/>
    </row>
    <row r="627">
      <c r="A627" s="20">
        <v>625.0</v>
      </c>
      <c r="B627" s="29" t="s">
        <v>633</v>
      </c>
      <c r="C627" s="20"/>
      <c r="D627" s="20"/>
      <c r="E627" s="20"/>
      <c r="F627" s="20"/>
      <c r="G627" s="20"/>
      <c r="H627" s="33" t="s">
        <v>65</v>
      </c>
      <c r="I627" s="33" t="s">
        <v>90</v>
      </c>
      <c r="J627" s="21"/>
      <c r="K627" s="20" t="str">
        <f t="shared" si="1"/>
        <v>ROADS,TRANSPORT AND PUBLIC WORKS</v>
      </c>
      <c r="L627" s="20" t="s">
        <v>107</v>
      </c>
      <c r="M627" s="20" t="str">
        <f t="shared" si="2"/>
        <v>ROADS,TRANSPORT AND PUBLIC WORKS</v>
      </c>
      <c r="N627" s="22" t="s">
        <v>510</v>
      </c>
      <c r="O627" s="22" t="s">
        <v>511</v>
      </c>
      <c r="P627" s="20" t="s">
        <v>512</v>
      </c>
      <c r="Q627" s="20" t="s">
        <v>512</v>
      </c>
      <c r="R627" s="34">
        <v>4100234.0</v>
      </c>
      <c r="S627" s="34">
        <v>4100234.0</v>
      </c>
      <c r="T627" s="34">
        <v>4100234.0</v>
      </c>
      <c r="U627" s="20" t="s">
        <v>71</v>
      </c>
      <c r="V627" s="20"/>
      <c r="W627" s="38">
        <f t="shared" si="6"/>
        <v>4100234</v>
      </c>
      <c r="X627" s="20"/>
      <c r="Y627" s="38">
        <f t="shared" si="7"/>
        <v>4100234</v>
      </c>
      <c r="Z627" s="24">
        <f t="shared" si="3"/>
        <v>1</v>
      </c>
      <c r="AA627" s="23">
        <f t="shared" si="5"/>
        <v>4100234</v>
      </c>
      <c r="AB627" s="20"/>
      <c r="AC627" s="20"/>
      <c r="AD627" s="20"/>
      <c r="AE627" s="20"/>
      <c r="AF627" s="20"/>
      <c r="AG627" s="20"/>
      <c r="AH627" s="20"/>
      <c r="AI627" s="20"/>
      <c r="AJ627" s="20"/>
      <c r="AK627" s="20"/>
      <c r="AL627" s="20"/>
      <c r="AM627" s="20"/>
      <c r="AN627" s="20"/>
      <c r="AO627" s="20"/>
      <c r="AP627" s="20"/>
      <c r="AQ627" s="20"/>
      <c r="AR627" s="20"/>
      <c r="AS627" s="20"/>
      <c r="AT627" s="20"/>
    </row>
    <row r="628">
      <c r="A628" s="20">
        <v>626.0</v>
      </c>
      <c r="B628" s="29" t="s">
        <v>634</v>
      </c>
      <c r="C628" s="20"/>
      <c r="D628" s="20"/>
      <c r="E628" s="20"/>
      <c r="F628" s="20"/>
      <c r="G628" s="20"/>
      <c r="H628" s="33" t="s">
        <v>65</v>
      </c>
      <c r="I628" s="33" t="s">
        <v>87</v>
      </c>
      <c r="J628" s="21"/>
      <c r="K628" s="20" t="str">
        <f t="shared" si="1"/>
        <v>ROADS,TRANSPORT AND PUBLIC WORKS</v>
      </c>
      <c r="L628" s="20" t="s">
        <v>107</v>
      </c>
      <c r="M628" s="20" t="str">
        <f t="shared" si="2"/>
        <v>ROADS,TRANSPORT AND PUBLIC WORKS</v>
      </c>
      <c r="N628" s="22" t="s">
        <v>510</v>
      </c>
      <c r="O628" s="22" t="s">
        <v>511</v>
      </c>
      <c r="P628" s="20" t="s">
        <v>512</v>
      </c>
      <c r="Q628" s="20" t="s">
        <v>512</v>
      </c>
      <c r="R628" s="34">
        <v>4465116.0</v>
      </c>
      <c r="S628" s="34">
        <v>4465116.0</v>
      </c>
      <c r="T628" s="34">
        <v>4465116.0</v>
      </c>
      <c r="U628" s="20" t="s">
        <v>71</v>
      </c>
      <c r="V628" s="20"/>
      <c r="W628" s="38">
        <f t="shared" si="6"/>
        <v>4465116</v>
      </c>
      <c r="X628" s="20"/>
      <c r="Y628" s="38">
        <f t="shared" si="7"/>
        <v>4465116</v>
      </c>
      <c r="Z628" s="24">
        <f t="shared" si="3"/>
        <v>1</v>
      </c>
      <c r="AA628" s="23">
        <f t="shared" si="5"/>
        <v>4465116</v>
      </c>
      <c r="AB628" s="20"/>
      <c r="AC628" s="20"/>
      <c r="AD628" s="20"/>
      <c r="AE628" s="20"/>
      <c r="AF628" s="20"/>
      <c r="AG628" s="20"/>
      <c r="AH628" s="20"/>
      <c r="AI628" s="20"/>
      <c r="AJ628" s="20"/>
      <c r="AK628" s="20"/>
      <c r="AL628" s="20"/>
      <c r="AM628" s="20"/>
      <c r="AN628" s="20"/>
      <c r="AO628" s="20"/>
      <c r="AP628" s="20"/>
      <c r="AQ628" s="20"/>
      <c r="AR628" s="20"/>
      <c r="AS628" s="20"/>
      <c r="AT628" s="20"/>
    </row>
    <row r="629">
      <c r="A629" s="20">
        <v>627.0</v>
      </c>
      <c r="B629" s="29" t="s">
        <v>635</v>
      </c>
      <c r="C629" s="20"/>
      <c r="D629" s="20"/>
      <c r="E629" s="20"/>
      <c r="F629" s="20"/>
      <c r="G629" s="20"/>
      <c r="H629" s="33" t="s">
        <v>65</v>
      </c>
      <c r="I629" s="33" t="s">
        <v>66</v>
      </c>
      <c r="J629" s="21"/>
      <c r="K629" s="20" t="str">
        <f t="shared" si="1"/>
        <v>ROADS,TRANSPORT AND PUBLIC WORKS</v>
      </c>
      <c r="L629" s="20" t="s">
        <v>107</v>
      </c>
      <c r="M629" s="20" t="str">
        <f t="shared" si="2"/>
        <v>ROADS,TRANSPORT AND PUBLIC WORKS</v>
      </c>
      <c r="N629" s="22" t="s">
        <v>510</v>
      </c>
      <c r="O629" s="22" t="s">
        <v>511</v>
      </c>
      <c r="P629" s="20" t="s">
        <v>512</v>
      </c>
      <c r="Q629" s="20" t="s">
        <v>512</v>
      </c>
      <c r="R629" s="34">
        <v>4606360.0</v>
      </c>
      <c r="S629" s="34">
        <v>4606360.0</v>
      </c>
      <c r="T629" s="34">
        <v>4606360.0</v>
      </c>
      <c r="U629" s="20" t="s">
        <v>71</v>
      </c>
      <c r="V629" s="20"/>
      <c r="W629" s="38">
        <f t="shared" si="6"/>
        <v>4606360</v>
      </c>
      <c r="X629" s="20"/>
      <c r="Y629" s="38">
        <f t="shared" si="7"/>
        <v>4606360</v>
      </c>
      <c r="Z629" s="24">
        <f t="shared" si="3"/>
        <v>1</v>
      </c>
      <c r="AA629" s="23">
        <f t="shared" si="5"/>
        <v>4606360</v>
      </c>
      <c r="AB629" s="20"/>
      <c r="AC629" s="20"/>
      <c r="AD629" s="20"/>
      <c r="AE629" s="20"/>
      <c r="AF629" s="20"/>
      <c r="AG629" s="20"/>
      <c r="AH629" s="20"/>
      <c r="AI629" s="20"/>
      <c r="AJ629" s="20"/>
      <c r="AK629" s="20"/>
      <c r="AL629" s="20"/>
      <c r="AM629" s="20"/>
      <c r="AN629" s="20"/>
      <c r="AO629" s="20"/>
      <c r="AP629" s="20"/>
      <c r="AQ629" s="20"/>
      <c r="AR629" s="20"/>
      <c r="AS629" s="20"/>
      <c r="AT629" s="20"/>
    </row>
    <row r="630">
      <c r="A630" s="20">
        <v>628.0</v>
      </c>
      <c r="B630" s="29" t="s">
        <v>636</v>
      </c>
      <c r="C630" s="20"/>
      <c r="D630" s="20"/>
      <c r="E630" s="20"/>
      <c r="F630" s="20"/>
      <c r="G630" s="20"/>
      <c r="H630" s="33" t="s">
        <v>104</v>
      </c>
      <c r="I630" s="33" t="s">
        <v>104</v>
      </c>
      <c r="J630" s="21"/>
      <c r="K630" s="20" t="str">
        <f t="shared" si="1"/>
        <v>ROADS,TRANSPORT AND PUBLIC WORKS</v>
      </c>
      <c r="L630" s="20" t="s">
        <v>107</v>
      </c>
      <c r="M630" s="20" t="str">
        <f t="shared" si="2"/>
        <v>ROADS,TRANSPORT AND PUBLIC WORKS</v>
      </c>
      <c r="N630" s="22" t="s">
        <v>510</v>
      </c>
      <c r="O630" s="22" t="s">
        <v>511</v>
      </c>
      <c r="P630" s="20" t="s">
        <v>512</v>
      </c>
      <c r="Q630" s="20" t="s">
        <v>512</v>
      </c>
      <c r="R630" s="34">
        <v>4976400.0</v>
      </c>
      <c r="S630" s="34">
        <v>4976400.0</v>
      </c>
      <c r="T630" s="34">
        <v>4976400.0</v>
      </c>
      <c r="U630" s="20" t="s">
        <v>71</v>
      </c>
      <c r="V630" s="20"/>
      <c r="W630" s="38">
        <f t="shared" si="6"/>
        <v>4976400</v>
      </c>
      <c r="X630" s="20"/>
      <c r="Y630" s="38">
        <f t="shared" si="7"/>
        <v>4976400</v>
      </c>
      <c r="Z630" s="24">
        <f t="shared" si="3"/>
        <v>1</v>
      </c>
      <c r="AA630" s="23">
        <f t="shared" si="5"/>
        <v>4976400</v>
      </c>
      <c r="AB630" s="20"/>
      <c r="AC630" s="20"/>
      <c r="AD630" s="20"/>
      <c r="AE630" s="20"/>
      <c r="AF630" s="20"/>
      <c r="AG630" s="20"/>
      <c r="AH630" s="20"/>
      <c r="AI630" s="20"/>
      <c r="AJ630" s="20"/>
      <c r="AK630" s="20"/>
      <c r="AL630" s="20"/>
      <c r="AM630" s="20"/>
      <c r="AN630" s="20"/>
      <c r="AO630" s="20"/>
      <c r="AP630" s="20"/>
      <c r="AQ630" s="20"/>
      <c r="AR630" s="20"/>
      <c r="AS630" s="20"/>
      <c r="AT630" s="20"/>
    </row>
    <row r="631">
      <c r="A631" s="20">
        <v>629.0</v>
      </c>
      <c r="B631" s="29" t="s">
        <v>637</v>
      </c>
      <c r="C631" s="20"/>
      <c r="D631" s="20"/>
      <c r="E631" s="20"/>
      <c r="F631" s="20"/>
      <c r="G631" s="20"/>
      <c r="H631" s="33" t="s">
        <v>65</v>
      </c>
      <c r="I631" s="33" t="s">
        <v>66</v>
      </c>
      <c r="J631" s="21"/>
      <c r="K631" s="20" t="str">
        <f t="shared" si="1"/>
        <v>ROADS,TRANSPORT AND PUBLIC WORKS</v>
      </c>
      <c r="L631" s="20" t="s">
        <v>107</v>
      </c>
      <c r="M631" s="20" t="str">
        <f t="shared" si="2"/>
        <v>ROADS,TRANSPORT AND PUBLIC WORKS</v>
      </c>
      <c r="N631" s="22" t="s">
        <v>510</v>
      </c>
      <c r="O631" s="22" t="s">
        <v>511</v>
      </c>
      <c r="P631" s="20" t="s">
        <v>512</v>
      </c>
      <c r="Q631" s="20" t="s">
        <v>512</v>
      </c>
      <c r="R631" s="34">
        <v>4658705.0</v>
      </c>
      <c r="S631" s="34">
        <v>4658705.0</v>
      </c>
      <c r="T631" s="34">
        <v>4658705.0</v>
      </c>
      <c r="U631" s="20" t="s">
        <v>71</v>
      </c>
      <c r="V631" s="20"/>
      <c r="W631" s="38">
        <f t="shared" si="6"/>
        <v>4658705</v>
      </c>
      <c r="X631" s="20"/>
      <c r="Y631" s="38">
        <f t="shared" si="7"/>
        <v>4658705</v>
      </c>
      <c r="Z631" s="24">
        <f t="shared" si="3"/>
        <v>1</v>
      </c>
      <c r="AA631" s="23">
        <f t="shared" si="5"/>
        <v>4658705</v>
      </c>
      <c r="AB631" s="20"/>
      <c r="AC631" s="20"/>
      <c r="AD631" s="20"/>
      <c r="AE631" s="20"/>
      <c r="AF631" s="20"/>
      <c r="AG631" s="20"/>
      <c r="AH631" s="20"/>
      <c r="AI631" s="20"/>
      <c r="AJ631" s="20"/>
      <c r="AK631" s="20"/>
      <c r="AL631" s="20"/>
      <c r="AM631" s="20"/>
      <c r="AN631" s="20"/>
      <c r="AO631" s="20"/>
      <c r="AP631" s="20"/>
      <c r="AQ631" s="20"/>
      <c r="AR631" s="20"/>
      <c r="AS631" s="20"/>
      <c r="AT631" s="20"/>
    </row>
    <row r="632">
      <c r="A632" s="20">
        <v>630.0</v>
      </c>
      <c r="B632" s="29" t="s">
        <v>638</v>
      </c>
      <c r="C632" s="20"/>
      <c r="D632" s="20"/>
      <c r="E632" s="20"/>
      <c r="F632" s="20"/>
      <c r="G632" s="20"/>
      <c r="H632" s="33" t="s">
        <v>65</v>
      </c>
      <c r="I632" s="33" t="s">
        <v>74</v>
      </c>
      <c r="J632" s="21"/>
      <c r="K632" s="20" t="str">
        <f t="shared" si="1"/>
        <v>ROADS,TRANSPORT AND PUBLIC WORKS</v>
      </c>
      <c r="L632" s="20" t="s">
        <v>107</v>
      </c>
      <c r="M632" s="20" t="str">
        <f t="shared" si="2"/>
        <v>ROADS,TRANSPORT AND PUBLIC WORKS</v>
      </c>
      <c r="N632" s="22" t="s">
        <v>510</v>
      </c>
      <c r="O632" s="22" t="s">
        <v>511</v>
      </c>
      <c r="P632" s="20" t="s">
        <v>512</v>
      </c>
      <c r="Q632" s="20" t="s">
        <v>512</v>
      </c>
      <c r="R632" s="34">
        <v>6650000.0</v>
      </c>
      <c r="S632" s="34">
        <v>6650000.0</v>
      </c>
      <c r="T632" s="34">
        <v>6650000.0</v>
      </c>
      <c r="U632" s="20" t="s">
        <v>71</v>
      </c>
      <c r="V632" s="20"/>
      <c r="W632" s="38">
        <f t="shared" si="6"/>
        <v>6650000</v>
      </c>
      <c r="X632" s="20"/>
      <c r="Y632" s="38">
        <f t="shared" si="7"/>
        <v>6650000</v>
      </c>
      <c r="Z632" s="24">
        <f t="shared" si="3"/>
        <v>1</v>
      </c>
      <c r="AA632" s="23">
        <f t="shared" si="5"/>
        <v>6650000</v>
      </c>
      <c r="AB632" s="20"/>
      <c r="AC632" s="20"/>
      <c r="AD632" s="20"/>
      <c r="AE632" s="20"/>
      <c r="AF632" s="20"/>
      <c r="AG632" s="20"/>
      <c r="AH632" s="20"/>
      <c r="AI632" s="20"/>
      <c r="AJ632" s="20"/>
      <c r="AK632" s="20"/>
      <c r="AL632" s="20"/>
      <c r="AM632" s="20"/>
      <c r="AN632" s="20"/>
      <c r="AO632" s="20"/>
      <c r="AP632" s="20"/>
      <c r="AQ632" s="20"/>
      <c r="AR632" s="20"/>
      <c r="AS632" s="20"/>
      <c r="AT632" s="20"/>
    </row>
    <row r="633">
      <c r="A633" s="20">
        <v>631.0</v>
      </c>
      <c r="B633" s="29" t="s">
        <v>638</v>
      </c>
      <c r="C633" s="20"/>
      <c r="D633" s="20"/>
      <c r="E633" s="20"/>
      <c r="F633" s="20"/>
      <c r="G633" s="20"/>
      <c r="H633" s="33" t="s">
        <v>65</v>
      </c>
      <c r="I633" s="33" t="s">
        <v>74</v>
      </c>
      <c r="J633" s="21"/>
      <c r="K633" s="20" t="str">
        <f t="shared" si="1"/>
        <v>ROADS,TRANSPORT AND PUBLIC WORKS</v>
      </c>
      <c r="L633" s="20" t="s">
        <v>107</v>
      </c>
      <c r="M633" s="20" t="str">
        <f t="shared" si="2"/>
        <v>ROADS,TRANSPORT AND PUBLIC WORKS</v>
      </c>
      <c r="N633" s="22" t="s">
        <v>510</v>
      </c>
      <c r="O633" s="22" t="s">
        <v>511</v>
      </c>
      <c r="P633" s="20" t="s">
        <v>512</v>
      </c>
      <c r="Q633" s="20" t="s">
        <v>512</v>
      </c>
      <c r="R633" s="34">
        <v>5500000.0</v>
      </c>
      <c r="S633" s="34">
        <v>5500000.0</v>
      </c>
      <c r="T633" s="34">
        <v>5500000.0</v>
      </c>
      <c r="U633" s="20" t="s">
        <v>71</v>
      </c>
      <c r="V633" s="20"/>
      <c r="W633" s="38">
        <f t="shared" si="6"/>
        <v>5500000</v>
      </c>
      <c r="X633" s="20"/>
      <c r="Y633" s="38">
        <f t="shared" si="7"/>
        <v>5500000</v>
      </c>
      <c r="Z633" s="24">
        <f t="shared" si="3"/>
        <v>1</v>
      </c>
      <c r="AA633" s="23">
        <f t="shared" si="5"/>
        <v>5500000</v>
      </c>
      <c r="AB633" s="20"/>
      <c r="AC633" s="20"/>
      <c r="AD633" s="20"/>
      <c r="AE633" s="20"/>
      <c r="AF633" s="20"/>
      <c r="AG633" s="20"/>
      <c r="AH633" s="20"/>
      <c r="AI633" s="20"/>
      <c r="AJ633" s="20"/>
      <c r="AK633" s="20"/>
      <c r="AL633" s="20"/>
      <c r="AM633" s="20"/>
      <c r="AN633" s="20"/>
      <c r="AO633" s="20"/>
      <c r="AP633" s="20"/>
      <c r="AQ633" s="20"/>
      <c r="AR633" s="20"/>
      <c r="AS633" s="20"/>
      <c r="AT633" s="20"/>
    </row>
    <row r="634">
      <c r="A634" s="20">
        <v>632.0</v>
      </c>
      <c r="B634" s="29" t="s">
        <v>639</v>
      </c>
      <c r="C634" s="20"/>
      <c r="D634" s="20"/>
      <c r="E634" s="20"/>
      <c r="F634" s="20"/>
      <c r="G634" s="20"/>
      <c r="H634" s="33" t="s">
        <v>65</v>
      </c>
      <c r="I634" s="33" t="s">
        <v>66</v>
      </c>
      <c r="J634" s="21"/>
      <c r="K634" s="20" t="str">
        <f t="shared" si="1"/>
        <v>ROADS,TRANSPORT AND PUBLIC WORKS</v>
      </c>
      <c r="L634" s="20" t="s">
        <v>107</v>
      </c>
      <c r="M634" s="20" t="str">
        <f t="shared" si="2"/>
        <v>ROADS,TRANSPORT AND PUBLIC WORKS</v>
      </c>
      <c r="N634" s="22" t="s">
        <v>510</v>
      </c>
      <c r="O634" s="22" t="s">
        <v>511</v>
      </c>
      <c r="P634" s="20" t="s">
        <v>512</v>
      </c>
      <c r="Q634" s="20" t="s">
        <v>512</v>
      </c>
      <c r="R634" s="34">
        <v>1.68791596E7</v>
      </c>
      <c r="S634" s="34">
        <v>1.68791596E7</v>
      </c>
      <c r="T634" s="34">
        <v>1.68791596E7</v>
      </c>
      <c r="U634" s="20" t="s">
        <v>71</v>
      </c>
      <c r="V634" s="20"/>
      <c r="W634" s="38">
        <f t="shared" si="6"/>
        <v>16879159.6</v>
      </c>
      <c r="X634" s="20"/>
      <c r="Y634" s="38">
        <f t="shared" si="7"/>
        <v>16879159.6</v>
      </c>
      <c r="Z634" s="24">
        <f t="shared" si="3"/>
        <v>1</v>
      </c>
      <c r="AA634" s="23">
        <f t="shared" si="5"/>
        <v>16879159.6</v>
      </c>
      <c r="AB634" s="20"/>
      <c r="AC634" s="20"/>
      <c r="AD634" s="20"/>
      <c r="AE634" s="20"/>
      <c r="AF634" s="20"/>
      <c r="AG634" s="20"/>
      <c r="AH634" s="20"/>
      <c r="AI634" s="20"/>
      <c r="AJ634" s="20"/>
      <c r="AK634" s="20"/>
      <c r="AL634" s="20"/>
      <c r="AM634" s="20"/>
      <c r="AN634" s="20"/>
      <c r="AO634" s="20"/>
      <c r="AP634" s="20"/>
      <c r="AQ634" s="20"/>
      <c r="AR634" s="20"/>
      <c r="AS634" s="20"/>
      <c r="AT634" s="20"/>
    </row>
    <row r="635">
      <c r="A635" s="20">
        <v>633.0</v>
      </c>
      <c r="B635" s="29" t="s">
        <v>640</v>
      </c>
      <c r="C635" s="20"/>
      <c r="D635" s="20"/>
      <c r="E635" s="20"/>
      <c r="F635" s="20"/>
      <c r="G635" s="20"/>
      <c r="H635" s="33" t="s">
        <v>65</v>
      </c>
      <c r="I635" s="33" t="s">
        <v>66</v>
      </c>
      <c r="J635" s="21"/>
      <c r="K635" s="20" t="str">
        <f t="shared" si="1"/>
        <v>ROADS,TRANSPORT AND PUBLIC WORKS</v>
      </c>
      <c r="L635" s="20" t="s">
        <v>107</v>
      </c>
      <c r="M635" s="20" t="str">
        <f t="shared" si="2"/>
        <v>ROADS,TRANSPORT AND PUBLIC WORKS</v>
      </c>
      <c r="N635" s="22" t="s">
        <v>510</v>
      </c>
      <c r="O635" s="22" t="s">
        <v>511</v>
      </c>
      <c r="P635" s="20" t="s">
        <v>512</v>
      </c>
      <c r="Q635" s="20" t="s">
        <v>512</v>
      </c>
      <c r="R635" s="34">
        <v>4677554.0</v>
      </c>
      <c r="S635" s="34">
        <v>4677554.0</v>
      </c>
      <c r="T635" s="34">
        <v>4677554.0</v>
      </c>
      <c r="U635" s="20" t="s">
        <v>71</v>
      </c>
      <c r="V635" s="20"/>
      <c r="W635" s="38">
        <f t="shared" si="6"/>
        <v>4677554</v>
      </c>
      <c r="X635" s="20"/>
      <c r="Y635" s="38">
        <f t="shared" si="7"/>
        <v>4677554</v>
      </c>
      <c r="Z635" s="24">
        <f t="shared" si="3"/>
        <v>1</v>
      </c>
      <c r="AA635" s="23">
        <f t="shared" si="5"/>
        <v>4677554</v>
      </c>
      <c r="AB635" s="20"/>
      <c r="AC635" s="20"/>
      <c r="AD635" s="20"/>
      <c r="AE635" s="20"/>
      <c r="AF635" s="20"/>
      <c r="AG635" s="20"/>
      <c r="AH635" s="20"/>
      <c r="AI635" s="20"/>
      <c r="AJ635" s="20"/>
      <c r="AK635" s="20"/>
      <c r="AL635" s="20"/>
      <c r="AM635" s="20"/>
      <c r="AN635" s="20"/>
      <c r="AO635" s="20"/>
      <c r="AP635" s="20"/>
      <c r="AQ635" s="20"/>
      <c r="AR635" s="20"/>
      <c r="AS635" s="20"/>
      <c r="AT635" s="20"/>
    </row>
    <row r="636">
      <c r="A636" s="20">
        <v>634.0</v>
      </c>
      <c r="B636" s="29" t="s">
        <v>641</v>
      </c>
      <c r="C636" s="20"/>
      <c r="D636" s="20"/>
      <c r="E636" s="20"/>
      <c r="F636" s="20"/>
      <c r="G636" s="20"/>
      <c r="H636" s="33" t="s">
        <v>65</v>
      </c>
      <c r="I636" s="33" t="s">
        <v>66</v>
      </c>
      <c r="J636" s="21"/>
      <c r="K636" s="20" t="str">
        <f t="shared" si="1"/>
        <v>ROADS,TRANSPORT AND PUBLIC WORKS</v>
      </c>
      <c r="L636" s="20" t="s">
        <v>107</v>
      </c>
      <c r="M636" s="20" t="str">
        <f t="shared" si="2"/>
        <v>ROADS,TRANSPORT AND PUBLIC WORKS</v>
      </c>
      <c r="N636" s="22" t="s">
        <v>510</v>
      </c>
      <c r="O636" s="22" t="s">
        <v>511</v>
      </c>
      <c r="P636" s="20" t="s">
        <v>512</v>
      </c>
      <c r="Q636" s="20" t="s">
        <v>512</v>
      </c>
      <c r="R636" s="34">
        <v>9793917.5</v>
      </c>
      <c r="S636" s="34">
        <v>9793917.5</v>
      </c>
      <c r="T636" s="34">
        <v>9793917.5</v>
      </c>
      <c r="U636" s="20" t="s">
        <v>71</v>
      </c>
      <c r="V636" s="20"/>
      <c r="W636" s="38">
        <f t="shared" si="6"/>
        <v>9793917.5</v>
      </c>
      <c r="X636" s="20"/>
      <c r="Y636" s="38">
        <f t="shared" si="7"/>
        <v>9793917.5</v>
      </c>
      <c r="Z636" s="24">
        <f t="shared" si="3"/>
        <v>1</v>
      </c>
      <c r="AA636" s="23">
        <f t="shared" si="5"/>
        <v>9793917.5</v>
      </c>
      <c r="AB636" s="20"/>
      <c r="AC636" s="20"/>
      <c r="AD636" s="20"/>
      <c r="AE636" s="20"/>
      <c r="AF636" s="20"/>
      <c r="AG636" s="20"/>
      <c r="AH636" s="20"/>
      <c r="AI636" s="20"/>
      <c r="AJ636" s="20"/>
      <c r="AK636" s="20"/>
      <c r="AL636" s="20"/>
      <c r="AM636" s="20"/>
      <c r="AN636" s="20"/>
      <c r="AO636" s="20"/>
      <c r="AP636" s="20"/>
      <c r="AQ636" s="20"/>
      <c r="AR636" s="20"/>
      <c r="AS636" s="20"/>
      <c r="AT636" s="20"/>
    </row>
    <row r="637">
      <c r="A637" s="20">
        <v>635.0</v>
      </c>
      <c r="B637" s="29" t="s">
        <v>642</v>
      </c>
      <c r="C637" s="20"/>
      <c r="D637" s="20"/>
      <c r="E637" s="20"/>
      <c r="F637" s="20"/>
      <c r="G637" s="20"/>
      <c r="H637" s="33" t="s">
        <v>65</v>
      </c>
      <c r="I637" s="33" t="s">
        <v>66</v>
      </c>
      <c r="J637" s="21"/>
      <c r="K637" s="20" t="str">
        <f t="shared" si="1"/>
        <v>ROADS,TRANSPORT AND PUBLIC WORKS</v>
      </c>
      <c r="L637" s="20" t="s">
        <v>107</v>
      </c>
      <c r="M637" s="20" t="str">
        <f t="shared" si="2"/>
        <v>ROADS,TRANSPORT AND PUBLIC WORKS</v>
      </c>
      <c r="N637" s="22" t="s">
        <v>510</v>
      </c>
      <c r="O637" s="22" t="s">
        <v>511</v>
      </c>
      <c r="P637" s="20" t="s">
        <v>512</v>
      </c>
      <c r="Q637" s="20" t="s">
        <v>512</v>
      </c>
      <c r="R637" s="34">
        <v>6000000.0</v>
      </c>
      <c r="S637" s="34">
        <v>6000000.0</v>
      </c>
      <c r="T637" s="34">
        <v>6000000.0</v>
      </c>
      <c r="U637" s="20" t="s">
        <v>71</v>
      </c>
      <c r="V637" s="20"/>
      <c r="W637" s="38">
        <f t="shared" si="6"/>
        <v>6000000</v>
      </c>
      <c r="X637" s="20"/>
      <c r="Y637" s="38">
        <f t="shared" si="7"/>
        <v>6000000</v>
      </c>
      <c r="Z637" s="24">
        <f t="shared" si="3"/>
        <v>1</v>
      </c>
      <c r="AA637" s="23">
        <f t="shared" si="5"/>
        <v>6000000</v>
      </c>
      <c r="AB637" s="20"/>
      <c r="AC637" s="20"/>
      <c r="AD637" s="20"/>
      <c r="AE637" s="20"/>
      <c r="AF637" s="20"/>
      <c r="AG637" s="20"/>
      <c r="AH637" s="20"/>
      <c r="AI637" s="20"/>
      <c r="AJ637" s="20"/>
      <c r="AK637" s="20"/>
      <c r="AL637" s="20"/>
      <c r="AM637" s="20"/>
      <c r="AN637" s="20"/>
      <c r="AO637" s="20"/>
      <c r="AP637" s="20"/>
      <c r="AQ637" s="20"/>
      <c r="AR637" s="20"/>
      <c r="AS637" s="20"/>
      <c r="AT637" s="20"/>
    </row>
    <row r="638">
      <c r="A638" s="20">
        <v>636.0</v>
      </c>
      <c r="B638" s="29" t="s">
        <v>643</v>
      </c>
      <c r="C638" s="20"/>
      <c r="D638" s="20"/>
      <c r="E638" s="20"/>
      <c r="F638" s="20"/>
      <c r="G638" s="20"/>
      <c r="H638" s="33" t="s">
        <v>65</v>
      </c>
      <c r="I638" s="33" t="s">
        <v>66</v>
      </c>
      <c r="J638" s="21"/>
      <c r="K638" s="20" t="str">
        <f t="shared" si="1"/>
        <v>ROADS,TRANSPORT AND PUBLIC WORKS</v>
      </c>
      <c r="L638" s="20" t="s">
        <v>107</v>
      </c>
      <c r="M638" s="20" t="str">
        <f t="shared" si="2"/>
        <v>ROADS,TRANSPORT AND PUBLIC WORKS</v>
      </c>
      <c r="N638" s="22" t="s">
        <v>510</v>
      </c>
      <c r="O638" s="22" t="s">
        <v>511</v>
      </c>
      <c r="P638" s="20" t="s">
        <v>512</v>
      </c>
      <c r="Q638" s="20" t="s">
        <v>512</v>
      </c>
      <c r="R638" s="34">
        <v>4000000.0</v>
      </c>
      <c r="S638" s="34">
        <v>4000000.0</v>
      </c>
      <c r="T638" s="34">
        <v>4000000.0</v>
      </c>
      <c r="U638" s="20" t="s">
        <v>71</v>
      </c>
      <c r="V638" s="20"/>
      <c r="W638" s="38">
        <f t="shared" si="6"/>
        <v>4000000</v>
      </c>
      <c r="X638" s="20"/>
      <c r="Y638" s="38">
        <f t="shared" si="7"/>
        <v>4000000</v>
      </c>
      <c r="Z638" s="24">
        <f t="shared" si="3"/>
        <v>1</v>
      </c>
      <c r="AA638" s="23">
        <f t="shared" si="5"/>
        <v>4000000</v>
      </c>
      <c r="AB638" s="20"/>
      <c r="AC638" s="20"/>
      <c r="AD638" s="20"/>
      <c r="AE638" s="20"/>
      <c r="AF638" s="20"/>
      <c r="AG638" s="20"/>
      <c r="AH638" s="20"/>
      <c r="AI638" s="20"/>
      <c r="AJ638" s="20"/>
      <c r="AK638" s="20"/>
      <c r="AL638" s="20"/>
      <c r="AM638" s="20"/>
      <c r="AN638" s="20"/>
      <c r="AO638" s="20"/>
      <c r="AP638" s="20"/>
      <c r="AQ638" s="20"/>
      <c r="AR638" s="20"/>
      <c r="AS638" s="20"/>
      <c r="AT638" s="20"/>
    </row>
    <row r="639">
      <c r="A639" s="20">
        <v>637.0</v>
      </c>
      <c r="B639" s="29" t="s">
        <v>644</v>
      </c>
      <c r="C639" s="20"/>
      <c r="D639" s="20"/>
      <c r="E639" s="20"/>
      <c r="F639" s="20"/>
      <c r="G639" s="20"/>
      <c r="H639" s="33" t="s">
        <v>65</v>
      </c>
      <c r="I639" s="33" t="s">
        <v>66</v>
      </c>
      <c r="J639" s="21"/>
      <c r="K639" s="20" t="str">
        <f t="shared" si="1"/>
        <v>ROADS,TRANSPORT AND PUBLIC WORKS</v>
      </c>
      <c r="L639" s="20" t="s">
        <v>107</v>
      </c>
      <c r="M639" s="20" t="str">
        <f t="shared" si="2"/>
        <v>ROADS,TRANSPORT AND PUBLIC WORKS</v>
      </c>
      <c r="N639" s="22" t="s">
        <v>510</v>
      </c>
      <c r="O639" s="22" t="s">
        <v>511</v>
      </c>
      <c r="P639" s="20" t="s">
        <v>512</v>
      </c>
      <c r="Q639" s="20" t="s">
        <v>512</v>
      </c>
      <c r="R639" s="34">
        <v>4500000.0</v>
      </c>
      <c r="S639" s="34">
        <v>4500000.0</v>
      </c>
      <c r="T639" s="34">
        <v>4500000.0</v>
      </c>
      <c r="U639" s="20" t="s">
        <v>71</v>
      </c>
      <c r="V639" s="20"/>
      <c r="W639" s="38">
        <f t="shared" si="6"/>
        <v>4500000</v>
      </c>
      <c r="X639" s="20"/>
      <c r="Y639" s="38">
        <f t="shared" si="7"/>
        <v>4500000</v>
      </c>
      <c r="Z639" s="24">
        <f t="shared" si="3"/>
        <v>1</v>
      </c>
      <c r="AA639" s="23">
        <f t="shared" si="5"/>
        <v>4500000</v>
      </c>
      <c r="AB639" s="20"/>
      <c r="AC639" s="20"/>
      <c r="AD639" s="20"/>
      <c r="AE639" s="20"/>
      <c r="AF639" s="20"/>
      <c r="AG639" s="20"/>
      <c r="AH639" s="20"/>
      <c r="AI639" s="20"/>
      <c r="AJ639" s="20"/>
      <c r="AK639" s="20"/>
      <c r="AL639" s="20"/>
      <c r="AM639" s="20"/>
      <c r="AN639" s="20"/>
      <c r="AO639" s="20"/>
      <c r="AP639" s="20"/>
      <c r="AQ639" s="20"/>
      <c r="AR639" s="20"/>
      <c r="AS639" s="20"/>
      <c r="AT639" s="20"/>
    </row>
    <row r="640">
      <c r="A640" s="20">
        <v>638.0</v>
      </c>
      <c r="B640" s="29" t="s">
        <v>645</v>
      </c>
      <c r="C640" s="20"/>
      <c r="D640" s="20"/>
      <c r="E640" s="20"/>
      <c r="F640" s="20"/>
      <c r="G640" s="20"/>
      <c r="H640" s="33" t="s">
        <v>65</v>
      </c>
      <c r="I640" s="33" t="s">
        <v>66</v>
      </c>
      <c r="J640" s="21"/>
      <c r="K640" s="20" t="str">
        <f t="shared" si="1"/>
        <v>ROADS,TRANSPORT AND PUBLIC WORKS</v>
      </c>
      <c r="L640" s="20" t="s">
        <v>107</v>
      </c>
      <c r="M640" s="20" t="str">
        <f t="shared" si="2"/>
        <v>ROADS,TRANSPORT AND PUBLIC WORKS</v>
      </c>
      <c r="N640" s="22" t="s">
        <v>510</v>
      </c>
      <c r="O640" s="22" t="s">
        <v>511</v>
      </c>
      <c r="P640" s="20" t="s">
        <v>512</v>
      </c>
      <c r="Q640" s="20" t="s">
        <v>512</v>
      </c>
      <c r="R640" s="34">
        <v>1879599.0</v>
      </c>
      <c r="S640" s="34">
        <v>1879599.0</v>
      </c>
      <c r="T640" s="34">
        <v>1879599.0</v>
      </c>
      <c r="U640" s="20" t="s">
        <v>71</v>
      </c>
      <c r="V640" s="20"/>
      <c r="W640" s="38">
        <f t="shared" si="6"/>
        <v>1879599</v>
      </c>
      <c r="X640" s="20"/>
      <c r="Y640" s="38">
        <f t="shared" si="7"/>
        <v>1879599</v>
      </c>
      <c r="Z640" s="24">
        <f t="shared" si="3"/>
        <v>1</v>
      </c>
      <c r="AA640" s="23">
        <f t="shared" si="5"/>
        <v>1879599</v>
      </c>
      <c r="AB640" s="20"/>
      <c r="AC640" s="20"/>
      <c r="AD640" s="20"/>
      <c r="AE640" s="20"/>
      <c r="AF640" s="20"/>
      <c r="AG640" s="20"/>
      <c r="AH640" s="20"/>
      <c r="AI640" s="20"/>
      <c r="AJ640" s="20"/>
      <c r="AK640" s="20"/>
      <c r="AL640" s="20"/>
      <c r="AM640" s="20"/>
      <c r="AN640" s="20"/>
      <c r="AO640" s="20"/>
      <c r="AP640" s="20"/>
      <c r="AQ640" s="20"/>
      <c r="AR640" s="20"/>
      <c r="AS640" s="20"/>
      <c r="AT640" s="20"/>
    </row>
    <row r="641">
      <c r="A641" s="20">
        <v>639.0</v>
      </c>
      <c r="B641" s="29" t="s">
        <v>640</v>
      </c>
      <c r="C641" s="20"/>
      <c r="D641" s="20"/>
      <c r="E641" s="20"/>
      <c r="F641" s="20"/>
      <c r="G641" s="20"/>
      <c r="H641" s="33" t="s">
        <v>65</v>
      </c>
      <c r="I641" s="33" t="s">
        <v>66</v>
      </c>
      <c r="J641" s="21"/>
      <c r="K641" s="20" t="str">
        <f t="shared" si="1"/>
        <v>ROADS,TRANSPORT AND PUBLIC WORKS</v>
      </c>
      <c r="L641" s="20" t="s">
        <v>107</v>
      </c>
      <c r="M641" s="20" t="str">
        <f t="shared" si="2"/>
        <v>ROADS,TRANSPORT AND PUBLIC WORKS</v>
      </c>
      <c r="N641" s="22" t="s">
        <v>510</v>
      </c>
      <c r="O641" s="22" t="s">
        <v>511</v>
      </c>
      <c r="P641" s="20" t="s">
        <v>512</v>
      </c>
      <c r="Q641" s="20" t="s">
        <v>512</v>
      </c>
      <c r="R641" s="34">
        <v>4532102.2</v>
      </c>
      <c r="S641" s="34">
        <v>4532102.2</v>
      </c>
      <c r="T641" s="34">
        <v>4532102.2</v>
      </c>
      <c r="U641" s="20" t="s">
        <v>71</v>
      </c>
      <c r="V641" s="20"/>
      <c r="W641" s="38">
        <f t="shared" si="6"/>
        <v>4532102.2</v>
      </c>
      <c r="X641" s="20"/>
      <c r="Y641" s="38">
        <f t="shared" si="7"/>
        <v>4532102.2</v>
      </c>
      <c r="Z641" s="24">
        <f t="shared" si="3"/>
        <v>1</v>
      </c>
      <c r="AA641" s="23">
        <f t="shared" si="5"/>
        <v>4532102.2</v>
      </c>
      <c r="AB641" s="20"/>
      <c r="AC641" s="20"/>
      <c r="AD641" s="20"/>
      <c r="AE641" s="20"/>
      <c r="AF641" s="20"/>
      <c r="AG641" s="20"/>
      <c r="AH641" s="20"/>
      <c r="AI641" s="20"/>
      <c r="AJ641" s="20"/>
      <c r="AK641" s="20"/>
      <c r="AL641" s="20"/>
      <c r="AM641" s="20"/>
      <c r="AN641" s="20"/>
      <c r="AO641" s="20"/>
      <c r="AP641" s="20"/>
      <c r="AQ641" s="20"/>
      <c r="AR641" s="20"/>
      <c r="AS641" s="20"/>
      <c r="AT641" s="20"/>
    </row>
    <row r="642">
      <c r="A642" s="20">
        <v>640.0</v>
      </c>
      <c r="B642" s="29" t="s">
        <v>646</v>
      </c>
      <c r="C642" s="20"/>
      <c r="D642" s="20"/>
      <c r="E642" s="20"/>
      <c r="F642" s="20"/>
      <c r="G642" s="20"/>
      <c r="H642" s="33" t="s">
        <v>65</v>
      </c>
      <c r="I642" s="33" t="s">
        <v>66</v>
      </c>
      <c r="J642" s="21"/>
      <c r="K642" s="20" t="str">
        <f t="shared" si="1"/>
        <v>WATER,ENVIRONMENT,CLIMATE CHANGE AND NATURAL RESOURCES</v>
      </c>
      <c r="L642" s="20" t="s">
        <v>75</v>
      </c>
      <c r="M642" s="20" t="str">
        <f t="shared" si="2"/>
        <v>WATER,ENVIRONMENT,CLIMATE CHANGE AND NATURAL RESOURCES</v>
      </c>
      <c r="N642" s="22" t="s">
        <v>510</v>
      </c>
      <c r="O642" s="22" t="s">
        <v>511</v>
      </c>
      <c r="P642" s="20" t="s">
        <v>512</v>
      </c>
      <c r="Q642" s="20" t="s">
        <v>512</v>
      </c>
      <c r="R642" s="34">
        <v>5000000.0</v>
      </c>
      <c r="S642" s="34">
        <v>5000000.0</v>
      </c>
      <c r="T642" s="34">
        <v>5000000.0</v>
      </c>
      <c r="U642" s="20" t="s">
        <v>71</v>
      </c>
      <c r="V642" s="20"/>
      <c r="W642" s="38">
        <f t="shared" si="6"/>
        <v>5000000</v>
      </c>
      <c r="X642" s="20"/>
      <c r="Y642" s="38">
        <f t="shared" si="7"/>
        <v>5000000</v>
      </c>
      <c r="Z642" s="24">
        <f t="shared" si="3"/>
        <v>1</v>
      </c>
      <c r="AA642" s="23">
        <f t="shared" si="5"/>
        <v>5000000</v>
      </c>
      <c r="AB642" s="20"/>
      <c r="AC642" s="20"/>
      <c r="AD642" s="20"/>
      <c r="AE642" s="20"/>
      <c r="AF642" s="20"/>
      <c r="AG642" s="20"/>
      <c r="AH642" s="20"/>
      <c r="AI642" s="20"/>
      <c r="AJ642" s="20"/>
      <c r="AK642" s="20"/>
      <c r="AL642" s="20"/>
      <c r="AM642" s="20"/>
      <c r="AN642" s="20"/>
      <c r="AO642" s="20"/>
      <c r="AP642" s="20"/>
      <c r="AQ642" s="20"/>
      <c r="AR642" s="20"/>
      <c r="AS642" s="20"/>
      <c r="AT642" s="20"/>
    </row>
    <row r="643">
      <c r="A643" s="20">
        <v>641.0</v>
      </c>
      <c r="B643" s="29" t="s">
        <v>118</v>
      </c>
      <c r="C643" s="20"/>
      <c r="D643" s="20"/>
      <c r="E643" s="20"/>
      <c r="F643" s="20"/>
      <c r="G643" s="20"/>
      <c r="H643" s="33" t="s">
        <v>65</v>
      </c>
      <c r="I643" s="33" t="s">
        <v>66</v>
      </c>
      <c r="J643" s="21"/>
      <c r="K643" s="20" t="str">
        <f t="shared" si="1"/>
        <v>WATER,ENVIRONMENT,CLIMATE CHANGE AND NATURAL RESOURCES</v>
      </c>
      <c r="L643" s="20" t="s">
        <v>75</v>
      </c>
      <c r="M643" s="20" t="str">
        <f t="shared" si="2"/>
        <v>WATER,ENVIRONMENT,CLIMATE CHANGE AND NATURAL RESOURCES</v>
      </c>
      <c r="N643" s="22" t="s">
        <v>510</v>
      </c>
      <c r="O643" s="22" t="s">
        <v>511</v>
      </c>
      <c r="P643" s="20" t="s">
        <v>512</v>
      </c>
      <c r="Q643" s="20" t="s">
        <v>512</v>
      </c>
      <c r="R643" s="34">
        <v>4112653.0</v>
      </c>
      <c r="S643" s="34">
        <v>4112653.0</v>
      </c>
      <c r="T643" s="34">
        <v>4112653.0</v>
      </c>
      <c r="U643" s="20" t="s">
        <v>71</v>
      </c>
      <c r="V643" s="20"/>
      <c r="W643" s="38">
        <f t="shared" si="6"/>
        <v>4112653</v>
      </c>
      <c r="X643" s="20"/>
      <c r="Y643" s="38">
        <f t="shared" si="7"/>
        <v>4112653</v>
      </c>
      <c r="Z643" s="24">
        <f t="shared" si="3"/>
        <v>1</v>
      </c>
      <c r="AA643" s="23">
        <f t="shared" si="5"/>
        <v>4112653</v>
      </c>
      <c r="AB643" s="20"/>
      <c r="AC643" s="20"/>
      <c r="AD643" s="20"/>
      <c r="AE643" s="20"/>
      <c r="AF643" s="20"/>
      <c r="AG643" s="20"/>
      <c r="AH643" s="20"/>
      <c r="AI643" s="20"/>
      <c r="AJ643" s="20"/>
      <c r="AK643" s="20"/>
      <c r="AL643" s="20"/>
      <c r="AM643" s="20"/>
      <c r="AN643" s="20"/>
      <c r="AO643" s="20"/>
      <c r="AP643" s="20"/>
      <c r="AQ643" s="20"/>
      <c r="AR643" s="20"/>
      <c r="AS643" s="20"/>
      <c r="AT643" s="20"/>
    </row>
    <row r="644">
      <c r="A644" s="20">
        <v>642.0</v>
      </c>
      <c r="B644" s="29" t="s">
        <v>647</v>
      </c>
      <c r="C644" s="20"/>
      <c r="D644" s="20"/>
      <c r="E644" s="20"/>
      <c r="F644" s="20"/>
      <c r="G644" s="20"/>
      <c r="H644" s="33" t="s">
        <v>77</v>
      </c>
      <c r="I644" s="33" t="s">
        <v>157</v>
      </c>
      <c r="J644" s="21"/>
      <c r="K644" s="20" t="str">
        <f t="shared" si="1"/>
        <v>Health services</v>
      </c>
      <c r="L644" s="20" t="s">
        <v>67</v>
      </c>
      <c r="M644" s="20" t="str">
        <f t="shared" si="2"/>
        <v>Health services</v>
      </c>
      <c r="N644" s="22" t="s">
        <v>510</v>
      </c>
      <c r="O644" s="22" t="s">
        <v>511</v>
      </c>
      <c r="P644" s="20" t="s">
        <v>512</v>
      </c>
      <c r="Q644" s="20" t="s">
        <v>512</v>
      </c>
      <c r="R644" s="34">
        <v>7123441.0</v>
      </c>
      <c r="S644" s="34">
        <v>7123441.0</v>
      </c>
      <c r="T644" s="34">
        <v>7123441.0</v>
      </c>
      <c r="U644" s="20" t="s">
        <v>71</v>
      </c>
      <c r="V644" s="20"/>
      <c r="W644" s="38">
        <f t="shared" si="6"/>
        <v>7123441</v>
      </c>
      <c r="X644" s="20"/>
      <c r="Y644" s="38">
        <f t="shared" si="7"/>
        <v>7123441</v>
      </c>
      <c r="Z644" s="24">
        <f t="shared" si="3"/>
        <v>1</v>
      </c>
      <c r="AA644" s="23">
        <f t="shared" si="5"/>
        <v>7123441</v>
      </c>
      <c r="AB644" s="20"/>
      <c r="AC644" s="20"/>
      <c r="AD644" s="20"/>
      <c r="AE644" s="20"/>
      <c r="AF644" s="20"/>
      <c r="AG644" s="20"/>
      <c r="AH644" s="20"/>
      <c r="AI644" s="20"/>
      <c r="AJ644" s="20"/>
      <c r="AK644" s="20"/>
      <c r="AL644" s="20"/>
      <c r="AM644" s="20"/>
      <c r="AN644" s="20"/>
      <c r="AO644" s="20"/>
      <c r="AP644" s="20"/>
      <c r="AQ644" s="20"/>
      <c r="AR644" s="20"/>
      <c r="AS644" s="20"/>
      <c r="AT644" s="20"/>
    </row>
    <row r="645">
      <c r="A645" s="20">
        <v>643.0</v>
      </c>
      <c r="B645" s="29" t="s">
        <v>648</v>
      </c>
      <c r="C645" s="20"/>
      <c r="D645" s="20"/>
      <c r="E645" s="20"/>
      <c r="F645" s="20"/>
      <c r="G645" s="20"/>
      <c r="H645" s="33" t="s">
        <v>65</v>
      </c>
      <c r="I645" s="33" t="s">
        <v>66</v>
      </c>
      <c r="J645" s="21"/>
      <c r="K645" s="20" t="str">
        <f t="shared" si="1"/>
        <v>ROADS,TRANSPORT AND PUBLIC WORKS</v>
      </c>
      <c r="L645" s="20" t="s">
        <v>107</v>
      </c>
      <c r="M645" s="20" t="str">
        <f t="shared" si="2"/>
        <v>ROADS,TRANSPORT AND PUBLIC WORKS</v>
      </c>
      <c r="N645" s="22" t="s">
        <v>510</v>
      </c>
      <c r="O645" s="22" t="s">
        <v>511</v>
      </c>
      <c r="P645" s="20" t="s">
        <v>512</v>
      </c>
      <c r="Q645" s="20" t="s">
        <v>512</v>
      </c>
      <c r="R645" s="34">
        <v>4921300.0</v>
      </c>
      <c r="S645" s="34">
        <v>4921300.0</v>
      </c>
      <c r="T645" s="34">
        <v>4921300.0</v>
      </c>
      <c r="U645" s="20" t="s">
        <v>71</v>
      </c>
      <c r="V645" s="20"/>
      <c r="W645" s="38">
        <f t="shared" si="6"/>
        <v>4921300</v>
      </c>
      <c r="X645" s="20"/>
      <c r="Y645" s="38">
        <f t="shared" si="7"/>
        <v>4921300</v>
      </c>
      <c r="Z645" s="24">
        <f t="shared" si="3"/>
        <v>1</v>
      </c>
      <c r="AA645" s="23">
        <f t="shared" si="5"/>
        <v>4921300</v>
      </c>
      <c r="AB645" s="20"/>
      <c r="AC645" s="20"/>
      <c r="AD645" s="20"/>
      <c r="AE645" s="20"/>
      <c r="AF645" s="20"/>
      <c r="AG645" s="20"/>
      <c r="AH645" s="20"/>
      <c r="AI645" s="20"/>
      <c r="AJ645" s="20"/>
      <c r="AK645" s="20"/>
      <c r="AL645" s="20"/>
      <c r="AM645" s="20"/>
      <c r="AN645" s="20"/>
      <c r="AO645" s="20"/>
      <c r="AP645" s="20"/>
      <c r="AQ645" s="20"/>
      <c r="AR645" s="20"/>
      <c r="AS645" s="20"/>
      <c r="AT645" s="20"/>
    </row>
    <row r="646">
      <c r="A646" s="20">
        <v>644.0</v>
      </c>
      <c r="B646" s="29" t="s">
        <v>649</v>
      </c>
      <c r="C646" s="20"/>
      <c r="D646" s="20"/>
      <c r="E646" s="20"/>
      <c r="F646" s="20"/>
      <c r="G646" s="20"/>
      <c r="H646" s="33" t="s">
        <v>65</v>
      </c>
      <c r="I646" s="33" t="s">
        <v>66</v>
      </c>
      <c r="J646" s="21"/>
      <c r="K646" s="20" t="str">
        <f t="shared" si="1"/>
        <v>ROADS,TRANSPORT AND PUBLIC WORKS</v>
      </c>
      <c r="L646" s="20" t="s">
        <v>107</v>
      </c>
      <c r="M646" s="20" t="str">
        <f t="shared" si="2"/>
        <v>ROADS,TRANSPORT AND PUBLIC WORKS</v>
      </c>
      <c r="N646" s="22" t="s">
        <v>510</v>
      </c>
      <c r="O646" s="22" t="s">
        <v>511</v>
      </c>
      <c r="P646" s="20" t="s">
        <v>512</v>
      </c>
      <c r="Q646" s="20" t="s">
        <v>512</v>
      </c>
      <c r="R646" s="34">
        <v>2337773.0</v>
      </c>
      <c r="S646" s="34">
        <v>2337773.0</v>
      </c>
      <c r="T646" s="34">
        <v>2337773.0</v>
      </c>
      <c r="U646" s="20" t="s">
        <v>71</v>
      </c>
      <c r="V646" s="20"/>
      <c r="W646" s="38">
        <f t="shared" si="6"/>
        <v>2337773</v>
      </c>
      <c r="X646" s="20"/>
      <c r="Y646" s="38">
        <f t="shared" si="7"/>
        <v>2337773</v>
      </c>
      <c r="Z646" s="24">
        <f t="shared" si="3"/>
        <v>1</v>
      </c>
      <c r="AA646" s="23">
        <f t="shared" si="5"/>
        <v>2337773</v>
      </c>
      <c r="AB646" s="20"/>
      <c r="AC646" s="20"/>
      <c r="AD646" s="20"/>
      <c r="AE646" s="20"/>
      <c r="AF646" s="20"/>
      <c r="AG646" s="20"/>
      <c r="AH646" s="20"/>
      <c r="AI646" s="20"/>
      <c r="AJ646" s="20"/>
      <c r="AK646" s="20"/>
      <c r="AL646" s="20"/>
      <c r="AM646" s="20"/>
      <c r="AN646" s="20"/>
      <c r="AO646" s="20"/>
      <c r="AP646" s="20"/>
      <c r="AQ646" s="20"/>
      <c r="AR646" s="20"/>
      <c r="AS646" s="20"/>
      <c r="AT646" s="20"/>
    </row>
    <row r="647">
      <c r="A647" s="20">
        <v>645.0</v>
      </c>
      <c r="B647" s="29" t="s">
        <v>649</v>
      </c>
      <c r="C647" s="20"/>
      <c r="D647" s="20"/>
      <c r="E647" s="20"/>
      <c r="F647" s="20"/>
      <c r="G647" s="20"/>
      <c r="H647" s="33" t="s">
        <v>65</v>
      </c>
      <c r="I647" s="33" t="s">
        <v>66</v>
      </c>
      <c r="J647" s="21"/>
      <c r="K647" s="20" t="str">
        <f t="shared" si="1"/>
        <v>ROADS,TRANSPORT AND PUBLIC WORKS</v>
      </c>
      <c r="L647" s="20" t="s">
        <v>107</v>
      </c>
      <c r="M647" s="20" t="str">
        <f t="shared" si="2"/>
        <v>ROADS,TRANSPORT AND PUBLIC WORKS</v>
      </c>
      <c r="N647" s="22" t="s">
        <v>510</v>
      </c>
      <c r="O647" s="22" t="s">
        <v>511</v>
      </c>
      <c r="P647" s="20" t="s">
        <v>512</v>
      </c>
      <c r="Q647" s="20" t="s">
        <v>512</v>
      </c>
      <c r="R647" s="34">
        <v>2440332.0</v>
      </c>
      <c r="S647" s="34">
        <v>2440332.0</v>
      </c>
      <c r="T647" s="34">
        <v>2440332.0</v>
      </c>
      <c r="U647" s="20" t="s">
        <v>71</v>
      </c>
      <c r="V647" s="20"/>
      <c r="W647" s="38">
        <f t="shared" si="6"/>
        <v>2440332</v>
      </c>
      <c r="X647" s="20"/>
      <c r="Y647" s="38">
        <f t="shared" si="7"/>
        <v>2440332</v>
      </c>
      <c r="Z647" s="24">
        <f t="shared" si="3"/>
        <v>1</v>
      </c>
      <c r="AA647" s="23">
        <f t="shared" si="5"/>
        <v>2440332</v>
      </c>
      <c r="AB647" s="20"/>
      <c r="AC647" s="20"/>
      <c r="AD647" s="20"/>
      <c r="AE647" s="20"/>
      <c r="AF647" s="20"/>
      <c r="AG647" s="20"/>
      <c r="AH647" s="20"/>
      <c r="AI647" s="20"/>
      <c r="AJ647" s="20"/>
      <c r="AK647" s="20"/>
      <c r="AL647" s="20"/>
      <c r="AM647" s="20"/>
      <c r="AN647" s="20"/>
      <c r="AO647" s="20"/>
      <c r="AP647" s="20"/>
      <c r="AQ647" s="20"/>
      <c r="AR647" s="20"/>
      <c r="AS647" s="20"/>
      <c r="AT647" s="20"/>
    </row>
    <row r="648">
      <c r="A648" s="20">
        <v>646.0</v>
      </c>
      <c r="B648" s="29" t="s">
        <v>650</v>
      </c>
      <c r="C648" s="20"/>
      <c r="D648" s="20"/>
      <c r="E648" s="20"/>
      <c r="F648" s="20"/>
      <c r="G648" s="20"/>
      <c r="H648" s="33" t="s">
        <v>113</v>
      </c>
      <c r="I648" s="33" t="s">
        <v>114</v>
      </c>
      <c r="J648" s="21"/>
      <c r="K648" s="20" t="str">
        <f t="shared" si="1"/>
        <v>WATER,ENVIRONMENT,CLIMATE CHANGE AND NATURAL RESOURCES</v>
      </c>
      <c r="L648" s="20" t="s">
        <v>75</v>
      </c>
      <c r="M648" s="20" t="str">
        <f t="shared" si="2"/>
        <v>WATER,ENVIRONMENT,CLIMATE CHANGE AND NATURAL RESOURCES</v>
      </c>
      <c r="N648" s="22" t="s">
        <v>510</v>
      </c>
      <c r="O648" s="22" t="s">
        <v>511</v>
      </c>
      <c r="P648" s="20" t="s">
        <v>512</v>
      </c>
      <c r="Q648" s="20" t="s">
        <v>512</v>
      </c>
      <c r="R648" s="34">
        <v>2133278.0</v>
      </c>
      <c r="S648" s="34">
        <v>2133278.0</v>
      </c>
      <c r="T648" s="34">
        <v>2133278.0</v>
      </c>
      <c r="U648" s="20" t="s">
        <v>71</v>
      </c>
      <c r="V648" s="20"/>
      <c r="W648" s="38">
        <f t="shared" si="6"/>
        <v>2133278</v>
      </c>
      <c r="X648" s="20"/>
      <c r="Y648" s="38">
        <f t="shared" si="7"/>
        <v>2133278</v>
      </c>
      <c r="Z648" s="24">
        <f t="shared" si="3"/>
        <v>1</v>
      </c>
      <c r="AA648" s="23">
        <f t="shared" si="5"/>
        <v>2133278</v>
      </c>
      <c r="AB648" s="20"/>
      <c r="AC648" s="20"/>
      <c r="AD648" s="20"/>
      <c r="AE648" s="20"/>
      <c r="AF648" s="20"/>
      <c r="AG648" s="20"/>
      <c r="AH648" s="20"/>
      <c r="AI648" s="20"/>
      <c r="AJ648" s="20"/>
      <c r="AK648" s="20"/>
      <c r="AL648" s="20"/>
      <c r="AM648" s="20"/>
      <c r="AN648" s="20"/>
      <c r="AO648" s="20"/>
      <c r="AP648" s="20"/>
      <c r="AQ648" s="20"/>
      <c r="AR648" s="20"/>
      <c r="AS648" s="20"/>
      <c r="AT648" s="20"/>
    </row>
    <row r="649">
      <c r="A649" s="20">
        <v>647.0</v>
      </c>
      <c r="B649" s="29" t="s">
        <v>651</v>
      </c>
      <c r="C649" s="20"/>
      <c r="D649" s="20"/>
      <c r="E649" s="20"/>
      <c r="F649" s="20"/>
      <c r="G649" s="20"/>
      <c r="H649" s="33" t="s">
        <v>65</v>
      </c>
      <c r="I649" s="33" t="s">
        <v>66</v>
      </c>
      <c r="J649" s="21"/>
      <c r="K649" s="20" t="str">
        <f t="shared" si="1"/>
        <v>ROADS,TRANSPORT AND PUBLIC WORKS</v>
      </c>
      <c r="L649" s="20" t="s">
        <v>107</v>
      </c>
      <c r="M649" s="20" t="str">
        <f t="shared" si="2"/>
        <v>ROADS,TRANSPORT AND PUBLIC WORKS</v>
      </c>
      <c r="N649" s="22" t="s">
        <v>510</v>
      </c>
      <c r="O649" s="22" t="s">
        <v>511</v>
      </c>
      <c r="P649" s="20" t="s">
        <v>512</v>
      </c>
      <c r="Q649" s="20" t="s">
        <v>512</v>
      </c>
      <c r="R649" s="34">
        <v>6942001.0</v>
      </c>
      <c r="S649" s="34">
        <v>6942001.0</v>
      </c>
      <c r="T649" s="34">
        <v>6942001.0</v>
      </c>
      <c r="U649" s="20" t="s">
        <v>71</v>
      </c>
      <c r="V649" s="20"/>
      <c r="W649" s="38">
        <f t="shared" si="6"/>
        <v>6942001</v>
      </c>
      <c r="X649" s="20"/>
      <c r="Y649" s="38">
        <f t="shared" si="7"/>
        <v>6942001</v>
      </c>
      <c r="Z649" s="24">
        <f t="shared" si="3"/>
        <v>1</v>
      </c>
      <c r="AA649" s="23">
        <f t="shared" si="5"/>
        <v>6942001</v>
      </c>
      <c r="AB649" s="20"/>
      <c r="AC649" s="20"/>
      <c r="AD649" s="20"/>
      <c r="AE649" s="20"/>
      <c r="AF649" s="20"/>
      <c r="AG649" s="20"/>
      <c r="AH649" s="20"/>
      <c r="AI649" s="20"/>
      <c r="AJ649" s="20"/>
      <c r="AK649" s="20"/>
      <c r="AL649" s="20"/>
      <c r="AM649" s="20"/>
      <c r="AN649" s="20"/>
      <c r="AO649" s="20"/>
      <c r="AP649" s="20"/>
      <c r="AQ649" s="20"/>
      <c r="AR649" s="20"/>
      <c r="AS649" s="20"/>
      <c r="AT649" s="20"/>
    </row>
    <row r="650">
      <c r="A650" s="20">
        <v>648.0</v>
      </c>
      <c r="B650" s="29" t="s">
        <v>652</v>
      </c>
      <c r="C650" s="20"/>
      <c r="D650" s="20"/>
      <c r="E650" s="20"/>
      <c r="F650" s="20"/>
      <c r="G650" s="20"/>
      <c r="H650" s="33" t="s">
        <v>65</v>
      </c>
      <c r="I650" s="33" t="s">
        <v>74</v>
      </c>
      <c r="J650" s="21"/>
      <c r="K650" s="20" t="str">
        <f t="shared" si="1"/>
        <v>WATER,ENVIRONMENT,CLIMATE CHANGE AND NATURAL RESOURCES</v>
      </c>
      <c r="L650" s="20" t="s">
        <v>75</v>
      </c>
      <c r="M650" s="20" t="str">
        <f t="shared" si="2"/>
        <v>WATER,ENVIRONMENT,CLIMATE CHANGE AND NATURAL RESOURCES</v>
      </c>
      <c r="N650" s="22" t="s">
        <v>510</v>
      </c>
      <c r="O650" s="22" t="s">
        <v>511</v>
      </c>
      <c r="P650" s="20" t="s">
        <v>512</v>
      </c>
      <c r="Q650" s="20" t="s">
        <v>512</v>
      </c>
      <c r="R650" s="34">
        <v>1.4395255E7</v>
      </c>
      <c r="S650" s="34">
        <v>1.4395255E7</v>
      </c>
      <c r="T650" s="34">
        <v>1.4395255E7</v>
      </c>
      <c r="U650" s="20" t="s">
        <v>71</v>
      </c>
      <c r="V650" s="20"/>
      <c r="W650" s="38">
        <f t="shared" si="6"/>
        <v>14395255</v>
      </c>
      <c r="X650" s="20"/>
      <c r="Y650" s="38">
        <f t="shared" si="7"/>
        <v>14395255</v>
      </c>
      <c r="Z650" s="24">
        <f t="shared" si="3"/>
        <v>1</v>
      </c>
      <c r="AA650" s="23">
        <f t="shared" si="5"/>
        <v>14395255</v>
      </c>
      <c r="AB650" s="20"/>
      <c r="AC650" s="20"/>
      <c r="AD650" s="20"/>
      <c r="AE650" s="20"/>
      <c r="AF650" s="20"/>
      <c r="AG650" s="20"/>
      <c r="AH650" s="20"/>
      <c r="AI650" s="20"/>
      <c r="AJ650" s="20"/>
      <c r="AK650" s="20"/>
      <c r="AL650" s="20"/>
      <c r="AM650" s="20"/>
      <c r="AN650" s="20"/>
      <c r="AO650" s="20"/>
      <c r="AP650" s="20"/>
      <c r="AQ650" s="20"/>
      <c r="AR650" s="20"/>
      <c r="AS650" s="20"/>
      <c r="AT650" s="20"/>
    </row>
    <row r="651">
      <c r="A651" s="20">
        <v>649.0</v>
      </c>
      <c r="B651" s="29" t="s">
        <v>653</v>
      </c>
      <c r="C651" s="20"/>
      <c r="D651" s="20"/>
      <c r="E651" s="20"/>
      <c r="F651" s="20"/>
      <c r="G651" s="20"/>
      <c r="H651" s="33" t="s">
        <v>65</v>
      </c>
      <c r="I651" s="33" t="s">
        <v>66</v>
      </c>
      <c r="J651" s="21"/>
      <c r="K651" s="20" t="str">
        <f t="shared" si="1"/>
        <v>ROADS,TRANSPORT AND PUBLIC WORKS</v>
      </c>
      <c r="L651" s="20" t="s">
        <v>107</v>
      </c>
      <c r="M651" s="20" t="str">
        <f t="shared" si="2"/>
        <v>ROADS,TRANSPORT AND PUBLIC WORKS</v>
      </c>
      <c r="N651" s="22" t="s">
        <v>510</v>
      </c>
      <c r="O651" s="22" t="s">
        <v>511</v>
      </c>
      <c r="P651" s="20" t="s">
        <v>512</v>
      </c>
      <c r="Q651" s="20" t="s">
        <v>512</v>
      </c>
      <c r="R651" s="34">
        <v>5249916.0</v>
      </c>
      <c r="S651" s="34">
        <v>5249916.0</v>
      </c>
      <c r="T651" s="34">
        <v>5249916.0</v>
      </c>
      <c r="U651" s="20" t="s">
        <v>71</v>
      </c>
      <c r="V651" s="20"/>
      <c r="W651" s="38">
        <f t="shared" si="6"/>
        <v>5249916</v>
      </c>
      <c r="X651" s="20"/>
      <c r="Y651" s="38">
        <f t="shared" si="7"/>
        <v>5249916</v>
      </c>
      <c r="Z651" s="24">
        <f t="shared" si="3"/>
        <v>1</v>
      </c>
      <c r="AA651" s="23">
        <f t="shared" si="5"/>
        <v>5249916</v>
      </c>
      <c r="AB651" s="20"/>
      <c r="AC651" s="20"/>
      <c r="AD651" s="20"/>
      <c r="AE651" s="20"/>
      <c r="AF651" s="20"/>
      <c r="AG651" s="20"/>
      <c r="AH651" s="20"/>
      <c r="AI651" s="20"/>
      <c r="AJ651" s="20"/>
      <c r="AK651" s="20"/>
      <c r="AL651" s="20"/>
      <c r="AM651" s="20"/>
      <c r="AN651" s="20"/>
      <c r="AO651" s="20"/>
      <c r="AP651" s="20"/>
      <c r="AQ651" s="20"/>
      <c r="AR651" s="20"/>
      <c r="AS651" s="20"/>
      <c r="AT651" s="20"/>
    </row>
    <row r="652">
      <c r="A652" s="20">
        <v>650.0</v>
      </c>
      <c r="B652" s="29" t="s">
        <v>654</v>
      </c>
      <c r="C652" s="20"/>
      <c r="D652" s="20"/>
      <c r="E652" s="20"/>
      <c r="F652" s="20"/>
      <c r="G652" s="20"/>
      <c r="H652" s="33" t="s">
        <v>65</v>
      </c>
      <c r="I652" s="33" t="s">
        <v>74</v>
      </c>
      <c r="J652" s="21"/>
      <c r="K652" s="20" t="str">
        <f t="shared" si="1"/>
        <v>WATER,ENVIRONMENT,CLIMATE CHANGE AND NATURAL RESOURCES</v>
      </c>
      <c r="L652" s="20" t="s">
        <v>75</v>
      </c>
      <c r="M652" s="20" t="str">
        <f t="shared" si="2"/>
        <v>WATER,ENVIRONMENT,CLIMATE CHANGE AND NATURAL RESOURCES</v>
      </c>
      <c r="N652" s="22" t="s">
        <v>510</v>
      </c>
      <c r="O652" s="22" t="s">
        <v>511</v>
      </c>
      <c r="P652" s="20" t="s">
        <v>512</v>
      </c>
      <c r="Q652" s="20" t="s">
        <v>512</v>
      </c>
      <c r="R652" s="34">
        <v>2533336.0</v>
      </c>
      <c r="S652" s="34">
        <v>2533336.0</v>
      </c>
      <c r="T652" s="34">
        <v>2533336.0</v>
      </c>
      <c r="U652" s="20" t="s">
        <v>71</v>
      </c>
      <c r="V652" s="20"/>
      <c r="W652" s="38">
        <f t="shared" si="6"/>
        <v>2533336</v>
      </c>
      <c r="X652" s="20"/>
      <c r="Y652" s="38">
        <f t="shared" si="7"/>
        <v>2533336</v>
      </c>
      <c r="Z652" s="24">
        <f t="shared" si="3"/>
        <v>1</v>
      </c>
      <c r="AA652" s="23">
        <f t="shared" si="5"/>
        <v>2533336</v>
      </c>
      <c r="AB652" s="20"/>
      <c r="AC652" s="20"/>
      <c r="AD652" s="20"/>
      <c r="AE652" s="20"/>
      <c r="AF652" s="20"/>
      <c r="AG652" s="20"/>
      <c r="AH652" s="20"/>
      <c r="AI652" s="20"/>
      <c r="AJ652" s="20"/>
      <c r="AK652" s="20"/>
      <c r="AL652" s="20"/>
      <c r="AM652" s="20"/>
      <c r="AN652" s="20"/>
      <c r="AO652" s="20"/>
      <c r="AP652" s="20"/>
      <c r="AQ652" s="20"/>
      <c r="AR652" s="20"/>
      <c r="AS652" s="20"/>
      <c r="AT652" s="20"/>
    </row>
    <row r="653">
      <c r="A653" s="20">
        <v>651.0</v>
      </c>
      <c r="B653" s="29" t="s">
        <v>655</v>
      </c>
      <c r="C653" s="20"/>
      <c r="D653" s="20"/>
      <c r="E653" s="20"/>
      <c r="F653" s="20"/>
      <c r="G653" s="20"/>
      <c r="H653" s="33" t="s">
        <v>113</v>
      </c>
      <c r="I653" s="33" t="s">
        <v>132</v>
      </c>
      <c r="J653" s="21"/>
      <c r="K653" s="20" t="str">
        <f t="shared" si="1"/>
        <v>WATER,ENVIRONMENT,CLIMATE CHANGE AND NATURAL RESOURCES</v>
      </c>
      <c r="L653" s="20" t="s">
        <v>75</v>
      </c>
      <c r="M653" s="20" t="str">
        <f t="shared" si="2"/>
        <v>WATER,ENVIRONMENT,CLIMATE CHANGE AND NATURAL RESOURCES</v>
      </c>
      <c r="N653" s="22" t="s">
        <v>510</v>
      </c>
      <c r="O653" s="22" t="s">
        <v>511</v>
      </c>
      <c r="P653" s="20" t="s">
        <v>512</v>
      </c>
      <c r="Q653" s="20" t="s">
        <v>512</v>
      </c>
      <c r="R653" s="34">
        <v>1.47E7</v>
      </c>
      <c r="S653" s="34">
        <v>1.47E7</v>
      </c>
      <c r="T653" s="34">
        <v>1.47E7</v>
      </c>
      <c r="U653" s="20" t="s">
        <v>71</v>
      </c>
      <c r="V653" s="20"/>
      <c r="W653" s="38">
        <f t="shared" si="6"/>
        <v>14700000</v>
      </c>
      <c r="X653" s="20"/>
      <c r="Y653" s="38">
        <f t="shared" si="7"/>
        <v>14700000</v>
      </c>
      <c r="Z653" s="24">
        <f t="shared" si="3"/>
        <v>1</v>
      </c>
      <c r="AA653" s="23">
        <f t="shared" si="5"/>
        <v>14700000</v>
      </c>
      <c r="AB653" s="20"/>
      <c r="AC653" s="20"/>
      <c r="AD653" s="20"/>
      <c r="AE653" s="20"/>
      <c r="AF653" s="20"/>
      <c r="AG653" s="20"/>
      <c r="AH653" s="20"/>
      <c r="AI653" s="20"/>
      <c r="AJ653" s="20"/>
      <c r="AK653" s="20"/>
      <c r="AL653" s="20"/>
      <c r="AM653" s="20"/>
      <c r="AN653" s="20"/>
      <c r="AO653" s="20"/>
      <c r="AP653" s="20"/>
      <c r="AQ653" s="20"/>
      <c r="AR653" s="20"/>
      <c r="AS653" s="20"/>
      <c r="AT653" s="20"/>
    </row>
    <row r="654">
      <c r="A654" s="20">
        <v>652.0</v>
      </c>
      <c r="B654" s="29" t="s">
        <v>656</v>
      </c>
      <c r="C654" s="20"/>
      <c r="D654" s="20"/>
      <c r="E654" s="20"/>
      <c r="F654" s="20"/>
      <c r="G654" s="20"/>
      <c r="H654" s="33" t="s">
        <v>77</v>
      </c>
      <c r="I654" s="33" t="s">
        <v>77</v>
      </c>
      <c r="J654" s="21"/>
      <c r="K654" s="20" t="str">
        <f t="shared" si="1"/>
        <v>ROADS,TRANSPORT AND PUBLIC WORKS</v>
      </c>
      <c r="L654" s="20" t="s">
        <v>107</v>
      </c>
      <c r="M654" s="20" t="str">
        <f t="shared" si="2"/>
        <v>ROADS,TRANSPORT AND PUBLIC WORKS</v>
      </c>
      <c r="N654" s="22" t="s">
        <v>510</v>
      </c>
      <c r="O654" s="22" t="s">
        <v>511</v>
      </c>
      <c r="P654" s="20" t="s">
        <v>512</v>
      </c>
      <c r="Q654" s="20" t="s">
        <v>512</v>
      </c>
      <c r="R654" s="34">
        <v>5000000.0</v>
      </c>
      <c r="S654" s="34">
        <v>5000000.0</v>
      </c>
      <c r="T654" s="34">
        <v>5000000.0</v>
      </c>
      <c r="U654" s="20" t="s">
        <v>71</v>
      </c>
      <c r="V654" s="20"/>
      <c r="W654" s="38">
        <f t="shared" si="6"/>
        <v>5000000</v>
      </c>
      <c r="X654" s="20"/>
      <c r="Y654" s="38">
        <f t="shared" si="7"/>
        <v>5000000</v>
      </c>
      <c r="Z654" s="24">
        <f t="shared" si="3"/>
        <v>1</v>
      </c>
      <c r="AA654" s="23">
        <f t="shared" si="5"/>
        <v>5000000</v>
      </c>
      <c r="AB654" s="20"/>
      <c r="AC654" s="20"/>
      <c r="AD654" s="20"/>
      <c r="AE654" s="20"/>
      <c r="AF654" s="20"/>
      <c r="AG654" s="20"/>
      <c r="AH654" s="20"/>
      <c r="AI654" s="20"/>
      <c r="AJ654" s="20"/>
      <c r="AK654" s="20"/>
      <c r="AL654" s="20"/>
      <c r="AM654" s="20"/>
      <c r="AN654" s="20"/>
      <c r="AO654" s="20"/>
      <c r="AP654" s="20"/>
      <c r="AQ654" s="20"/>
      <c r="AR654" s="20"/>
      <c r="AS654" s="20"/>
      <c r="AT654" s="20"/>
    </row>
    <row r="655">
      <c r="A655" s="20">
        <v>653.0</v>
      </c>
      <c r="B655" s="29" t="s">
        <v>657</v>
      </c>
      <c r="C655" s="20"/>
      <c r="D655" s="20"/>
      <c r="E655" s="20"/>
      <c r="F655" s="20"/>
      <c r="G655" s="20"/>
      <c r="H655" s="33" t="s">
        <v>65</v>
      </c>
      <c r="I655" s="33" t="s">
        <v>66</v>
      </c>
      <c r="J655" s="21"/>
      <c r="K655" s="20" t="str">
        <f t="shared" si="1"/>
        <v>ROADS,TRANSPORT AND PUBLIC WORKS</v>
      </c>
      <c r="L655" s="20" t="s">
        <v>107</v>
      </c>
      <c r="M655" s="20" t="str">
        <f t="shared" si="2"/>
        <v>ROADS,TRANSPORT AND PUBLIC WORKS</v>
      </c>
      <c r="N655" s="22" t="s">
        <v>510</v>
      </c>
      <c r="O655" s="22" t="s">
        <v>511</v>
      </c>
      <c r="P655" s="20" t="s">
        <v>512</v>
      </c>
      <c r="Q655" s="20" t="s">
        <v>512</v>
      </c>
      <c r="R655" s="34">
        <v>6394961.4</v>
      </c>
      <c r="S655" s="34">
        <v>6394961.4</v>
      </c>
      <c r="T655" s="34">
        <v>6394961.4</v>
      </c>
      <c r="U655" s="20" t="s">
        <v>71</v>
      </c>
      <c r="V655" s="20"/>
      <c r="W655" s="38">
        <f t="shared" si="6"/>
        <v>6394961.4</v>
      </c>
      <c r="X655" s="20"/>
      <c r="Y655" s="38">
        <f t="shared" si="7"/>
        <v>6394961.4</v>
      </c>
      <c r="Z655" s="24">
        <f t="shared" si="3"/>
        <v>1</v>
      </c>
      <c r="AA655" s="23">
        <f t="shared" si="5"/>
        <v>6394961.4</v>
      </c>
      <c r="AB655" s="20"/>
      <c r="AC655" s="20"/>
      <c r="AD655" s="20"/>
      <c r="AE655" s="20"/>
      <c r="AF655" s="20"/>
      <c r="AG655" s="20"/>
      <c r="AH655" s="20"/>
      <c r="AI655" s="20"/>
      <c r="AJ655" s="20"/>
      <c r="AK655" s="20"/>
      <c r="AL655" s="20"/>
      <c r="AM655" s="20"/>
      <c r="AN655" s="20"/>
      <c r="AO655" s="20"/>
      <c r="AP655" s="20"/>
      <c r="AQ655" s="20"/>
      <c r="AR655" s="20"/>
      <c r="AS655" s="20"/>
      <c r="AT655" s="20"/>
    </row>
    <row r="656">
      <c r="A656" s="20">
        <v>654.0</v>
      </c>
      <c r="B656" s="29" t="s">
        <v>658</v>
      </c>
      <c r="C656" s="20"/>
      <c r="D656" s="20"/>
      <c r="E656" s="20"/>
      <c r="F656" s="20"/>
      <c r="G656" s="20"/>
      <c r="H656" s="33" t="s">
        <v>65</v>
      </c>
      <c r="I656" s="33" t="s">
        <v>66</v>
      </c>
      <c r="J656" s="21"/>
      <c r="K656" s="20" t="str">
        <f t="shared" si="1"/>
        <v>ROADS,TRANSPORT AND PUBLIC WORKS</v>
      </c>
      <c r="L656" s="20" t="s">
        <v>107</v>
      </c>
      <c r="M656" s="20" t="str">
        <f t="shared" si="2"/>
        <v>ROADS,TRANSPORT AND PUBLIC WORKS</v>
      </c>
      <c r="N656" s="22" t="s">
        <v>510</v>
      </c>
      <c r="O656" s="22" t="s">
        <v>511</v>
      </c>
      <c r="P656" s="20" t="s">
        <v>512</v>
      </c>
      <c r="Q656" s="20" t="s">
        <v>512</v>
      </c>
      <c r="R656" s="34">
        <v>4719980.0</v>
      </c>
      <c r="S656" s="34">
        <v>4719980.0</v>
      </c>
      <c r="T656" s="34">
        <v>4719980.0</v>
      </c>
      <c r="U656" s="20" t="s">
        <v>71</v>
      </c>
      <c r="V656" s="20"/>
      <c r="W656" s="38">
        <f t="shared" si="6"/>
        <v>4719980</v>
      </c>
      <c r="X656" s="20"/>
      <c r="Y656" s="38">
        <f t="shared" si="7"/>
        <v>4719980</v>
      </c>
      <c r="Z656" s="24">
        <f t="shared" si="3"/>
        <v>1</v>
      </c>
      <c r="AA656" s="23">
        <f t="shared" si="5"/>
        <v>4719980</v>
      </c>
      <c r="AB656" s="20"/>
      <c r="AC656" s="20"/>
      <c r="AD656" s="20"/>
      <c r="AE656" s="20"/>
      <c r="AF656" s="20"/>
      <c r="AG656" s="20"/>
      <c r="AH656" s="20"/>
      <c r="AI656" s="20"/>
      <c r="AJ656" s="20"/>
      <c r="AK656" s="20"/>
      <c r="AL656" s="20"/>
      <c r="AM656" s="20"/>
      <c r="AN656" s="20"/>
      <c r="AO656" s="20"/>
      <c r="AP656" s="20"/>
      <c r="AQ656" s="20"/>
      <c r="AR656" s="20"/>
      <c r="AS656" s="20"/>
      <c r="AT656" s="20"/>
    </row>
    <row r="657">
      <c r="A657" s="20">
        <v>655.0</v>
      </c>
      <c r="B657" s="29" t="s">
        <v>659</v>
      </c>
      <c r="C657" s="20"/>
      <c r="D657" s="20"/>
      <c r="E657" s="20"/>
      <c r="F657" s="20"/>
      <c r="G657" s="20"/>
      <c r="H657" s="33" t="s">
        <v>160</v>
      </c>
      <c r="I657" s="33" t="s">
        <v>207</v>
      </c>
      <c r="J657" s="21"/>
      <c r="K657" s="20" t="str">
        <f t="shared" si="1"/>
        <v>ROADS,TRANSPORT AND PUBLIC WORKS</v>
      </c>
      <c r="L657" s="20" t="s">
        <v>107</v>
      </c>
      <c r="M657" s="20" t="str">
        <f t="shared" si="2"/>
        <v>ROADS,TRANSPORT AND PUBLIC WORKS</v>
      </c>
      <c r="N657" s="22" t="s">
        <v>510</v>
      </c>
      <c r="O657" s="22" t="s">
        <v>511</v>
      </c>
      <c r="P657" s="20" t="s">
        <v>512</v>
      </c>
      <c r="Q657" s="20" t="s">
        <v>512</v>
      </c>
      <c r="R657" s="34">
        <v>3952755.0</v>
      </c>
      <c r="S657" s="34">
        <v>3952755.0</v>
      </c>
      <c r="T657" s="34">
        <v>3952755.0</v>
      </c>
      <c r="U657" s="20" t="s">
        <v>71</v>
      </c>
      <c r="V657" s="20"/>
      <c r="W657" s="38">
        <f t="shared" si="6"/>
        <v>3952755</v>
      </c>
      <c r="X657" s="20"/>
      <c r="Y657" s="38">
        <f t="shared" si="7"/>
        <v>3952755</v>
      </c>
      <c r="Z657" s="24">
        <f t="shared" si="3"/>
        <v>1</v>
      </c>
      <c r="AA657" s="23">
        <f t="shared" si="5"/>
        <v>3952755</v>
      </c>
      <c r="AB657" s="20"/>
      <c r="AC657" s="20"/>
      <c r="AD657" s="20"/>
      <c r="AE657" s="20"/>
      <c r="AF657" s="20"/>
      <c r="AG657" s="20"/>
      <c r="AH657" s="20"/>
      <c r="AI657" s="20"/>
      <c r="AJ657" s="20"/>
      <c r="AK657" s="20"/>
      <c r="AL657" s="20"/>
      <c r="AM657" s="20"/>
      <c r="AN657" s="20"/>
      <c r="AO657" s="20"/>
      <c r="AP657" s="20"/>
      <c r="AQ657" s="20"/>
      <c r="AR657" s="20"/>
      <c r="AS657" s="20"/>
      <c r="AT657" s="20"/>
    </row>
    <row r="658">
      <c r="A658" s="20">
        <v>656.0</v>
      </c>
      <c r="B658" s="29" t="s">
        <v>640</v>
      </c>
      <c r="C658" s="20"/>
      <c r="D658" s="20"/>
      <c r="E658" s="20"/>
      <c r="F658" s="20"/>
      <c r="G658" s="20"/>
      <c r="H658" s="33" t="s">
        <v>65</v>
      </c>
      <c r="I658" s="33" t="s">
        <v>66</v>
      </c>
      <c r="J658" s="21"/>
      <c r="K658" s="20" t="str">
        <f t="shared" si="1"/>
        <v>ROADS,TRANSPORT AND PUBLIC WORKS</v>
      </c>
      <c r="L658" s="20" t="s">
        <v>107</v>
      </c>
      <c r="M658" s="20" t="str">
        <f t="shared" si="2"/>
        <v>ROADS,TRANSPORT AND PUBLIC WORKS</v>
      </c>
      <c r="N658" s="22" t="s">
        <v>510</v>
      </c>
      <c r="O658" s="22" t="s">
        <v>511</v>
      </c>
      <c r="P658" s="20" t="s">
        <v>512</v>
      </c>
      <c r="Q658" s="20" t="s">
        <v>512</v>
      </c>
      <c r="R658" s="34">
        <v>4703336.0</v>
      </c>
      <c r="S658" s="34">
        <v>4703336.0</v>
      </c>
      <c r="T658" s="34">
        <v>4703336.0</v>
      </c>
      <c r="U658" s="20" t="s">
        <v>71</v>
      </c>
      <c r="V658" s="20"/>
      <c r="W658" s="38">
        <f t="shared" si="6"/>
        <v>4703336</v>
      </c>
      <c r="X658" s="20"/>
      <c r="Y658" s="38">
        <f t="shared" si="7"/>
        <v>4703336</v>
      </c>
      <c r="Z658" s="24">
        <f t="shared" si="3"/>
        <v>1</v>
      </c>
      <c r="AA658" s="23">
        <f t="shared" si="5"/>
        <v>4703336</v>
      </c>
      <c r="AB658" s="20"/>
      <c r="AC658" s="20"/>
      <c r="AD658" s="20"/>
      <c r="AE658" s="20"/>
      <c r="AF658" s="20"/>
      <c r="AG658" s="20"/>
      <c r="AH658" s="20"/>
      <c r="AI658" s="20"/>
      <c r="AJ658" s="20"/>
      <c r="AK658" s="20"/>
      <c r="AL658" s="20"/>
      <c r="AM658" s="20"/>
      <c r="AN658" s="20"/>
      <c r="AO658" s="20"/>
      <c r="AP658" s="20"/>
      <c r="AQ658" s="20"/>
      <c r="AR658" s="20"/>
      <c r="AS658" s="20"/>
      <c r="AT658" s="20"/>
    </row>
    <row r="659">
      <c r="A659" s="20">
        <v>657.0</v>
      </c>
      <c r="B659" s="29" t="s">
        <v>660</v>
      </c>
      <c r="C659" s="20"/>
      <c r="D659" s="20"/>
      <c r="E659" s="20"/>
      <c r="F659" s="20"/>
      <c r="G659" s="20"/>
      <c r="H659" s="33" t="s">
        <v>65</v>
      </c>
      <c r="I659" s="33" t="s">
        <v>66</v>
      </c>
      <c r="J659" s="21"/>
      <c r="K659" s="20" t="str">
        <f t="shared" si="1"/>
        <v>AGRICULTURE,LIVESTOCK AND PASTORAL ECONOMY</v>
      </c>
      <c r="L659" s="20" t="s">
        <v>100</v>
      </c>
      <c r="M659" s="20" t="str">
        <f t="shared" si="2"/>
        <v>AGRICULTURE,LIVESTOCK AND PASTORAL ECONOMY</v>
      </c>
      <c r="N659" s="22" t="s">
        <v>510</v>
      </c>
      <c r="O659" s="22" t="s">
        <v>511</v>
      </c>
      <c r="P659" s="20" t="s">
        <v>512</v>
      </c>
      <c r="Q659" s="20" t="s">
        <v>512</v>
      </c>
      <c r="R659" s="34">
        <v>6000000.0</v>
      </c>
      <c r="S659" s="34">
        <v>6000000.0</v>
      </c>
      <c r="T659" s="34">
        <v>6000000.0</v>
      </c>
      <c r="U659" s="20" t="s">
        <v>71</v>
      </c>
      <c r="V659" s="20"/>
      <c r="W659" s="38">
        <f t="shared" si="6"/>
        <v>6000000</v>
      </c>
      <c r="X659" s="20"/>
      <c r="Y659" s="38">
        <f t="shared" si="7"/>
        <v>6000000</v>
      </c>
      <c r="Z659" s="24">
        <f t="shared" si="3"/>
        <v>1</v>
      </c>
      <c r="AA659" s="23">
        <f t="shared" si="5"/>
        <v>6000000</v>
      </c>
      <c r="AB659" s="20"/>
      <c r="AC659" s="20"/>
      <c r="AD659" s="20"/>
      <c r="AE659" s="20"/>
      <c r="AF659" s="20"/>
      <c r="AG659" s="20"/>
      <c r="AH659" s="20"/>
      <c r="AI659" s="20"/>
      <c r="AJ659" s="20"/>
      <c r="AK659" s="20"/>
      <c r="AL659" s="20"/>
      <c r="AM659" s="20"/>
      <c r="AN659" s="20"/>
      <c r="AO659" s="20"/>
      <c r="AP659" s="20"/>
      <c r="AQ659" s="20"/>
      <c r="AR659" s="20"/>
      <c r="AS659" s="20"/>
      <c r="AT659" s="20"/>
    </row>
    <row r="660">
      <c r="A660" s="20">
        <v>658.0</v>
      </c>
      <c r="B660" s="29" t="s">
        <v>661</v>
      </c>
      <c r="C660" s="20"/>
      <c r="D660" s="20"/>
      <c r="E660" s="20"/>
      <c r="F660" s="20"/>
      <c r="G660" s="20"/>
      <c r="H660" s="33" t="s">
        <v>65</v>
      </c>
      <c r="I660" s="33" t="s">
        <v>66</v>
      </c>
      <c r="J660" s="21"/>
      <c r="K660" s="20" t="str">
        <f t="shared" si="1"/>
        <v>Health services</v>
      </c>
      <c r="L660" s="20" t="s">
        <v>67</v>
      </c>
      <c r="M660" s="20" t="str">
        <f t="shared" si="2"/>
        <v>Health services</v>
      </c>
      <c r="N660" s="22" t="s">
        <v>510</v>
      </c>
      <c r="O660" s="22" t="s">
        <v>511</v>
      </c>
      <c r="P660" s="20" t="s">
        <v>512</v>
      </c>
      <c r="Q660" s="20" t="s">
        <v>512</v>
      </c>
      <c r="R660" s="34">
        <v>4572255.0</v>
      </c>
      <c r="S660" s="34">
        <v>4572255.0</v>
      </c>
      <c r="T660" s="34">
        <v>4572255.0</v>
      </c>
      <c r="U660" s="20" t="s">
        <v>71</v>
      </c>
      <c r="V660" s="20"/>
      <c r="W660" s="38">
        <f t="shared" si="6"/>
        <v>4572255</v>
      </c>
      <c r="X660" s="20"/>
      <c r="Y660" s="38">
        <f t="shared" si="7"/>
        <v>4572255</v>
      </c>
      <c r="Z660" s="24">
        <f t="shared" si="3"/>
        <v>1</v>
      </c>
      <c r="AA660" s="23">
        <f t="shared" si="5"/>
        <v>4572255</v>
      </c>
      <c r="AB660" s="20"/>
      <c r="AC660" s="20"/>
      <c r="AD660" s="20"/>
      <c r="AE660" s="20"/>
      <c r="AF660" s="20"/>
      <c r="AG660" s="20"/>
      <c r="AH660" s="20"/>
      <c r="AI660" s="20"/>
      <c r="AJ660" s="20"/>
      <c r="AK660" s="20"/>
      <c r="AL660" s="20"/>
      <c r="AM660" s="20"/>
      <c r="AN660" s="20"/>
      <c r="AO660" s="20"/>
      <c r="AP660" s="20"/>
      <c r="AQ660" s="20"/>
      <c r="AR660" s="20"/>
      <c r="AS660" s="20"/>
      <c r="AT660" s="20"/>
    </row>
    <row r="661">
      <c r="A661" s="20">
        <v>659.0</v>
      </c>
      <c r="B661" s="29" t="s">
        <v>662</v>
      </c>
      <c r="C661" s="20"/>
      <c r="D661" s="20"/>
      <c r="E661" s="20"/>
      <c r="F661" s="20"/>
      <c r="G661" s="20"/>
      <c r="H661" s="33" t="s">
        <v>81</v>
      </c>
      <c r="I661" s="33" t="s">
        <v>81</v>
      </c>
      <c r="J661" s="21"/>
      <c r="K661" s="20" t="str">
        <f t="shared" si="1"/>
        <v>EDUCATION,INFORMATION AND ICT</v>
      </c>
      <c r="L661" s="20" t="s">
        <v>84</v>
      </c>
      <c r="M661" s="20" t="str">
        <f t="shared" si="2"/>
        <v>EDUCATION,INFORMATION AND ICT</v>
      </c>
      <c r="N661" s="22" t="s">
        <v>510</v>
      </c>
      <c r="O661" s="22" t="s">
        <v>511</v>
      </c>
      <c r="P661" s="20" t="s">
        <v>512</v>
      </c>
      <c r="Q661" s="20" t="s">
        <v>512</v>
      </c>
      <c r="R661" s="34">
        <v>2000000.0</v>
      </c>
      <c r="S661" s="34">
        <v>2000000.0</v>
      </c>
      <c r="T661" s="34">
        <v>2000000.0</v>
      </c>
      <c r="U661" s="20" t="s">
        <v>71</v>
      </c>
      <c r="V661" s="20"/>
      <c r="W661" s="38">
        <f t="shared" si="6"/>
        <v>2000000</v>
      </c>
      <c r="X661" s="20"/>
      <c r="Y661" s="38">
        <f t="shared" si="7"/>
        <v>2000000</v>
      </c>
      <c r="Z661" s="24">
        <f t="shared" si="3"/>
        <v>1</v>
      </c>
      <c r="AA661" s="23">
        <f t="shared" si="5"/>
        <v>2000000</v>
      </c>
      <c r="AB661" s="20"/>
      <c r="AC661" s="20"/>
      <c r="AD661" s="20"/>
      <c r="AE661" s="20"/>
      <c r="AF661" s="20"/>
      <c r="AG661" s="20"/>
      <c r="AH661" s="20"/>
      <c r="AI661" s="20"/>
      <c r="AJ661" s="20"/>
      <c r="AK661" s="20"/>
      <c r="AL661" s="20"/>
      <c r="AM661" s="20"/>
      <c r="AN661" s="20"/>
      <c r="AO661" s="20"/>
      <c r="AP661" s="20"/>
      <c r="AQ661" s="20"/>
      <c r="AR661" s="20"/>
      <c r="AS661" s="20"/>
      <c r="AT661" s="20"/>
    </row>
    <row r="662">
      <c r="A662" s="20">
        <v>660.0</v>
      </c>
      <c r="B662" s="29" t="s">
        <v>641</v>
      </c>
      <c r="C662" s="20"/>
      <c r="D662" s="20"/>
      <c r="E662" s="20"/>
      <c r="F662" s="20"/>
      <c r="G662" s="20"/>
      <c r="H662" s="33" t="s">
        <v>65</v>
      </c>
      <c r="I662" s="33" t="s">
        <v>66</v>
      </c>
      <c r="J662" s="21"/>
      <c r="K662" s="20" t="str">
        <f t="shared" si="1"/>
        <v>ROADS,TRANSPORT AND PUBLIC WORKS</v>
      </c>
      <c r="L662" s="20" t="s">
        <v>107</v>
      </c>
      <c r="M662" s="20" t="str">
        <f t="shared" si="2"/>
        <v>ROADS,TRANSPORT AND PUBLIC WORKS</v>
      </c>
      <c r="N662" s="22" t="s">
        <v>510</v>
      </c>
      <c r="O662" s="22" t="s">
        <v>511</v>
      </c>
      <c r="P662" s="20" t="s">
        <v>512</v>
      </c>
      <c r="Q662" s="20" t="s">
        <v>512</v>
      </c>
      <c r="R662" s="34">
        <v>6500000.0</v>
      </c>
      <c r="S662" s="34">
        <v>6500000.0</v>
      </c>
      <c r="T662" s="34">
        <v>6500000.0</v>
      </c>
      <c r="U662" s="20" t="s">
        <v>71</v>
      </c>
      <c r="V662" s="20"/>
      <c r="W662" s="38">
        <f t="shared" si="6"/>
        <v>6500000</v>
      </c>
      <c r="X662" s="20"/>
      <c r="Y662" s="38">
        <f t="shared" si="7"/>
        <v>6500000</v>
      </c>
      <c r="Z662" s="24">
        <f t="shared" si="3"/>
        <v>1</v>
      </c>
      <c r="AA662" s="23">
        <f t="shared" si="5"/>
        <v>6500000</v>
      </c>
      <c r="AB662" s="20"/>
      <c r="AC662" s="20"/>
      <c r="AD662" s="20"/>
      <c r="AE662" s="20"/>
      <c r="AF662" s="20"/>
      <c r="AG662" s="20"/>
      <c r="AH662" s="20"/>
      <c r="AI662" s="20"/>
      <c r="AJ662" s="20"/>
      <c r="AK662" s="20"/>
      <c r="AL662" s="20"/>
      <c r="AM662" s="20"/>
      <c r="AN662" s="20"/>
      <c r="AO662" s="20"/>
      <c r="AP662" s="20"/>
      <c r="AQ662" s="20"/>
      <c r="AR662" s="20"/>
      <c r="AS662" s="20"/>
      <c r="AT662" s="20"/>
    </row>
    <row r="663">
      <c r="A663" s="20">
        <v>661.0</v>
      </c>
      <c r="B663" s="29" t="s">
        <v>663</v>
      </c>
      <c r="C663" s="20"/>
      <c r="D663" s="20"/>
      <c r="E663" s="20"/>
      <c r="F663" s="20"/>
      <c r="G663" s="20"/>
      <c r="H663" s="33" t="s">
        <v>65</v>
      </c>
      <c r="I663" s="33" t="s">
        <v>74</v>
      </c>
      <c r="J663" s="21"/>
      <c r="K663" s="20" t="str">
        <f t="shared" si="1"/>
        <v>ROADS,TRANSPORT AND PUBLIC WORKS</v>
      </c>
      <c r="L663" s="20" t="s">
        <v>107</v>
      </c>
      <c r="M663" s="20" t="str">
        <f t="shared" si="2"/>
        <v>ROADS,TRANSPORT AND PUBLIC WORKS</v>
      </c>
      <c r="N663" s="22" t="s">
        <v>510</v>
      </c>
      <c r="O663" s="22" t="s">
        <v>511</v>
      </c>
      <c r="P663" s="20" t="s">
        <v>512</v>
      </c>
      <c r="Q663" s="20" t="s">
        <v>512</v>
      </c>
      <c r="R663" s="34">
        <v>9632616.0</v>
      </c>
      <c r="S663" s="34">
        <v>9632616.0</v>
      </c>
      <c r="T663" s="34">
        <v>9632616.0</v>
      </c>
      <c r="U663" s="20" t="s">
        <v>71</v>
      </c>
      <c r="V663" s="20"/>
      <c r="W663" s="38">
        <f t="shared" si="6"/>
        <v>9632616</v>
      </c>
      <c r="X663" s="20"/>
      <c r="Y663" s="38">
        <f t="shared" si="7"/>
        <v>9632616</v>
      </c>
      <c r="Z663" s="24">
        <f t="shared" si="3"/>
        <v>1</v>
      </c>
      <c r="AA663" s="23">
        <f t="shared" si="5"/>
        <v>9632616</v>
      </c>
      <c r="AB663" s="20"/>
      <c r="AC663" s="20"/>
      <c r="AD663" s="20"/>
      <c r="AE663" s="20"/>
      <c r="AF663" s="20"/>
      <c r="AG663" s="20"/>
      <c r="AH663" s="20"/>
      <c r="AI663" s="20"/>
      <c r="AJ663" s="20"/>
      <c r="AK663" s="20"/>
      <c r="AL663" s="20"/>
      <c r="AM663" s="20"/>
      <c r="AN663" s="20"/>
      <c r="AO663" s="20"/>
      <c r="AP663" s="20"/>
      <c r="AQ663" s="20"/>
      <c r="AR663" s="20"/>
      <c r="AS663" s="20"/>
      <c r="AT663" s="20"/>
    </row>
    <row r="664">
      <c r="A664" s="20">
        <v>662.0</v>
      </c>
      <c r="B664" s="29" t="s">
        <v>664</v>
      </c>
      <c r="C664" s="20"/>
      <c r="D664" s="20"/>
      <c r="E664" s="20"/>
      <c r="F664" s="20"/>
      <c r="G664" s="20"/>
      <c r="H664" s="33" t="s">
        <v>77</v>
      </c>
      <c r="I664" s="33" t="s">
        <v>77</v>
      </c>
      <c r="J664" s="21"/>
      <c r="K664" s="20" t="str">
        <f t="shared" si="1"/>
        <v>ROADS,TRANSPORT AND PUBLIC WORKS</v>
      </c>
      <c r="L664" s="20" t="s">
        <v>107</v>
      </c>
      <c r="M664" s="20" t="str">
        <f t="shared" si="2"/>
        <v>ROADS,TRANSPORT AND PUBLIC WORKS</v>
      </c>
      <c r="N664" s="22" t="s">
        <v>510</v>
      </c>
      <c r="O664" s="22" t="s">
        <v>511</v>
      </c>
      <c r="P664" s="20" t="s">
        <v>512</v>
      </c>
      <c r="Q664" s="20" t="s">
        <v>512</v>
      </c>
      <c r="R664" s="34">
        <v>1000000.0</v>
      </c>
      <c r="S664" s="34">
        <v>1000000.0</v>
      </c>
      <c r="T664" s="34">
        <v>1000000.0</v>
      </c>
      <c r="U664" s="20" t="s">
        <v>71</v>
      </c>
      <c r="V664" s="20"/>
      <c r="W664" s="38">
        <f t="shared" si="6"/>
        <v>1000000</v>
      </c>
      <c r="X664" s="20"/>
      <c r="Y664" s="38">
        <f t="shared" si="7"/>
        <v>1000000</v>
      </c>
      <c r="Z664" s="24">
        <f t="shared" si="3"/>
        <v>1</v>
      </c>
      <c r="AA664" s="23">
        <f t="shared" si="5"/>
        <v>1000000</v>
      </c>
      <c r="AB664" s="20"/>
      <c r="AC664" s="20"/>
      <c r="AD664" s="20"/>
      <c r="AE664" s="20"/>
      <c r="AF664" s="20"/>
      <c r="AG664" s="20"/>
      <c r="AH664" s="20"/>
      <c r="AI664" s="20"/>
      <c r="AJ664" s="20"/>
      <c r="AK664" s="20"/>
      <c r="AL664" s="20"/>
      <c r="AM664" s="20"/>
      <c r="AN664" s="20"/>
      <c r="AO664" s="20"/>
      <c r="AP664" s="20"/>
      <c r="AQ664" s="20"/>
      <c r="AR664" s="20"/>
      <c r="AS664" s="20"/>
      <c r="AT664" s="20"/>
    </row>
    <row r="665">
      <c r="A665" s="20">
        <v>663.0</v>
      </c>
      <c r="B665" s="29" t="s">
        <v>665</v>
      </c>
      <c r="C665" s="20"/>
      <c r="D665" s="20"/>
      <c r="E665" s="20"/>
      <c r="F665" s="20"/>
      <c r="G665" s="20"/>
      <c r="H665" s="33" t="s">
        <v>65</v>
      </c>
      <c r="I665" s="33" t="s">
        <v>66</v>
      </c>
      <c r="J665" s="21"/>
      <c r="K665" s="20" t="str">
        <f t="shared" si="1"/>
        <v>ROADS,TRANSPORT AND PUBLIC WORKS</v>
      </c>
      <c r="L665" s="20" t="s">
        <v>107</v>
      </c>
      <c r="M665" s="20" t="str">
        <f t="shared" si="2"/>
        <v>ROADS,TRANSPORT AND PUBLIC WORKS</v>
      </c>
      <c r="N665" s="22" t="s">
        <v>510</v>
      </c>
      <c r="O665" s="22" t="s">
        <v>511</v>
      </c>
      <c r="P665" s="20" t="s">
        <v>512</v>
      </c>
      <c r="Q665" s="20" t="s">
        <v>512</v>
      </c>
      <c r="R665" s="34">
        <v>500000.0</v>
      </c>
      <c r="S665" s="34">
        <v>500000.0</v>
      </c>
      <c r="T665" s="34">
        <v>500000.0</v>
      </c>
      <c r="U665" s="20" t="s">
        <v>71</v>
      </c>
      <c r="V665" s="20"/>
      <c r="W665" s="38">
        <f t="shared" si="6"/>
        <v>500000</v>
      </c>
      <c r="X665" s="20"/>
      <c r="Y665" s="38">
        <f t="shared" si="7"/>
        <v>500000</v>
      </c>
      <c r="Z665" s="24">
        <f t="shared" si="3"/>
        <v>1</v>
      </c>
      <c r="AA665" s="23">
        <f t="shared" si="5"/>
        <v>500000</v>
      </c>
      <c r="AB665" s="20"/>
      <c r="AC665" s="20"/>
      <c r="AD665" s="20"/>
      <c r="AE665" s="20"/>
      <c r="AF665" s="20"/>
      <c r="AG665" s="20"/>
      <c r="AH665" s="20"/>
      <c r="AI665" s="20"/>
      <c r="AJ665" s="20"/>
      <c r="AK665" s="20"/>
      <c r="AL665" s="20"/>
      <c r="AM665" s="20"/>
      <c r="AN665" s="20"/>
      <c r="AO665" s="20"/>
      <c r="AP665" s="20"/>
      <c r="AQ665" s="20"/>
      <c r="AR665" s="20"/>
      <c r="AS665" s="20"/>
      <c r="AT665" s="20"/>
    </row>
    <row r="666">
      <c r="A666" s="20">
        <v>664.0</v>
      </c>
      <c r="B666" s="29" t="s">
        <v>666</v>
      </c>
      <c r="C666" s="20"/>
      <c r="D666" s="20"/>
      <c r="E666" s="20"/>
      <c r="F666" s="20"/>
      <c r="G666" s="20"/>
      <c r="H666" s="33" t="s">
        <v>65</v>
      </c>
      <c r="I666" s="33" t="s">
        <v>66</v>
      </c>
      <c r="J666" s="21"/>
      <c r="K666" s="20" t="str">
        <f t="shared" si="1"/>
        <v>ROADS,TRANSPORT AND PUBLIC WORKS</v>
      </c>
      <c r="L666" s="20" t="s">
        <v>107</v>
      </c>
      <c r="M666" s="20" t="str">
        <f t="shared" si="2"/>
        <v>ROADS,TRANSPORT AND PUBLIC WORKS</v>
      </c>
      <c r="N666" s="22" t="s">
        <v>510</v>
      </c>
      <c r="O666" s="22" t="s">
        <v>511</v>
      </c>
      <c r="P666" s="20" t="s">
        <v>512</v>
      </c>
      <c r="Q666" s="20" t="s">
        <v>512</v>
      </c>
      <c r="R666" s="34">
        <v>300000.0</v>
      </c>
      <c r="S666" s="34">
        <v>300000.0</v>
      </c>
      <c r="T666" s="34">
        <v>300000.0</v>
      </c>
      <c r="U666" s="20" t="s">
        <v>71</v>
      </c>
      <c r="V666" s="20"/>
      <c r="W666" s="38">
        <f t="shared" si="6"/>
        <v>300000</v>
      </c>
      <c r="X666" s="20"/>
      <c r="Y666" s="38">
        <f t="shared" si="7"/>
        <v>300000</v>
      </c>
      <c r="Z666" s="24">
        <f t="shared" si="3"/>
        <v>1</v>
      </c>
      <c r="AA666" s="23">
        <f t="shared" si="5"/>
        <v>300000</v>
      </c>
      <c r="AB666" s="20"/>
      <c r="AC666" s="20"/>
      <c r="AD666" s="20"/>
      <c r="AE666" s="20"/>
      <c r="AF666" s="20"/>
      <c r="AG666" s="20"/>
      <c r="AH666" s="20"/>
      <c r="AI666" s="20"/>
      <c r="AJ666" s="20"/>
      <c r="AK666" s="20"/>
      <c r="AL666" s="20"/>
      <c r="AM666" s="20"/>
      <c r="AN666" s="20"/>
      <c r="AO666" s="20"/>
      <c r="AP666" s="20"/>
      <c r="AQ666" s="20"/>
      <c r="AR666" s="20"/>
      <c r="AS666" s="20"/>
      <c r="AT666" s="20"/>
    </row>
    <row r="667">
      <c r="A667" s="20">
        <v>665.0</v>
      </c>
      <c r="B667" s="29" t="s">
        <v>667</v>
      </c>
      <c r="C667" s="20"/>
      <c r="D667" s="20"/>
      <c r="E667" s="20"/>
      <c r="F667" s="20"/>
      <c r="G667" s="20"/>
      <c r="H667" s="33" t="s">
        <v>65</v>
      </c>
      <c r="I667" s="33" t="s">
        <v>66</v>
      </c>
      <c r="J667" s="21"/>
      <c r="K667" s="20" t="str">
        <f t="shared" si="1"/>
        <v>ROADS,TRANSPORT AND PUBLIC WORKS</v>
      </c>
      <c r="L667" s="20" t="s">
        <v>107</v>
      </c>
      <c r="M667" s="20" t="str">
        <f t="shared" si="2"/>
        <v>ROADS,TRANSPORT AND PUBLIC WORKS</v>
      </c>
      <c r="N667" s="22" t="s">
        <v>510</v>
      </c>
      <c r="O667" s="22" t="s">
        <v>511</v>
      </c>
      <c r="P667" s="20" t="s">
        <v>512</v>
      </c>
      <c r="Q667" s="20" t="s">
        <v>512</v>
      </c>
      <c r="R667" s="34">
        <v>300000.0</v>
      </c>
      <c r="S667" s="34">
        <v>300000.0</v>
      </c>
      <c r="T667" s="34">
        <v>300000.0</v>
      </c>
      <c r="U667" s="20" t="s">
        <v>71</v>
      </c>
      <c r="V667" s="20"/>
      <c r="W667" s="38">
        <f t="shared" si="6"/>
        <v>300000</v>
      </c>
      <c r="X667" s="20"/>
      <c r="Y667" s="38">
        <f t="shared" si="7"/>
        <v>300000</v>
      </c>
      <c r="Z667" s="24">
        <f t="shared" si="3"/>
        <v>1</v>
      </c>
      <c r="AA667" s="23">
        <f t="shared" si="5"/>
        <v>300000</v>
      </c>
      <c r="AB667" s="20"/>
      <c r="AC667" s="20"/>
      <c r="AD667" s="20"/>
      <c r="AE667" s="20"/>
      <c r="AF667" s="20"/>
      <c r="AG667" s="20"/>
      <c r="AH667" s="20"/>
      <c r="AI667" s="20"/>
      <c r="AJ667" s="20"/>
      <c r="AK667" s="20"/>
      <c r="AL667" s="20"/>
      <c r="AM667" s="20"/>
      <c r="AN667" s="20"/>
      <c r="AO667" s="20"/>
      <c r="AP667" s="20"/>
      <c r="AQ667" s="20"/>
      <c r="AR667" s="20"/>
      <c r="AS667" s="20"/>
      <c r="AT667" s="20"/>
    </row>
    <row r="668">
      <c r="A668" s="20">
        <v>666.0</v>
      </c>
      <c r="B668" s="29" t="s">
        <v>668</v>
      </c>
      <c r="C668" s="20"/>
      <c r="D668" s="20"/>
      <c r="E668" s="20"/>
      <c r="F668" s="20"/>
      <c r="G668" s="20"/>
      <c r="H668" s="33" t="s">
        <v>65</v>
      </c>
      <c r="I668" s="33" t="s">
        <v>66</v>
      </c>
      <c r="J668" s="21"/>
      <c r="K668" s="20" t="str">
        <f t="shared" si="1"/>
        <v>Health services</v>
      </c>
      <c r="L668" s="20" t="s">
        <v>67</v>
      </c>
      <c r="M668" s="20" t="str">
        <f t="shared" si="2"/>
        <v>Health services</v>
      </c>
      <c r="N668" s="22" t="s">
        <v>510</v>
      </c>
      <c r="O668" s="22" t="s">
        <v>511</v>
      </c>
      <c r="P668" s="20" t="s">
        <v>512</v>
      </c>
      <c r="Q668" s="20" t="s">
        <v>512</v>
      </c>
      <c r="R668" s="34">
        <v>300000.0</v>
      </c>
      <c r="S668" s="34">
        <v>300000.0</v>
      </c>
      <c r="T668" s="34">
        <v>300000.0</v>
      </c>
      <c r="U668" s="20" t="s">
        <v>71</v>
      </c>
      <c r="V668" s="20"/>
      <c r="W668" s="38">
        <f t="shared" si="6"/>
        <v>300000</v>
      </c>
      <c r="X668" s="20"/>
      <c r="Y668" s="38">
        <f t="shared" si="7"/>
        <v>300000</v>
      </c>
      <c r="Z668" s="24">
        <f t="shared" si="3"/>
        <v>1</v>
      </c>
      <c r="AA668" s="23">
        <f t="shared" si="5"/>
        <v>300000</v>
      </c>
      <c r="AB668" s="20"/>
      <c r="AC668" s="20"/>
      <c r="AD668" s="20"/>
      <c r="AE668" s="20"/>
      <c r="AF668" s="20"/>
      <c r="AG668" s="20"/>
      <c r="AH668" s="20"/>
      <c r="AI668" s="20"/>
      <c r="AJ668" s="20"/>
      <c r="AK668" s="20"/>
      <c r="AL668" s="20"/>
      <c r="AM668" s="20"/>
      <c r="AN668" s="20"/>
      <c r="AO668" s="20"/>
      <c r="AP668" s="20"/>
      <c r="AQ668" s="20"/>
      <c r="AR668" s="20"/>
      <c r="AS668" s="20"/>
      <c r="AT668" s="20"/>
    </row>
    <row r="669">
      <c r="A669" s="20">
        <v>667.0</v>
      </c>
      <c r="B669" s="29" t="s">
        <v>669</v>
      </c>
      <c r="C669" s="20"/>
      <c r="D669" s="20"/>
      <c r="E669" s="20"/>
      <c r="F669" s="20"/>
      <c r="G669" s="20"/>
      <c r="H669" s="33" t="s">
        <v>65</v>
      </c>
      <c r="I669" s="33" t="s">
        <v>66</v>
      </c>
      <c r="J669" s="21"/>
      <c r="K669" s="20" t="str">
        <f t="shared" si="1"/>
        <v>Health services</v>
      </c>
      <c r="L669" s="20" t="s">
        <v>67</v>
      </c>
      <c r="M669" s="20" t="str">
        <f t="shared" si="2"/>
        <v>Health services</v>
      </c>
      <c r="N669" s="22" t="s">
        <v>510</v>
      </c>
      <c r="O669" s="22" t="s">
        <v>511</v>
      </c>
      <c r="P669" s="20" t="s">
        <v>512</v>
      </c>
      <c r="Q669" s="20" t="s">
        <v>512</v>
      </c>
      <c r="R669" s="34">
        <v>500000.0</v>
      </c>
      <c r="S669" s="34">
        <v>500000.0</v>
      </c>
      <c r="T669" s="34">
        <v>500000.0</v>
      </c>
      <c r="U669" s="20" t="s">
        <v>71</v>
      </c>
      <c r="V669" s="20"/>
      <c r="W669" s="38">
        <f t="shared" si="6"/>
        <v>500000</v>
      </c>
      <c r="X669" s="20"/>
      <c r="Y669" s="38">
        <f t="shared" si="7"/>
        <v>500000</v>
      </c>
      <c r="Z669" s="24">
        <f t="shared" si="3"/>
        <v>1</v>
      </c>
      <c r="AA669" s="23">
        <f t="shared" si="5"/>
        <v>500000</v>
      </c>
      <c r="AB669" s="20"/>
      <c r="AC669" s="20"/>
      <c r="AD669" s="20"/>
      <c r="AE669" s="20"/>
      <c r="AF669" s="20"/>
      <c r="AG669" s="20"/>
      <c r="AH669" s="20"/>
      <c r="AI669" s="20"/>
      <c r="AJ669" s="20"/>
      <c r="AK669" s="20"/>
      <c r="AL669" s="20"/>
      <c r="AM669" s="20"/>
      <c r="AN669" s="20"/>
      <c r="AO669" s="20"/>
      <c r="AP669" s="20"/>
      <c r="AQ669" s="20"/>
      <c r="AR669" s="20"/>
      <c r="AS669" s="20"/>
      <c r="AT669" s="20"/>
    </row>
    <row r="670">
      <c r="A670" s="20">
        <v>668.0</v>
      </c>
      <c r="B670" s="29" t="s">
        <v>669</v>
      </c>
      <c r="C670" s="20"/>
      <c r="D670" s="20"/>
      <c r="E670" s="20"/>
      <c r="F670" s="20"/>
      <c r="G670" s="20"/>
      <c r="H670" s="33" t="s">
        <v>65</v>
      </c>
      <c r="I670" s="33" t="s">
        <v>66</v>
      </c>
      <c r="J670" s="21"/>
      <c r="K670" s="20" t="str">
        <f t="shared" si="1"/>
        <v>Health services</v>
      </c>
      <c r="L670" s="20" t="s">
        <v>67</v>
      </c>
      <c r="M670" s="20" t="str">
        <f t="shared" si="2"/>
        <v>Health services</v>
      </c>
      <c r="N670" s="22" t="s">
        <v>510</v>
      </c>
      <c r="O670" s="22" t="s">
        <v>511</v>
      </c>
      <c r="P670" s="20" t="s">
        <v>512</v>
      </c>
      <c r="Q670" s="20" t="s">
        <v>512</v>
      </c>
      <c r="R670" s="34">
        <v>500000.0</v>
      </c>
      <c r="S670" s="34">
        <v>500000.0</v>
      </c>
      <c r="T670" s="34">
        <v>500000.0</v>
      </c>
      <c r="U670" s="20" t="s">
        <v>71</v>
      </c>
      <c r="V670" s="20"/>
      <c r="W670" s="38">
        <f t="shared" si="6"/>
        <v>500000</v>
      </c>
      <c r="X670" s="20"/>
      <c r="Y670" s="38">
        <f t="shared" si="7"/>
        <v>500000</v>
      </c>
      <c r="Z670" s="24">
        <f t="shared" si="3"/>
        <v>1</v>
      </c>
      <c r="AA670" s="23">
        <f t="shared" si="5"/>
        <v>500000</v>
      </c>
      <c r="AB670" s="20"/>
      <c r="AC670" s="20"/>
      <c r="AD670" s="20"/>
      <c r="AE670" s="20"/>
      <c r="AF670" s="20"/>
      <c r="AG670" s="20"/>
      <c r="AH670" s="20"/>
      <c r="AI670" s="20"/>
      <c r="AJ670" s="20"/>
      <c r="AK670" s="20"/>
      <c r="AL670" s="20"/>
      <c r="AM670" s="20"/>
      <c r="AN670" s="20"/>
      <c r="AO670" s="20"/>
      <c r="AP670" s="20"/>
      <c r="AQ670" s="20"/>
      <c r="AR670" s="20"/>
      <c r="AS670" s="20"/>
      <c r="AT670" s="20"/>
    </row>
    <row r="671">
      <c r="A671" s="20">
        <v>669.0</v>
      </c>
      <c r="B671" s="29" t="s">
        <v>647</v>
      </c>
      <c r="C671" s="20"/>
      <c r="D671" s="20"/>
      <c r="E671" s="20"/>
      <c r="F671" s="20"/>
      <c r="G671" s="20"/>
      <c r="H671" s="33" t="s">
        <v>77</v>
      </c>
      <c r="I671" s="33" t="s">
        <v>157</v>
      </c>
      <c r="J671" s="21"/>
      <c r="K671" s="20" t="str">
        <f t="shared" si="1"/>
        <v>Health services</v>
      </c>
      <c r="L671" s="20" t="s">
        <v>67</v>
      </c>
      <c r="M671" s="20" t="str">
        <f t="shared" si="2"/>
        <v>Health services</v>
      </c>
      <c r="N671" s="22" t="s">
        <v>510</v>
      </c>
      <c r="O671" s="22" t="s">
        <v>511</v>
      </c>
      <c r="P671" s="20" t="s">
        <v>512</v>
      </c>
      <c r="Q671" s="20" t="s">
        <v>512</v>
      </c>
      <c r="R671" s="34">
        <v>550000.0</v>
      </c>
      <c r="S671" s="34">
        <v>550000.0</v>
      </c>
      <c r="T671" s="34">
        <v>550000.0</v>
      </c>
      <c r="U671" s="20" t="s">
        <v>71</v>
      </c>
      <c r="V671" s="20"/>
      <c r="W671" s="38">
        <f t="shared" si="6"/>
        <v>550000</v>
      </c>
      <c r="X671" s="20"/>
      <c r="Y671" s="38">
        <f t="shared" si="7"/>
        <v>550000</v>
      </c>
      <c r="Z671" s="24">
        <f t="shared" si="3"/>
        <v>1</v>
      </c>
      <c r="AA671" s="23">
        <f t="shared" si="5"/>
        <v>550000</v>
      </c>
      <c r="AB671" s="20"/>
      <c r="AC671" s="20"/>
      <c r="AD671" s="20"/>
      <c r="AE671" s="20"/>
      <c r="AF671" s="20"/>
      <c r="AG671" s="20"/>
      <c r="AH671" s="20"/>
      <c r="AI671" s="20"/>
      <c r="AJ671" s="20"/>
      <c r="AK671" s="20"/>
      <c r="AL671" s="20"/>
      <c r="AM671" s="20"/>
      <c r="AN671" s="20"/>
      <c r="AO671" s="20"/>
      <c r="AP671" s="20"/>
      <c r="AQ671" s="20"/>
      <c r="AR671" s="20"/>
      <c r="AS671" s="20"/>
      <c r="AT671" s="20"/>
    </row>
    <row r="672">
      <c r="A672" s="20">
        <v>670.0</v>
      </c>
      <c r="B672" s="29" t="s">
        <v>670</v>
      </c>
      <c r="C672" s="20"/>
      <c r="D672" s="20"/>
      <c r="E672" s="20"/>
      <c r="F672" s="20"/>
      <c r="G672" s="20"/>
      <c r="H672" s="33" t="s">
        <v>65</v>
      </c>
      <c r="I672" s="33" t="s">
        <v>74</v>
      </c>
      <c r="J672" s="21"/>
      <c r="K672" s="20" t="str">
        <f t="shared" si="1"/>
        <v>ROADS,TRANSPORT AND PUBLIC WORKS</v>
      </c>
      <c r="L672" s="20" t="s">
        <v>107</v>
      </c>
      <c r="M672" s="20" t="str">
        <f t="shared" si="2"/>
        <v>ROADS,TRANSPORT AND PUBLIC WORKS</v>
      </c>
      <c r="N672" s="22" t="s">
        <v>510</v>
      </c>
      <c r="O672" s="22" t="s">
        <v>511</v>
      </c>
      <c r="P672" s="20" t="s">
        <v>512</v>
      </c>
      <c r="Q672" s="20" t="s">
        <v>512</v>
      </c>
      <c r="R672" s="34">
        <v>500000.0</v>
      </c>
      <c r="S672" s="34">
        <v>500000.0</v>
      </c>
      <c r="T672" s="34">
        <v>500000.0</v>
      </c>
      <c r="U672" s="20" t="s">
        <v>71</v>
      </c>
      <c r="V672" s="20"/>
      <c r="W672" s="38">
        <f t="shared" si="6"/>
        <v>500000</v>
      </c>
      <c r="X672" s="20"/>
      <c r="Y672" s="38">
        <f t="shared" si="7"/>
        <v>500000</v>
      </c>
      <c r="Z672" s="24">
        <f t="shared" si="3"/>
        <v>1</v>
      </c>
      <c r="AA672" s="23">
        <f t="shared" si="5"/>
        <v>500000</v>
      </c>
      <c r="AB672" s="20"/>
      <c r="AC672" s="20"/>
      <c r="AD672" s="20"/>
      <c r="AE672" s="20"/>
      <c r="AF672" s="20"/>
      <c r="AG672" s="20"/>
      <c r="AH672" s="20"/>
      <c r="AI672" s="20"/>
      <c r="AJ672" s="20"/>
      <c r="AK672" s="20"/>
      <c r="AL672" s="20"/>
      <c r="AM672" s="20"/>
      <c r="AN672" s="20"/>
      <c r="AO672" s="20"/>
      <c r="AP672" s="20"/>
      <c r="AQ672" s="20"/>
      <c r="AR672" s="20"/>
      <c r="AS672" s="20"/>
      <c r="AT672" s="20"/>
    </row>
    <row r="673">
      <c r="A673" s="20">
        <v>671.0</v>
      </c>
      <c r="B673" s="29" t="s">
        <v>671</v>
      </c>
      <c r="C673" s="20"/>
      <c r="D673" s="20"/>
      <c r="E673" s="20"/>
      <c r="F673" s="20"/>
      <c r="G673" s="20"/>
      <c r="H673" s="33" t="s">
        <v>65</v>
      </c>
      <c r="I673" s="33" t="s">
        <v>74</v>
      </c>
      <c r="J673" s="21"/>
      <c r="K673" s="20" t="str">
        <f t="shared" si="1"/>
        <v>WATER,ENVIRONMENT,CLIMATE CHANGE AND NATURAL RESOURCES</v>
      </c>
      <c r="L673" s="20" t="s">
        <v>75</v>
      </c>
      <c r="M673" s="20" t="str">
        <f t="shared" si="2"/>
        <v>WATER,ENVIRONMENT,CLIMATE CHANGE AND NATURAL RESOURCES</v>
      </c>
      <c r="N673" s="22" t="s">
        <v>510</v>
      </c>
      <c r="O673" s="22" t="s">
        <v>511</v>
      </c>
      <c r="P673" s="20" t="s">
        <v>512</v>
      </c>
      <c r="Q673" s="20" t="s">
        <v>512</v>
      </c>
      <c r="R673" s="34">
        <v>500000.0</v>
      </c>
      <c r="S673" s="34">
        <v>500000.0</v>
      </c>
      <c r="T673" s="34">
        <v>500000.0</v>
      </c>
      <c r="U673" s="20" t="s">
        <v>71</v>
      </c>
      <c r="V673" s="20"/>
      <c r="W673" s="38">
        <f t="shared" si="6"/>
        <v>500000</v>
      </c>
      <c r="X673" s="20"/>
      <c r="Y673" s="38">
        <f t="shared" si="7"/>
        <v>500000</v>
      </c>
      <c r="Z673" s="24">
        <f t="shared" si="3"/>
        <v>1</v>
      </c>
      <c r="AA673" s="23">
        <f t="shared" si="5"/>
        <v>500000</v>
      </c>
      <c r="AB673" s="20"/>
      <c r="AC673" s="20"/>
      <c r="AD673" s="20"/>
      <c r="AE673" s="20"/>
      <c r="AF673" s="20"/>
      <c r="AG673" s="20"/>
      <c r="AH673" s="20"/>
      <c r="AI673" s="20"/>
      <c r="AJ673" s="20"/>
      <c r="AK673" s="20"/>
      <c r="AL673" s="20"/>
      <c r="AM673" s="20"/>
      <c r="AN673" s="20"/>
      <c r="AO673" s="20"/>
      <c r="AP673" s="20"/>
      <c r="AQ673" s="20"/>
      <c r="AR673" s="20"/>
      <c r="AS673" s="20"/>
      <c r="AT673" s="20"/>
    </row>
    <row r="674">
      <c r="A674" s="20">
        <v>672.0</v>
      </c>
      <c r="B674" s="29" t="s">
        <v>672</v>
      </c>
      <c r="C674" s="20"/>
      <c r="D674" s="20"/>
      <c r="E674" s="20"/>
      <c r="F674" s="20"/>
      <c r="G674" s="20"/>
      <c r="H674" s="33" t="s">
        <v>65</v>
      </c>
      <c r="I674" s="33" t="s">
        <v>66</v>
      </c>
      <c r="J674" s="21"/>
      <c r="K674" s="20" t="str">
        <f t="shared" si="1"/>
        <v>ROADS,TRANSPORT AND PUBLIC WORKS</v>
      </c>
      <c r="L674" s="20" t="s">
        <v>107</v>
      </c>
      <c r="M674" s="20" t="str">
        <f t="shared" si="2"/>
        <v>ROADS,TRANSPORT AND PUBLIC WORKS</v>
      </c>
      <c r="N674" s="22" t="s">
        <v>510</v>
      </c>
      <c r="O674" s="22" t="s">
        <v>511</v>
      </c>
      <c r="P674" s="20" t="s">
        <v>512</v>
      </c>
      <c r="Q674" s="20" t="s">
        <v>512</v>
      </c>
      <c r="R674" s="34">
        <v>400000.0</v>
      </c>
      <c r="S674" s="34">
        <v>400000.0</v>
      </c>
      <c r="T674" s="34">
        <v>400000.0</v>
      </c>
      <c r="U674" s="20" t="s">
        <v>71</v>
      </c>
      <c r="V674" s="20"/>
      <c r="W674" s="38">
        <f t="shared" si="6"/>
        <v>400000</v>
      </c>
      <c r="X674" s="20"/>
      <c r="Y674" s="38">
        <f t="shared" si="7"/>
        <v>400000</v>
      </c>
      <c r="Z674" s="24">
        <f t="shared" si="3"/>
        <v>1</v>
      </c>
      <c r="AA674" s="23">
        <f t="shared" si="5"/>
        <v>400000</v>
      </c>
      <c r="AB674" s="20"/>
      <c r="AC674" s="20"/>
      <c r="AD674" s="20"/>
      <c r="AE674" s="20"/>
      <c r="AF674" s="20"/>
      <c r="AG674" s="20"/>
      <c r="AH674" s="20"/>
      <c r="AI674" s="20"/>
      <c r="AJ674" s="20"/>
      <c r="AK674" s="20"/>
      <c r="AL674" s="20"/>
      <c r="AM674" s="20"/>
      <c r="AN674" s="20"/>
      <c r="AO674" s="20"/>
      <c r="AP674" s="20"/>
      <c r="AQ674" s="20"/>
      <c r="AR674" s="20"/>
      <c r="AS674" s="20"/>
      <c r="AT674" s="20"/>
    </row>
    <row r="675">
      <c r="A675" s="20">
        <v>673.0</v>
      </c>
      <c r="B675" s="29" t="s">
        <v>672</v>
      </c>
      <c r="C675" s="20"/>
      <c r="D675" s="20"/>
      <c r="E675" s="20"/>
      <c r="F675" s="20"/>
      <c r="G675" s="20"/>
      <c r="H675" s="33" t="s">
        <v>65</v>
      </c>
      <c r="I675" s="33" t="s">
        <v>66</v>
      </c>
      <c r="J675" s="21"/>
      <c r="K675" s="20" t="str">
        <f t="shared" si="1"/>
        <v>ROADS,TRANSPORT AND PUBLIC WORKS</v>
      </c>
      <c r="L675" s="20" t="s">
        <v>107</v>
      </c>
      <c r="M675" s="20" t="str">
        <f t="shared" si="2"/>
        <v>ROADS,TRANSPORT AND PUBLIC WORKS</v>
      </c>
      <c r="N675" s="22" t="s">
        <v>510</v>
      </c>
      <c r="O675" s="22" t="s">
        <v>511</v>
      </c>
      <c r="P675" s="20" t="s">
        <v>512</v>
      </c>
      <c r="Q675" s="20" t="s">
        <v>512</v>
      </c>
      <c r="R675" s="34">
        <v>1000000.0</v>
      </c>
      <c r="S675" s="34">
        <v>1000000.0</v>
      </c>
      <c r="T675" s="34">
        <v>1000000.0</v>
      </c>
      <c r="U675" s="20" t="s">
        <v>71</v>
      </c>
      <c r="V675" s="20"/>
      <c r="W675" s="38">
        <f t="shared" si="6"/>
        <v>1000000</v>
      </c>
      <c r="X675" s="20"/>
      <c r="Y675" s="38">
        <f t="shared" si="7"/>
        <v>1000000</v>
      </c>
      <c r="Z675" s="24">
        <f t="shared" si="3"/>
        <v>1</v>
      </c>
      <c r="AA675" s="23">
        <f t="shared" si="5"/>
        <v>1000000</v>
      </c>
      <c r="AB675" s="20"/>
      <c r="AC675" s="20"/>
      <c r="AD675" s="20"/>
      <c r="AE675" s="20"/>
      <c r="AF675" s="20"/>
      <c r="AG675" s="20"/>
      <c r="AH675" s="20"/>
      <c r="AI675" s="20"/>
      <c r="AJ675" s="20"/>
      <c r="AK675" s="20"/>
      <c r="AL675" s="20"/>
      <c r="AM675" s="20"/>
      <c r="AN675" s="20"/>
      <c r="AO675" s="20"/>
      <c r="AP675" s="20"/>
      <c r="AQ675" s="20"/>
      <c r="AR675" s="20"/>
      <c r="AS675" s="20"/>
      <c r="AT675" s="20"/>
    </row>
    <row r="676">
      <c r="A676" s="20">
        <v>674.0</v>
      </c>
      <c r="B676" s="29" t="s">
        <v>673</v>
      </c>
      <c r="C676" s="20"/>
      <c r="D676" s="20"/>
      <c r="E676" s="20"/>
      <c r="F676" s="20"/>
      <c r="G676" s="20"/>
      <c r="H676" s="33" t="s">
        <v>77</v>
      </c>
      <c r="I676" s="33" t="s">
        <v>77</v>
      </c>
      <c r="J676" s="21"/>
      <c r="K676" s="20" t="str">
        <f t="shared" si="1"/>
        <v>WATER,ENVIRONMENT,CLIMATE CHANGE AND NATURAL RESOURCES</v>
      </c>
      <c r="L676" s="20" t="s">
        <v>75</v>
      </c>
      <c r="M676" s="20" t="str">
        <f t="shared" si="2"/>
        <v>WATER,ENVIRONMENT,CLIMATE CHANGE AND NATURAL RESOURCES</v>
      </c>
      <c r="N676" s="22" t="s">
        <v>510</v>
      </c>
      <c r="O676" s="22" t="s">
        <v>511</v>
      </c>
      <c r="P676" s="20" t="s">
        <v>512</v>
      </c>
      <c r="Q676" s="20" t="s">
        <v>512</v>
      </c>
      <c r="R676" s="34">
        <v>500000.0</v>
      </c>
      <c r="S676" s="34">
        <v>500000.0</v>
      </c>
      <c r="T676" s="34">
        <v>500000.0</v>
      </c>
      <c r="U676" s="20" t="s">
        <v>71</v>
      </c>
      <c r="V676" s="20"/>
      <c r="W676" s="38">
        <f t="shared" si="6"/>
        <v>500000</v>
      </c>
      <c r="X676" s="20"/>
      <c r="Y676" s="38">
        <f t="shared" si="7"/>
        <v>500000</v>
      </c>
      <c r="Z676" s="24">
        <f t="shared" si="3"/>
        <v>1</v>
      </c>
      <c r="AA676" s="23">
        <f t="shared" si="5"/>
        <v>500000</v>
      </c>
      <c r="AB676" s="20"/>
      <c r="AC676" s="20"/>
      <c r="AD676" s="20"/>
      <c r="AE676" s="20"/>
      <c r="AF676" s="20"/>
      <c r="AG676" s="20"/>
      <c r="AH676" s="20"/>
      <c r="AI676" s="20"/>
      <c r="AJ676" s="20"/>
      <c r="AK676" s="20"/>
      <c r="AL676" s="20"/>
      <c r="AM676" s="20"/>
      <c r="AN676" s="20"/>
      <c r="AO676" s="20"/>
      <c r="AP676" s="20"/>
      <c r="AQ676" s="20"/>
      <c r="AR676" s="20"/>
      <c r="AS676" s="20"/>
      <c r="AT676" s="20"/>
    </row>
    <row r="677">
      <c r="A677" s="20">
        <v>675.0</v>
      </c>
      <c r="B677" s="29" t="s">
        <v>673</v>
      </c>
      <c r="C677" s="20"/>
      <c r="D677" s="20"/>
      <c r="E677" s="20"/>
      <c r="F677" s="20"/>
      <c r="G677" s="20"/>
      <c r="H677" s="33" t="s">
        <v>77</v>
      </c>
      <c r="I677" s="33" t="s">
        <v>77</v>
      </c>
      <c r="J677" s="21"/>
      <c r="K677" s="20" t="str">
        <f t="shared" si="1"/>
        <v>WATER,ENVIRONMENT,CLIMATE CHANGE AND NATURAL RESOURCES</v>
      </c>
      <c r="L677" s="20" t="s">
        <v>75</v>
      </c>
      <c r="M677" s="20" t="str">
        <f t="shared" si="2"/>
        <v>WATER,ENVIRONMENT,CLIMATE CHANGE AND NATURAL RESOURCES</v>
      </c>
      <c r="N677" s="22" t="s">
        <v>510</v>
      </c>
      <c r="O677" s="22" t="s">
        <v>511</v>
      </c>
      <c r="P677" s="20" t="s">
        <v>512</v>
      </c>
      <c r="Q677" s="20" t="s">
        <v>512</v>
      </c>
      <c r="R677" s="34">
        <v>600000.0</v>
      </c>
      <c r="S677" s="34">
        <v>600000.0</v>
      </c>
      <c r="T677" s="34">
        <v>600000.0</v>
      </c>
      <c r="U677" s="20" t="s">
        <v>71</v>
      </c>
      <c r="V677" s="20"/>
      <c r="W677" s="38">
        <f t="shared" si="6"/>
        <v>600000</v>
      </c>
      <c r="X677" s="20"/>
      <c r="Y677" s="38">
        <f t="shared" si="7"/>
        <v>600000</v>
      </c>
      <c r="Z677" s="24">
        <f t="shared" si="3"/>
        <v>1</v>
      </c>
      <c r="AA677" s="23">
        <f t="shared" si="5"/>
        <v>600000</v>
      </c>
      <c r="AB677" s="20"/>
      <c r="AC677" s="20"/>
      <c r="AD677" s="20"/>
      <c r="AE677" s="20"/>
      <c r="AF677" s="20"/>
      <c r="AG677" s="20"/>
      <c r="AH677" s="20"/>
      <c r="AI677" s="20"/>
      <c r="AJ677" s="20"/>
      <c r="AK677" s="20"/>
      <c r="AL677" s="20"/>
      <c r="AM677" s="20"/>
      <c r="AN677" s="20"/>
      <c r="AO677" s="20"/>
      <c r="AP677" s="20"/>
      <c r="AQ677" s="20"/>
      <c r="AR677" s="20"/>
      <c r="AS677" s="20"/>
      <c r="AT677" s="20"/>
    </row>
    <row r="678">
      <c r="A678" s="20">
        <v>676.0</v>
      </c>
      <c r="B678" s="29" t="s">
        <v>674</v>
      </c>
      <c r="C678" s="20"/>
      <c r="D678" s="20"/>
      <c r="E678" s="20"/>
      <c r="F678" s="20"/>
      <c r="G678" s="20"/>
      <c r="H678" s="33" t="s">
        <v>104</v>
      </c>
      <c r="I678" s="33" t="s">
        <v>104</v>
      </c>
      <c r="J678" s="21"/>
      <c r="K678" s="20" t="str">
        <f t="shared" si="1"/>
        <v>WATER,ENVIRONMENT,CLIMATE CHANGE AND NATURAL RESOURCES</v>
      </c>
      <c r="L678" s="20" t="s">
        <v>75</v>
      </c>
      <c r="M678" s="20" t="str">
        <f t="shared" si="2"/>
        <v>WATER,ENVIRONMENT,CLIMATE CHANGE AND NATURAL RESOURCES</v>
      </c>
      <c r="N678" s="22" t="s">
        <v>510</v>
      </c>
      <c r="O678" s="22" t="s">
        <v>511</v>
      </c>
      <c r="P678" s="20" t="s">
        <v>512</v>
      </c>
      <c r="Q678" s="20" t="s">
        <v>512</v>
      </c>
      <c r="R678" s="34">
        <v>500000.0</v>
      </c>
      <c r="S678" s="34">
        <v>500000.0</v>
      </c>
      <c r="T678" s="34">
        <v>500000.0</v>
      </c>
      <c r="U678" s="20" t="s">
        <v>71</v>
      </c>
      <c r="V678" s="20"/>
      <c r="W678" s="38">
        <f t="shared" si="6"/>
        <v>500000</v>
      </c>
      <c r="X678" s="20"/>
      <c r="Y678" s="38">
        <f t="shared" si="7"/>
        <v>500000</v>
      </c>
      <c r="Z678" s="24">
        <f t="shared" si="3"/>
        <v>1</v>
      </c>
      <c r="AA678" s="23">
        <f t="shared" si="5"/>
        <v>500000</v>
      </c>
      <c r="AB678" s="20"/>
      <c r="AC678" s="20"/>
      <c r="AD678" s="20"/>
      <c r="AE678" s="20"/>
      <c r="AF678" s="20"/>
      <c r="AG678" s="20"/>
      <c r="AH678" s="20"/>
      <c r="AI678" s="20"/>
      <c r="AJ678" s="20"/>
      <c r="AK678" s="20"/>
      <c r="AL678" s="20"/>
      <c r="AM678" s="20"/>
      <c r="AN678" s="20"/>
      <c r="AO678" s="20"/>
      <c r="AP678" s="20"/>
      <c r="AQ678" s="20"/>
      <c r="AR678" s="20"/>
      <c r="AS678" s="20"/>
      <c r="AT678" s="20"/>
    </row>
    <row r="679">
      <c r="A679" s="20">
        <v>677.0</v>
      </c>
      <c r="B679" s="29" t="s">
        <v>675</v>
      </c>
      <c r="C679" s="20"/>
      <c r="D679" s="20"/>
      <c r="E679" s="20"/>
      <c r="F679" s="20"/>
      <c r="G679" s="20"/>
      <c r="H679" s="33" t="s">
        <v>65</v>
      </c>
      <c r="I679" s="33" t="s">
        <v>66</v>
      </c>
      <c r="J679" s="21"/>
      <c r="K679" s="20" t="str">
        <f t="shared" si="1"/>
        <v>EDUCATION,INFORMATION AND ICT</v>
      </c>
      <c r="L679" s="20" t="s">
        <v>84</v>
      </c>
      <c r="M679" s="20" t="str">
        <f t="shared" si="2"/>
        <v>EDUCATION,INFORMATION AND ICT</v>
      </c>
      <c r="N679" s="22" t="s">
        <v>510</v>
      </c>
      <c r="O679" s="22" t="s">
        <v>511</v>
      </c>
      <c r="P679" s="20" t="s">
        <v>512</v>
      </c>
      <c r="Q679" s="20" t="s">
        <v>512</v>
      </c>
      <c r="R679" s="34">
        <v>1300000.0</v>
      </c>
      <c r="S679" s="34">
        <v>1300000.0</v>
      </c>
      <c r="T679" s="34">
        <v>1300000.0</v>
      </c>
      <c r="U679" s="20" t="s">
        <v>71</v>
      </c>
      <c r="V679" s="20"/>
      <c r="W679" s="38">
        <f t="shared" si="6"/>
        <v>1300000</v>
      </c>
      <c r="X679" s="20"/>
      <c r="Y679" s="38">
        <f t="shared" si="7"/>
        <v>1300000</v>
      </c>
      <c r="Z679" s="24">
        <f t="shared" si="3"/>
        <v>1</v>
      </c>
      <c r="AA679" s="23">
        <f t="shared" si="5"/>
        <v>1300000</v>
      </c>
      <c r="AB679" s="20"/>
      <c r="AC679" s="20"/>
      <c r="AD679" s="20"/>
      <c r="AE679" s="20"/>
      <c r="AF679" s="20"/>
      <c r="AG679" s="20"/>
      <c r="AH679" s="20"/>
      <c r="AI679" s="20"/>
      <c r="AJ679" s="20"/>
      <c r="AK679" s="20"/>
      <c r="AL679" s="20"/>
      <c r="AM679" s="20"/>
      <c r="AN679" s="20"/>
      <c r="AO679" s="20"/>
      <c r="AP679" s="20"/>
      <c r="AQ679" s="20"/>
      <c r="AR679" s="20"/>
      <c r="AS679" s="20"/>
      <c r="AT679" s="20"/>
    </row>
    <row r="680">
      <c r="A680" s="20">
        <v>678.0</v>
      </c>
      <c r="B680" s="29" t="s">
        <v>676</v>
      </c>
      <c r="C680" s="20"/>
      <c r="D680" s="20"/>
      <c r="E680" s="20"/>
      <c r="F680" s="20"/>
      <c r="G680" s="20"/>
      <c r="H680" s="33" t="s">
        <v>65</v>
      </c>
      <c r="I680" s="33" t="s">
        <v>66</v>
      </c>
      <c r="J680" s="21"/>
      <c r="K680" s="20" t="str">
        <f t="shared" si="1"/>
        <v>WATER,ENVIRONMENT,CLIMATE CHANGE AND NATURAL RESOURCES</v>
      </c>
      <c r="L680" s="20" t="s">
        <v>75</v>
      </c>
      <c r="M680" s="20" t="str">
        <f t="shared" si="2"/>
        <v>WATER,ENVIRONMENT,CLIMATE CHANGE AND NATURAL RESOURCES</v>
      </c>
      <c r="N680" s="22" t="s">
        <v>510</v>
      </c>
      <c r="O680" s="22" t="s">
        <v>511</v>
      </c>
      <c r="P680" s="20" t="s">
        <v>512</v>
      </c>
      <c r="Q680" s="20" t="s">
        <v>512</v>
      </c>
      <c r="R680" s="34">
        <v>1200000.0</v>
      </c>
      <c r="S680" s="34">
        <v>1200000.0</v>
      </c>
      <c r="T680" s="34">
        <v>1200000.0</v>
      </c>
      <c r="U680" s="20" t="s">
        <v>71</v>
      </c>
      <c r="V680" s="20"/>
      <c r="W680" s="38">
        <f t="shared" si="6"/>
        <v>1200000</v>
      </c>
      <c r="X680" s="20"/>
      <c r="Y680" s="38">
        <f t="shared" si="7"/>
        <v>1200000</v>
      </c>
      <c r="Z680" s="24">
        <f t="shared" si="3"/>
        <v>1</v>
      </c>
      <c r="AA680" s="23">
        <f t="shared" si="5"/>
        <v>1200000</v>
      </c>
      <c r="AB680" s="20"/>
      <c r="AC680" s="20"/>
      <c r="AD680" s="20"/>
      <c r="AE680" s="20"/>
      <c r="AF680" s="20"/>
      <c r="AG680" s="20"/>
      <c r="AH680" s="20"/>
      <c r="AI680" s="20"/>
      <c r="AJ680" s="20"/>
      <c r="AK680" s="20"/>
      <c r="AL680" s="20"/>
      <c r="AM680" s="20"/>
      <c r="AN680" s="20"/>
      <c r="AO680" s="20"/>
      <c r="AP680" s="20"/>
      <c r="AQ680" s="20"/>
      <c r="AR680" s="20"/>
      <c r="AS680" s="20"/>
      <c r="AT680" s="20"/>
    </row>
    <row r="681">
      <c r="A681" s="20">
        <v>679.0</v>
      </c>
      <c r="B681" s="40" t="s">
        <v>677</v>
      </c>
      <c r="C681" s="20"/>
      <c r="D681" s="20"/>
      <c r="E681" s="20"/>
      <c r="F681" s="20"/>
      <c r="G681" s="20"/>
      <c r="H681" s="33" t="s">
        <v>65</v>
      </c>
      <c r="I681" s="33" t="s">
        <v>66</v>
      </c>
      <c r="J681" s="21"/>
      <c r="K681" s="20" t="str">
        <f t="shared" si="1"/>
        <v>WATER,ENVIRONMENT,CLIMATE CHANGE AND NATURAL RESOURCES</v>
      </c>
      <c r="L681" s="20" t="s">
        <v>75</v>
      </c>
      <c r="M681" s="20" t="str">
        <f t="shared" si="2"/>
        <v>WATER,ENVIRONMENT,CLIMATE CHANGE AND NATURAL RESOURCES</v>
      </c>
      <c r="N681" s="22" t="s">
        <v>510</v>
      </c>
      <c r="O681" s="22" t="s">
        <v>511</v>
      </c>
      <c r="P681" s="20" t="s">
        <v>512</v>
      </c>
      <c r="Q681" s="20" t="s">
        <v>512</v>
      </c>
      <c r="R681" s="34">
        <v>1500000.0</v>
      </c>
      <c r="S681" s="34">
        <v>1500000.0</v>
      </c>
      <c r="T681" s="34">
        <v>1500000.0</v>
      </c>
      <c r="U681" s="20" t="s">
        <v>71</v>
      </c>
      <c r="V681" s="20"/>
      <c r="W681" s="38">
        <f t="shared" si="6"/>
        <v>1500000</v>
      </c>
      <c r="X681" s="20"/>
      <c r="Y681" s="38">
        <f t="shared" si="7"/>
        <v>1500000</v>
      </c>
      <c r="Z681" s="24">
        <f t="shared" si="3"/>
        <v>1</v>
      </c>
      <c r="AA681" s="23">
        <f t="shared" si="5"/>
        <v>1500000</v>
      </c>
      <c r="AB681" s="20"/>
      <c r="AC681" s="20"/>
      <c r="AD681" s="20"/>
      <c r="AE681" s="20"/>
      <c r="AF681" s="20"/>
      <c r="AG681" s="20"/>
      <c r="AH681" s="20"/>
      <c r="AI681" s="20"/>
      <c r="AJ681" s="20"/>
      <c r="AK681" s="20"/>
      <c r="AL681" s="20"/>
      <c r="AM681" s="20"/>
      <c r="AN681" s="20"/>
      <c r="AO681" s="20"/>
      <c r="AP681" s="20"/>
      <c r="AQ681" s="20"/>
      <c r="AR681" s="20"/>
      <c r="AS681" s="20"/>
      <c r="AT681" s="20"/>
    </row>
    <row r="682">
      <c r="A682" s="20">
        <v>680.0</v>
      </c>
      <c r="B682" s="29" t="s">
        <v>678</v>
      </c>
      <c r="C682" s="20"/>
      <c r="D682" s="20"/>
      <c r="E682" s="20"/>
      <c r="F682" s="20"/>
      <c r="G682" s="20"/>
      <c r="H682" s="33" t="s">
        <v>65</v>
      </c>
      <c r="I682" s="33" t="s">
        <v>90</v>
      </c>
      <c r="J682" s="21"/>
      <c r="K682" s="20" t="str">
        <f t="shared" si="1"/>
        <v>ROADS,TRANSPORT AND PUBLIC WORKS</v>
      </c>
      <c r="L682" s="20" t="s">
        <v>107</v>
      </c>
      <c r="M682" s="20" t="str">
        <f t="shared" si="2"/>
        <v>ROADS,TRANSPORT AND PUBLIC WORKS</v>
      </c>
      <c r="N682" s="22" t="s">
        <v>510</v>
      </c>
      <c r="O682" s="22" t="s">
        <v>511</v>
      </c>
      <c r="P682" s="20" t="s">
        <v>512</v>
      </c>
      <c r="Q682" s="20" t="s">
        <v>512</v>
      </c>
      <c r="R682" s="34">
        <v>500000.0</v>
      </c>
      <c r="S682" s="34">
        <v>500000.0</v>
      </c>
      <c r="T682" s="34">
        <v>500000.0</v>
      </c>
      <c r="U682" s="20" t="s">
        <v>71</v>
      </c>
      <c r="V682" s="20"/>
      <c r="W682" s="38">
        <f t="shared" si="6"/>
        <v>500000</v>
      </c>
      <c r="X682" s="20"/>
      <c r="Y682" s="38">
        <f t="shared" si="7"/>
        <v>500000</v>
      </c>
      <c r="Z682" s="24">
        <f t="shared" si="3"/>
        <v>1</v>
      </c>
      <c r="AA682" s="23">
        <f t="shared" si="5"/>
        <v>500000</v>
      </c>
      <c r="AB682" s="20"/>
      <c r="AC682" s="20"/>
      <c r="AD682" s="20"/>
      <c r="AE682" s="20"/>
      <c r="AF682" s="20"/>
      <c r="AG682" s="20"/>
      <c r="AH682" s="20"/>
      <c r="AI682" s="20"/>
      <c r="AJ682" s="20"/>
      <c r="AK682" s="20"/>
      <c r="AL682" s="20"/>
      <c r="AM682" s="20"/>
      <c r="AN682" s="20"/>
      <c r="AO682" s="20"/>
      <c r="AP682" s="20"/>
      <c r="AQ682" s="20"/>
      <c r="AR682" s="20"/>
      <c r="AS682" s="20"/>
      <c r="AT682" s="20"/>
    </row>
    <row r="683">
      <c r="A683" s="20">
        <v>681.0</v>
      </c>
      <c r="B683" s="29" t="s">
        <v>679</v>
      </c>
      <c r="C683" s="20"/>
      <c r="D683" s="20"/>
      <c r="E683" s="20"/>
      <c r="F683" s="20"/>
      <c r="G683" s="20"/>
      <c r="H683" s="33" t="s">
        <v>160</v>
      </c>
      <c r="I683" s="33" t="s">
        <v>207</v>
      </c>
      <c r="J683" s="21"/>
      <c r="K683" s="20" t="str">
        <f t="shared" si="1"/>
        <v>ROADS,TRANSPORT AND PUBLIC WORKS</v>
      </c>
      <c r="L683" s="20" t="s">
        <v>107</v>
      </c>
      <c r="M683" s="20" t="str">
        <f t="shared" si="2"/>
        <v>ROADS,TRANSPORT AND PUBLIC WORKS</v>
      </c>
      <c r="N683" s="22" t="s">
        <v>510</v>
      </c>
      <c r="O683" s="22" t="s">
        <v>511</v>
      </c>
      <c r="P683" s="20" t="s">
        <v>512</v>
      </c>
      <c r="Q683" s="20" t="s">
        <v>512</v>
      </c>
      <c r="R683" s="34">
        <v>500000.0</v>
      </c>
      <c r="S683" s="34">
        <v>500000.0</v>
      </c>
      <c r="T683" s="34">
        <v>500000.0</v>
      </c>
      <c r="U683" s="20" t="s">
        <v>71</v>
      </c>
      <c r="V683" s="20"/>
      <c r="W683" s="38">
        <f t="shared" si="6"/>
        <v>500000</v>
      </c>
      <c r="X683" s="20"/>
      <c r="Y683" s="38">
        <f t="shared" si="7"/>
        <v>500000</v>
      </c>
      <c r="Z683" s="24">
        <f t="shared" si="3"/>
        <v>1</v>
      </c>
      <c r="AA683" s="23">
        <f t="shared" si="5"/>
        <v>500000</v>
      </c>
      <c r="AB683" s="20"/>
      <c r="AC683" s="20"/>
      <c r="AD683" s="20"/>
      <c r="AE683" s="20"/>
      <c r="AF683" s="20"/>
      <c r="AG683" s="20"/>
      <c r="AH683" s="20"/>
      <c r="AI683" s="20"/>
      <c r="AJ683" s="20"/>
      <c r="AK683" s="20"/>
      <c r="AL683" s="20"/>
      <c r="AM683" s="20"/>
      <c r="AN683" s="20"/>
      <c r="AO683" s="20"/>
      <c r="AP683" s="20"/>
      <c r="AQ683" s="20"/>
      <c r="AR683" s="20"/>
      <c r="AS683" s="20"/>
      <c r="AT683" s="20"/>
    </row>
    <row r="684">
      <c r="A684" s="20">
        <v>682.0</v>
      </c>
      <c r="B684" s="29" t="s">
        <v>680</v>
      </c>
      <c r="C684" s="20"/>
      <c r="D684" s="20"/>
      <c r="E684" s="20"/>
      <c r="F684" s="20"/>
      <c r="G684" s="20"/>
      <c r="H684" s="33" t="s">
        <v>65</v>
      </c>
      <c r="I684" s="33" t="s">
        <v>66</v>
      </c>
      <c r="J684" s="21"/>
      <c r="K684" s="20" t="str">
        <f t="shared" si="1"/>
        <v>ROADS,TRANSPORT AND PUBLIC WORKS</v>
      </c>
      <c r="L684" s="20" t="s">
        <v>107</v>
      </c>
      <c r="M684" s="20" t="str">
        <f t="shared" si="2"/>
        <v>ROADS,TRANSPORT AND PUBLIC WORKS</v>
      </c>
      <c r="N684" s="22" t="s">
        <v>510</v>
      </c>
      <c r="O684" s="22" t="s">
        <v>511</v>
      </c>
      <c r="P684" s="20" t="s">
        <v>512</v>
      </c>
      <c r="Q684" s="20" t="s">
        <v>512</v>
      </c>
      <c r="R684" s="34">
        <v>1000000.0</v>
      </c>
      <c r="S684" s="34">
        <v>1000000.0</v>
      </c>
      <c r="T684" s="34">
        <v>1000000.0</v>
      </c>
      <c r="U684" s="20" t="s">
        <v>71</v>
      </c>
      <c r="V684" s="20"/>
      <c r="W684" s="38">
        <f t="shared" si="6"/>
        <v>1000000</v>
      </c>
      <c r="X684" s="20"/>
      <c r="Y684" s="38">
        <f t="shared" si="7"/>
        <v>1000000</v>
      </c>
      <c r="Z684" s="24">
        <f t="shared" si="3"/>
        <v>1</v>
      </c>
      <c r="AA684" s="23">
        <f t="shared" si="5"/>
        <v>1000000</v>
      </c>
      <c r="AB684" s="20"/>
      <c r="AC684" s="20"/>
      <c r="AD684" s="20"/>
      <c r="AE684" s="20"/>
      <c r="AF684" s="20"/>
      <c r="AG684" s="20"/>
      <c r="AH684" s="20"/>
      <c r="AI684" s="20"/>
      <c r="AJ684" s="20"/>
      <c r="AK684" s="20"/>
      <c r="AL684" s="20"/>
      <c r="AM684" s="20"/>
      <c r="AN684" s="20"/>
      <c r="AO684" s="20"/>
      <c r="AP684" s="20"/>
      <c r="AQ684" s="20"/>
      <c r="AR684" s="20"/>
      <c r="AS684" s="20"/>
      <c r="AT684" s="20"/>
    </row>
    <row r="685">
      <c r="A685" s="20">
        <v>683.0</v>
      </c>
      <c r="B685" s="29" t="s">
        <v>681</v>
      </c>
      <c r="C685" s="20"/>
      <c r="D685" s="20"/>
      <c r="E685" s="20"/>
      <c r="F685" s="20"/>
      <c r="G685" s="20"/>
      <c r="H685" s="33" t="s">
        <v>65</v>
      </c>
      <c r="I685" s="33" t="s">
        <v>66</v>
      </c>
      <c r="J685" s="21"/>
      <c r="K685" s="20" t="str">
        <f t="shared" si="1"/>
        <v>Health services</v>
      </c>
      <c r="L685" s="20" t="s">
        <v>67</v>
      </c>
      <c r="M685" s="20" t="str">
        <f t="shared" si="2"/>
        <v>Health services</v>
      </c>
      <c r="N685" s="22" t="s">
        <v>510</v>
      </c>
      <c r="O685" s="22" t="s">
        <v>511</v>
      </c>
      <c r="P685" s="20" t="s">
        <v>512</v>
      </c>
      <c r="Q685" s="20" t="s">
        <v>512</v>
      </c>
      <c r="R685" s="34">
        <v>500000.0</v>
      </c>
      <c r="S685" s="34">
        <v>500000.0</v>
      </c>
      <c r="T685" s="34">
        <v>500000.0</v>
      </c>
      <c r="U685" s="20" t="s">
        <v>71</v>
      </c>
      <c r="V685" s="20"/>
      <c r="W685" s="38">
        <f t="shared" si="6"/>
        <v>500000</v>
      </c>
      <c r="X685" s="20"/>
      <c r="Y685" s="38">
        <f t="shared" si="7"/>
        <v>500000</v>
      </c>
      <c r="Z685" s="24">
        <f t="shared" si="3"/>
        <v>1</v>
      </c>
      <c r="AA685" s="23">
        <f t="shared" si="5"/>
        <v>500000</v>
      </c>
      <c r="AB685" s="20"/>
      <c r="AC685" s="20"/>
      <c r="AD685" s="20"/>
      <c r="AE685" s="20"/>
      <c r="AF685" s="20"/>
      <c r="AG685" s="20"/>
      <c r="AH685" s="20"/>
      <c r="AI685" s="20"/>
      <c r="AJ685" s="20"/>
      <c r="AK685" s="20"/>
      <c r="AL685" s="20"/>
      <c r="AM685" s="20"/>
      <c r="AN685" s="20"/>
      <c r="AO685" s="20"/>
      <c r="AP685" s="20"/>
      <c r="AQ685" s="20"/>
      <c r="AR685" s="20"/>
      <c r="AS685" s="20"/>
      <c r="AT685" s="20"/>
    </row>
    <row r="686">
      <c r="A686" s="20">
        <v>684.0</v>
      </c>
      <c r="B686" s="29" t="s">
        <v>682</v>
      </c>
      <c r="C686" s="20"/>
      <c r="D686" s="20"/>
      <c r="E686" s="20"/>
      <c r="F686" s="20"/>
      <c r="G686" s="20"/>
      <c r="H686" s="33" t="s">
        <v>65</v>
      </c>
      <c r="I686" s="33" t="s">
        <v>66</v>
      </c>
      <c r="J686" s="21"/>
      <c r="K686" s="20" t="str">
        <f t="shared" si="1"/>
        <v>Health services</v>
      </c>
      <c r="L686" s="20" t="s">
        <v>67</v>
      </c>
      <c r="M686" s="20" t="str">
        <f t="shared" si="2"/>
        <v>Health services</v>
      </c>
      <c r="N686" s="22" t="s">
        <v>510</v>
      </c>
      <c r="O686" s="22" t="s">
        <v>511</v>
      </c>
      <c r="P686" s="20" t="s">
        <v>512</v>
      </c>
      <c r="Q686" s="20" t="s">
        <v>512</v>
      </c>
      <c r="R686" s="34">
        <v>500000.0</v>
      </c>
      <c r="S686" s="34">
        <v>500000.0</v>
      </c>
      <c r="T686" s="34">
        <v>500000.0</v>
      </c>
      <c r="U686" s="20" t="s">
        <v>71</v>
      </c>
      <c r="V686" s="20"/>
      <c r="W686" s="38">
        <f t="shared" si="6"/>
        <v>500000</v>
      </c>
      <c r="X686" s="20"/>
      <c r="Y686" s="38">
        <f t="shared" si="7"/>
        <v>500000</v>
      </c>
      <c r="Z686" s="24">
        <f t="shared" si="3"/>
        <v>1</v>
      </c>
      <c r="AA686" s="23">
        <f t="shared" si="5"/>
        <v>500000</v>
      </c>
      <c r="AB686" s="20"/>
      <c r="AC686" s="20"/>
      <c r="AD686" s="20"/>
      <c r="AE686" s="20"/>
      <c r="AF686" s="20"/>
      <c r="AG686" s="20"/>
      <c r="AH686" s="20"/>
      <c r="AI686" s="20"/>
      <c r="AJ686" s="20"/>
      <c r="AK686" s="20"/>
      <c r="AL686" s="20"/>
      <c r="AM686" s="20"/>
      <c r="AN686" s="20"/>
      <c r="AO686" s="20"/>
      <c r="AP686" s="20"/>
      <c r="AQ686" s="20"/>
      <c r="AR686" s="20"/>
      <c r="AS686" s="20"/>
      <c r="AT686" s="20"/>
    </row>
    <row r="687">
      <c r="A687" s="20">
        <v>685.0</v>
      </c>
      <c r="B687" s="29" t="s">
        <v>683</v>
      </c>
      <c r="C687" s="20"/>
      <c r="D687" s="20"/>
      <c r="E687" s="20"/>
      <c r="F687" s="20"/>
      <c r="G687" s="20"/>
      <c r="H687" s="33" t="s">
        <v>65</v>
      </c>
      <c r="I687" s="33" t="s">
        <v>66</v>
      </c>
      <c r="J687" s="21"/>
      <c r="K687" s="20" t="str">
        <f t="shared" si="1"/>
        <v>ROADS,TRANSPORT AND PUBLIC WORKS</v>
      </c>
      <c r="L687" s="20" t="s">
        <v>107</v>
      </c>
      <c r="M687" s="20" t="str">
        <f t="shared" si="2"/>
        <v>ROADS,TRANSPORT AND PUBLIC WORKS</v>
      </c>
      <c r="N687" s="22" t="s">
        <v>510</v>
      </c>
      <c r="O687" s="22" t="s">
        <v>511</v>
      </c>
      <c r="P687" s="20" t="s">
        <v>512</v>
      </c>
      <c r="Q687" s="20" t="s">
        <v>512</v>
      </c>
      <c r="R687" s="34">
        <v>500000.0</v>
      </c>
      <c r="S687" s="34">
        <v>500000.0</v>
      </c>
      <c r="T687" s="34">
        <v>500000.0</v>
      </c>
      <c r="U687" s="20" t="s">
        <v>71</v>
      </c>
      <c r="V687" s="20"/>
      <c r="W687" s="38">
        <f t="shared" si="6"/>
        <v>500000</v>
      </c>
      <c r="X687" s="20"/>
      <c r="Y687" s="38">
        <f t="shared" si="7"/>
        <v>500000</v>
      </c>
      <c r="Z687" s="24">
        <f t="shared" si="3"/>
        <v>1</v>
      </c>
      <c r="AA687" s="23">
        <f t="shared" si="5"/>
        <v>500000</v>
      </c>
      <c r="AB687" s="20"/>
      <c r="AC687" s="20"/>
      <c r="AD687" s="20"/>
      <c r="AE687" s="20"/>
      <c r="AF687" s="20"/>
      <c r="AG687" s="20"/>
      <c r="AH687" s="20"/>
      <c r="AI687" s="20"/>
      <c r="AJ687" s="20"/>
      <c r="AK687" s="20"/>
      <c r="AL687" s="20"/>
      <c r="AM687" s="20"/>
      <c r="AN687" s="20"/>
      <c r="AO687" s="20"/>
      <c r="AP687" s="20"/>
      <c r="AQ687" s="20"/>
      <c r="AR687" s="20"/>
      <c r="AS687" s="20"/>
      <c r="AT687" s="20"/>
    </row>
    <row r="688">
      <c r="A688" s="20">
        <v>686.0</v>
      </c>
      <c r="B688" s="29" t="s">
        <v>684</v>
      </c>
      <c r="C688" s="20"/>
      <c r="D688" s="20"/>
      <c r="E688" s="20"/>
      <c r="F688" s="20"/>
      <c r="G688" s="20"/>
      <c r="H688" s="33" t="s">
        <v>160</v>
      </c>
      <c r="I688" s="33" t="s">
        <v>160</v>
      </c>
      <c r="J688" s="21"/>
      <c r="K688" s="20" t="str">
        <f t="shared" si="1"/>
        <v>WATER,ENVIRONMENT,CLIMATE CHANGE AND NATURAL RESOURCES</v>
      </c>
      <c r="L688" s="20" t="s">
        <v>75</v>
      </c>
      <c r="M688" s="20" t="str">
        <f t="shared" si="2"/>
        <v>WATER,ENVIRONMENT,CLIMATE CHANGE AND NATURAL RESOURCES</v>
      </c>
      <c r="N688" s="22" t="s">
        <v>510</v>
      </c>
      <c r="O688" s="22" t="s">
        <v>511</v>
      </c>
      <c r="P688" s="20" t="s">
        <v>512</v>
      </c>
      <c r="Q688" s="20" t="s">
        <v>512</v>
      </c>
      <c r="R688" s="34">
        <v>660000.0</v>
      </c>
      <c r="S688" s="34">
        <v>660000.0</v>
      </c>
      <c r="T688" s="34">
        <v>660000.0</v>
      </c>
      <c r="U688" s="20" t="s">
        <v>71</v>
      </c>
      <c r="V688" s="20"/>
      <c r="W688" s="38">
        <f t="shared" si="6"/>
        <v>660000</v>
      </c>
      <c r="X688" s="20"/>
      <c r="Y688" s="38">
        <f t="shared" si="7"/>
        <v>660000</v>
      </c>
      <c r="Z688" s="24">
        <f t="shared" si="3"/>
        <v>1</v>
      </c>
      <c r="AA688" s="23">
        <f t="shared" si="5"/>
        <v>660000</v>
      </c>
      <c r="AB688" s="20"/>
      <c r="AC688" s="20"/>
      <c r="AD688" s="20"/>
      <c r="AE688" s="20"/>
      <c r="AF688" s="20"/>
      <c r="AG688" s="20"/>
      <c r="AH688" s="20"/>
      <c r="AI688" s="20"/>
      <c r="AJ688" s="20"/>
      <c r="AK688" s="20"/>
      <c r="AL688" s="20"/>
      <c r="AM688" s="20"/>
      <c r="AN688" s="20"/>
      <c r="AO688" s="20"/>
      <c r="AP688" s="20"/>
      <c r="AQ688" s="20"/>
      <c r="AR688" s="20"/>
      <c r="AS688" s="20"/>
      <c r="AT688" s="20"/>
    </row>
    <row r="689">
      <c r="A689" s="20">
        <v>687.0</v>
      </c>
      <c r="B689" s="29" t="s">
        <v>685</v>
      </c>
      <c r="C689" s="20"/>
      <c r="D689" s="20"/>
      <c r="E689" s="20"/>
      <c r="F689" s="20"/>
      <c r="G689" s="20"/>
      <c r="H689" s="33" t="s">
        <v>65</v>
      </c>
      <c r="I689" s="33" t="s">
        <v>66</v>
      </c>
      <c r="J689" s="21"/>
      <c r="K689" s="20" t="str">
        <f t="shared" si="1"/>
        <v>WATER,ENVIRONMENT,CLIMATE CHANGE AND NATURAL RESOURCES</v>
      </c>
      <c r="L689" s="20" t="s">
        <v>75</v>
      </c>
      <c r="M689" s="20" t="str">
        <f t="shared" si="2"/>
        <v>WATER,ENVIRONMENT,CLIMATE CHANGE AND NATURAL RESOURCES</v>
      </c>
      <c r="N689" s="22" t="s">
        <v>510</v>
      </c>
      <c r="O689" s="22" t="s">
        <v>511</v>
      </c>
      <c r="P689" s="20" t="s">
        <v>512</v>
      </c>
      <c r="Q689" s="20" t="s">
        <v>512</v>
      </c>
      <c r="R689" s="34">
        <v>500000.0</v>
      </c>
      <c r="S689" s="34">
        <v>500000.0</v>
      </c>
      <c r="T689" s="34">
        <v>500000.0</v>
      </c>
      <c r="U689" s="20" t="s">
        <v>71</v>
      </c>
      <c r="V689" s="20"/>
      <c r="W689" s="38">
        <f t="shared" si="6"/>
        <v>500000</v>
      </c>
      <c r="X689" s="20"/>
      <c r="Y689" s="38">
        <f t="shared" si="7"/>
        <v>500000</v>
      </c>
      <c r="Z689" s="24">
        <f t="shared" si="3"/>
        <v>1</v>
      </c>
      <c r="AA689" s="23">
        <f t="shared" si="5"/>
        <v>500000</v>
      </c>
      <c r="AB689" s="20"/>
      <c r="AC689" s="20"/>
      <c r="AD689" s="20"/>
      <c r="AE689" s="20"/>
      <c r="AF689" s="20"/>
      <c r="AG689" s="20"/>
      <c r="AH689" s="20"/>
      <c r="AI689" s="20"/>
      <c r="AJ689" s="20"/>
      <c r="AK689" s="20"/>
      <c r="AL689" s="20"/>
      <c r="AM689" s="20"/>
      <c r="AN689" s="20"/>
      <c r="AO689" s="20"/>
      <c r="AP689" s="20"/>
      <c r="AQ689" s="20"/>
      <c r="AR689" s="20"/>
      <c r="AS689" s="20"/>
      <c r="AT689" s="20"/>
    </row>
    <row r="690">
      <c r="A690" s="20">
        <v>688.0</v>
      </c>
      <c r="B690" s="29" t="s">
        <v>686</v>
      </c>
      <c r="C690" s="20"/>
      <c r="D690" s="20"/>
      <c r="E690" s="20"/>
      <c r="F690" s="20"/>
      <c r="G690" s="20"/>
      <c r="H690" s="33" t="s">
        <v>65</v>
      </c>
      <c r="I690" s="33" t="s">
        <v>104</v>
      </c>
      <c r="J690" s="21"/>
      <c r="K690" s="20" t="str">
        <f t="shared" si="1"/>
        <v>ROADS,TRANSPORT AND PUBLIC WORKS</v>
      </c>
      <c r="L690" s="20" t="s">
        <v>107</v>
      </c>
      <c r="M690" s="20" t="str">
        <f t="shared" si="2"/>
        <v>ROADS,TRANSPORT AND PUBLIC WORKS</v>
      </c>
      <c r="N690" s="22" t="s">
        <v>510</v>
      </c>
      <c r="O690" s="22" t="s">
        <v>511</v>
      </c>
      <c r="P690" s="20" t="s">
        <v>512</v>
      </c>
      <c r="Q690" s="20" t="s">
        <v>512</v>
      </c>
      <c r="R690" s="34">
        <v>800000.0</v>
      </c>
      <c r="S690" s="34">
        <v>800000.0</v>
      </c>
      <c r="T690" s="34">
        <v>800000.0</v>
      </c>
      <c r="U690" s="20" t="s">
        <v>71</v>
      </c>
      <c r="V690" s="20"/>
      <c r="W690" s="38">
        <f t="shared" si="6"/>
        <v>800000</v>
      </c>
      <c r="X690" s="20"/>
      <c r="Y690" s="38">
        <f t="shared" si="7"/>
        <v>800000</v>
      </c>
      <c r="Z690" s="24">
        <f t="shared" si="3"/>
        <v>1</v>
      </c>
      <c r="AA690" s="23">
        <f t="shared" si="5"/>
        <v>800000</v>
      </c>
      <c r="AB690" s="20"/>
      <c r="AC690" s="20"/>
      <c r="AD690" s="20"/>
      <c r="AE690" s="20"/>
      <c r="AF690" s="20"/>
      <c r="AG690" s="20"/>
      <c r="AH690" s="20"/>
      <c r="AI690" s="20"/>
      <c r="AJ690" s="20"/>
      <c r="AK690" s="20"/>
      <c r="AL690" s="20"/>
      <c r="AM690" s="20"/>
      <c r="AN690" s="20"/>
      <c r="AO690" s="20"/>
      <c r="AP690" s="20"/>
      <c r="AQ690" s="20"/>
      <c r="AR690" s="20"/>
      <c r="AS690" s="20"/>
      <c r="AT690" s="20"/>
    </row>
    <row r="691">
      <c r="A691" s="20">
        <v>689.0</v>
      </c>
      <c r="B691" s="29" t="s">
        <v>687</v>
      </c>
      <c r="C691" s="20"/>
      <c r="D691" s="20"/>
      <c r="E691" s="20"/>
      <c r="F691" s="20"/>
      <c r="G691" s="20"/>
      <c r="H691" s="33" t="s">
        <v>160</v>
      </c>
      <c r="I691" s="33" t="s">
        <v>207</v>
      </c>
      <c r="J691" s="21"/>
      <c r="K691" s="20" t="str">
        <f t="shared" si="1"/>
        <v>EDUCATION,INFORMATION AND ICT</v>
      </c>
      <c r="L691" s="20" t="s">
        <v>84</v>
      </c>
      <c r="M691" s="20" t="str">
        <f t="shared" si="2"/>
        <v>EDUCATION,INFORMATION AND ICT</v>
      </c>
      <c r="N691" s="22" t="s">
        <v>510</v>
      </c>
      <c r="O691" s="22" t="s">
        <v>511</v>
      </c>
      <c r="P691" s="20" t="s">
        <v>512</v>
      </c>
      <c r="Q691" s="20" t="s">
        <v>512</v>
      </c>
      <c r="R691" s="34">
        <v>300000.0</v>
      </c>
      <c r="S691" s="34">
        <v>300000.0</v>
      </c>
      <c r="T691" s="34">
        <v>300000.0</v>
      </c>
      <c r="U691" s="20" t="s">
        <v>71</v>
      </c>
      <c r="V691" s="20"/>
      <c r="W691" s="38">
        <f t="shared" si="6"/>
        <v>300000</v>
      </c>
      <c r="X691" s="20"/>
      <c r="Y691" s="38">
        <f t="shared" si="7"/>
        <v>300000</v>
      </c>
      <c r="Z691" s="24">
        <f t="shared" si="3"/>
        <v>1</v>
      </c>
      <c r="AA691" s="23">
        <f t="shared" si="5"/>
        <v>300000</v>
      </c>
      <c r="AB691" s="20"/>
      <c r="AC691" s="20"/>
      <c r="AD691" s="20"/>
      <c r="AE691" s="20"/>
      <c r="AF691" s="20"/>
      <c r="AG691" s="20"/>
      <c r="AH691" s="20"/>
      <c r="AI691" s="20"/>
      <c r="AJ691" s="20"/>
      <c r="AK691" s="20"/>
      <c r="AL691" s="20"/>
      <c r="AM691" s="20"/>
      <c r="AN691" s="20"/>
      <c r="AO691" s="20"/>
      <c r="AP691" s="20"/>
      <c r="AQ691" s="20"/>
      <c r="AR691" s="20"/>
      <c r="AS691" s="20"/>
      <c r="AT691" s="20"/>
    </row>
    <row r="692">
      <c r="A692" s="20">
        <v>690.0</v>
      </c>
      <c r="B692" s="29" t="s">
        <v>688</v>
      </c>
      <c r="C692" s="20"/>
      <c r="D692" s="20"/>
      <c r="E692" s="20"/>
      <c r="F692" s="20"/>
      <c r="G692" s="20"/>
      <c r="H692" s="33" t="s">
        <v>77</v>
      </c>
      <c r="I692" s="33" t="s">
        <v>77</v>
      </c>
      <c r="J692" s="21"/>
      <c r="K692" s="20" t="str">
        <f t="shared" si="1"/>
        <v>WATER,ENVIRONMENT,CLIMATE CHANGE AND NATURAL RESOURCES</v>
      </c>
      <c r="L692" s="20" t="s">
        <v>75</v>
      </c>
      <c r="M692" s="20" t="str">
        <f t="shared" si="2"/>
        <v>WATER,ENVIRONMENT,CLIMATE CHANGE AND NATURAL RESOURCES</v>
      </c>
      <c r="N692" s="22" t="s">
        <v>510</v>
      </c>
      <c r="O692" s="22" t="s">
        <v>511</v>
      </c>
      <c r="P692" s="20" t="s">
        <v>512</v>
      </c>
      <c r="Q692" s="20" t="s">
        <v>512</v>
      </c>
      <c r="R692" s="34">
        <v>500000.0</v>
      </c>
      <c r="S692" s="34">
        <v>500000.0</v>
      </c>
      <c r="T692" s="34">
        <v>500000.0</v>
      </c>
      <c r="U692" s="20" t="s">
        <v>71</v>
      </c>
      <c r="V692" s="20"/>
      <c r="W692" s="38">
        <f t="shared" si="6"/>
        <v>500000</v>
      </c>
      <c r="X692" s="20"/>
      <c r="Y692" s="38">
        <f t="shared" si="7"/>
        <v>500000</v>
      </c>
      <c r="Z692" s="24">
        <f t="shared" si="3"/>
        <v>1</v>
      </c>
      <c r="AA692" s="23">
        <f t="shared" si="5"/>
        <v>500000</v>
      </c>
      <c r="AB692" s="20"/>
      <c r="AC692" s="20"/>
      <c r="AD692" s="20"/>
      <c r="AE692" s="20"/>
      <c r="AF692" s="20"/>
      <c r="AG692" s="20"/>
      <c r="AH692" s="20"/>
      <c r="AI692" s="20"/>
      <c r="AJ692" s="20"/>
      <c r="AK692" s="20"/>
      <c r="AL692" s="20"/>
      <c r="AM692" s="20"/>
      <c r="AN692" s="20"/>
      <c r="AO692" s="20"/>
      <c r="AP692" s="20"/>
      <c r="AQ692" s="20"/>
      <c r="AR692" s="20"/>
      <c r="AS692" s="20"/>
      <c r="AT692" s="20"/>
    </row>
    <row r="693">
      <c r="A693" s="20">
        <v>691.0</v>
      </c>
      <c r="B693" s="29" t="s">
        <v>688</v>
      </c>
      <c r="C693" s="20"/>
      <c r="D693" s="20"/>
      <c r="E693" s="20"/>
      <c r="F693" s="20"/>
      <c r="G693" s="20"/>
      <c r="H693" s="33" t="s">
        <v>77</v>
      </c>
      <c r="I693" s="33" t="s">
        <v>77</v>
      </c>
      <c r="J693" s="21"/>
      <c r="K693" s="20" t="str">
        <f t="shared" si="1"/>
        <v>WATER,ENVIRONMENT,CLIMATE CHANGE AND NATURAL RESOURCES</v>
      </c>
      <c r="L693" s="20" t="s">
        <v>75</v>
      </c>
      <c r="M693" s="20" t="str">
        <f t="shared" si="2"/>
        <v>WATER,ENVIRONMENT,CLIMATE CHANGE AND NATURAL RESOURCES</v>
      </c>
      <c r="N693" s="22" t="s">
        <v>510</v>
      </c>
      <c r="O693" s="22" t="s">
        <v>511</v>
      </c>
      <c r="P693" s="20" t="s">
        <v>512</v>
      </c>
      <c r="Q693" s="20" t="s">
        <v>512</v>
      </c>
      <c r="R693" s="34">
        <v>1000000.0</v>
      </c>
      <c r="S693" s="34">
        <v>1000000.0</v>
      </c>
      <c r="T693" s="34">
        <v>1000000.0</v>
      </c>
      <c r="U693" s="20" t="s">
        <v>71</v>
      </c>
      <c r="V693" s="20"/>
      <c r="W693" s="38">
        <f t="shared" si="6"/>
        <v>1000000</v>
      </c>
      <c r="X693" s="20"/>
      <c r="Y693" s="38">
        <f t="shared" si="7"/>
        <v>1000000</v>
      </c>
      <c r="Z693" s="24">
        <f t="shared" si="3"/>
        <v>1</v>
      </c>
      <c r="AA693" s="23">
        <f t="shared" si="5"/>
        <v>1000000</v>
      </c>
      <c r="AB693" s="20"/>
      <c r="AC693" s="20"/>
      <c r="AD693" s="20"/>
      <c r="AE693" s="20"/>
      <c r="AF693" s="20"/>
      <c r="AG693" s="20"/>
      <c r="AH693" s="20"/>
      <c r="AI693" s="20"/>
      <c r="AJ693" s="20"/>
      <c r="AK693" s="20"/>
      <c r="AL693" s="20"/>
      <c r="AM693" s="20"/>
      <c r="AN693" s="20"/>
      <c r="AO693" s="20"/>
      <c r="AP693" s="20"/>
      <c r="AQ693" s="20"/>
      <c r="AR693" s="20"/>
      <c r="AS693" s="20"/>
      <c r="AT693" s="20"/>
    </row>
    <row r="694">
      <c r="A694" s="20">
        <v>692.0</v>
      </c>
      <c r="B694" s="29" t="s">
        <v>689</v>
      </c>
      <c r="C694" s="20"/>
      <c r="D694" s="20"/>
      <c r="E694" s="20"/>
      <c r="F694" s="20"/>
      <c r="G694" s="20"/>
      <c r="H694" s="33" t="s">
        <v>113</v>
      </c>
      <c r="I694" s="33" t="s">
        <v>132</v>
      </c>
      <c r="J694" s="21"/>
      <c r="K694" s="20" t="str">
        <f t="shared" si="1"/>
        <v>Health services</v>
      </c>
      <c r="L694" s="20" t="s">
        <v>67</v>
      </c>
      <c r="M694" s="20" t="str">
        <f t="shared" si="2"/>
        <v>Health services</v>
      </c>
      <c r="N694" s="22" t="s">
        <v>510</v>
      </c>
      <c r="O694" s="22" t="s">
        <v>511</v>
      </c>
      <c r="P694" s="20" t="s">
        <v>512</v>
      </c>
      <c r="Q694" s="20" t="s">
        <v>512</v>
      </c>
      <c r="R694" s="34">
        <v>500000.0</v>
      </c>
      <c r="S694" s="34">
        <v>500000.0</v>
      </c>
      <c r="T694" s="34">
        <v>500000.0</v>
      </c>
      <c r="U694" s="20" t="s">
        <v>71</v>
      </c>
      <c r="V694" s="20"/>
      <c r="W694" s="38">
        <f t="shared" si="6"/>
        <v>500000</v>
      </c>
      <c r="X694" s="20"/>
      <c r="Y694" s="38">
        <f t="shared" si="7"/>
        <v>500000</v>
      </c>
      <c r="Z694" s="24">
        <f t="shared" si="3"/>
        <v>1</v>
      </c>
      <c r="AA694" s="23">
        <f t="shared" si="5"/>
        <v>500000</v>
      </c>
      <c r="AB694" s="20"/>
      <c r="AC694" s="20"/>
      <c r="AD694" s="20"/>
      <c r="AE694" s="20"/>
      <c r="AF694" s="20"/>
      <c r="AG694" s="20"/>
      <c r="AH694" s="20"/>
      <c r="AI694" s="20"/>
      <c r="AJ694" s="20"/>
      <c r="AK694" s="20"/>
      <c r="AL694" s="20"/>
      <c r="AM694" s="20"/>
      <c r="AN694" s="20"/>
      <c r="AO694" s="20"/>
      <c r="AP694" s="20"/>
      <c r="AQ694" s="20"/>
      <c r="AR694" s="20"/>
      <c r="AS694" s="20"/>
      <c r="AT694" s="20"/>
    </row>
    <row r="695">
      <c r="A695" s="20">
        <v>693.0</v>
      </c>
      <c r="B695" s="29" t="s">
        <v>690</v>
      </c>
      <c r="C695" s="20"/>
      <c r="D695" s="20"/>
      <c r="E695" s="20"/>
      <c r="F695" s="20"/>
      <c r="G695" s="20"/>
      <c r="H695" s="33" t="s">
        <v>113</v>
      </c>
      <c r="I695" s="33" t="s">
        <v>348</v>
      </c>
      <c r="J695" s="21"/>
      <c r="K695" s="20" t="str">
        <f t="shared" si="1"/>
        <v>Health services</v>
      </c>
      <c r="L695" s="20" t="s">
        <v>67</v>
      </c>
      <c r="M695" s="20" t="str">
        <f t="shared" si="2"/>
        <v>Health services</v>
      </c>
      <c r="N695" s="22" t="s">
        <v>510</v>
      </c>
      <c r="O695" s="22" t="s">
        <v>511</v>
      </c>
      <c r="P695" s="20" t="s">
        <v>512</v>
      </c>
      <c r="Q695" s="20" t="s">
        <v>512</v>
      </c>
      <c r="R695" s="34">
        <v>550000.0</v>
      </c>
      <c r="S695" s="34">
        <v>550000.0</v>
      </c>
      <c r="T695" s="34">
        <v>550000.0</v>
      </c>
      <c r="U695" s="20" t="s">
        <v>71</v>
      </c>
      <c r="V695" s="20"/>
      <c r="W695" s="38">
        <f t="shared" si="6"/>
        <v>550000</v>
      </c>
      <c r="X695" s="20"/>
      <c r="Y695" s="38">
        <f t="shared" si="7"/>
        <v>550000</v>
      </c>
      <c r="Z695" s="24">
        <f t="shared" si="3"/>
        <v>1</v>
      </c>
      <c r="AA695" s="23">
        <f t="shared" si="5"/>
        <v>550000</v>
      </c>
      <c r="AB695" s="20"/>
      <c r="AC695" s="20"/>
      <c r="AD695" s="20"/>
      <c r="AE695" s="20"/>
      <c r="AF695" s="20"/>
      <c r="AG695" s="20"/>
      <c r="AH695" s="20"/>
      <c r="AI695" s="20"/>
      <c r="AJ695" s="20"/>
      <c r="AK695" s="20"/>
      <c r="AL695" s="20"/>
      <c r="AM695" s="20"/>
      <c r="AN695" s="20"/>
      <c r="AO695" s="20"/>
      <c r="AP695" s="20"/>
      <c r="AQ695" s="20"/>
      <c r="AR695" s="20"/>
      <c r="AS695" s="20"/>
      <c r="AT695" s="20"/>
    </row>
    <row r="696">
      <c r="A696" s="20">
        <v>694.0</v>
      </c>
      <c r="B696" s="29" t="s">
        <v>691</v>
      </c>
      <c r="C696" s="20"/>
      <c r="D696" s="20"/>
      <c r="E696" s="20"/>
      <c r="F696" s="20"/>
      <c r="G696" s="20"/>
      <c r="H696" s="33" t="s">
        <v>113</v>
      </c>
      <c r="I696" s="33" t="s">
        <v>353</v>
      </c>
      <c r="J696" s="21"/>
      <c r="K696" s="20" t="str">
        <f t="shared" si="1"/>
        <v>WATER,ENVIRONMENT,CLIMATE CHANGE AND NATURAL RESOURCES</v>
      </c>
      <c r="L696" s="20" t="s">
        <v>75</v>
      </c>
      <c r="M696" s="20" t="str">
        <f t="shared" si="2"/>
        <v>WATER,ENVIRONMENT,CLIMATE CHANGE AND NATURAL RESOURCES</v>
      </c>
      <c r="N696" s="22" t="s">
        <v>510</v>
      </c>
      <c r="O696" s="22" t="s">
        <v>511</v>
      </c>
      <c r="P696" s="20" t="s">
        <v>512</v>
      </c>
      <c r="Q696" s="20" t="s">
        <v>512</v>
      </c>
      <c r="R696" s="34">
        <v>500000.0</v>
      </c>
      <c r="S696" s="34">
        <v>500000.0</v>
      </c>
      <c r="T696" s="34">
        <v>500000.0</v>
      </c>
      <c r="U696" s="20" t="s">
        <v>71</v>
      </c>
      <c r="V696" s="20"/>
      <c r="W696" s="38">
        <f t="shared" si="6"/>
        <v>500000</v>
      </c>
      <c r="X696" s="20"/>
      <c r="Y696" s="38">
        <f t="shared" si="7"/>
        <v>500000</v>
      </c>
      <c r="Z696" s="24">
        <f t="shared" si="3"/>
        <v>1</v>
      </c>
      <c r="AA696" s="23">
        <f t="shared" si="5"/>
        <v>500000</v>
      </c>
      <c r="AB696" s="20"/>
      <c r="AC696" s="20"/>
      <c r="AD696" s="20"/>
      <c r="AE696" s="20"/>
      <c r="AF696" s="20"/>
      <c r="AG696" s="20"/>
      <c r="AH696" s="20"/>
      <c r="AI696" s="20"/>
      <c r="AJ696" s="20"/>
      <c r="AK696" s="20"/>
      <c r="AL696" s="20"/>
      <c r="AM696" s="20"/>
      <c r="AN696" s="20"/>
      <c r="AO696" s="20"/>
      <c r="AP696" s="20"/>
      <c r="AQ696" s="20"/>
      <c r="AR696" s="20"/>
      <c r="AS696" s="20"/>
      <c r="AT696" s="20"/>
    </row>
    <row r="697">
      <c r="A697" s="20">
        <v>695.0</v>
      </c>
      <c r="B697" s="29" t="s">
        <v>692</v>
      </c>
      <c r="C697" s="20"/>
      <c r="D697" s="20"/>
      <c r="E697" s="20"/>
      <c r="F697" s="20"/>
      <c r="G697" s="20"/>
      <c r="H697" s="33" t="s">
        <v>65</v>
      </c>
      <c r="I697" s="33" t="s">
        <v>66</v>
      </c>
      <c r="J697" s="21"/>
      <c r="K697" s="20" t="str">
        <f t="shared" si="1"/>
        <v>WATER,ENVIRONMENT,CLIMATE CHANGE AND NATURAL RESOURCES</v>
      </c>
      <c r="L697" s="20" t="s">
        <v>75</v>
      </c>
      <c r="M697" s="20" t="str">
        <f t="shared" si="2"/>
        <v>WATER,ENVIRONMENT,CLIMATE CHANGE AND NATURAL RESOURCES</v>
      </c>
      <c r="N697" s="22" t="s">
        <v>510</v>
      </c>
      <c r="O697" s="22" t="s">
        <v>511</v>
      </c>
      <c r="P697" s="20" t="s">
        <v>512</v>
      </c>
      <c r="Q697" s="20" t="s">
        <v>512</v>
      </c>
      <c r="R697" s="34">
        <v>660000.0</v>
      </c>
      <c r="S697" s="34">
        <v>660000.0</v>
      </c>
      <c r="T697" s="34">
        <v>660000.0</v>
      </c>
      <c r="U697" s="20" t="s">
        <v>71</v>
      </c>
      <c r="V697" s="20"/>
      <c r="W697" s="38">
        <f t="shared" si="6"/>
        <v>660000</v>
      </c>
      <c r="X697" s="20"/>
      <c r="Y697" s="38">
        <f t="shared" si="7"/>
        <v>660000</v>
      </c>
      <c r="Z697" s="24">
        <f t="shared" si="3"/>
        <v>1</v>
      </c>
      <c r="AA697" s="23">
        <f t="shared" si="5"/>
        <v>660000</v>
      </c>
      <c r="AB697" s="20"/>
      <c r="AC697" s="20"/>
      <c r="AD697" s="20"/>
      <c r="AE697" s="20"/>
      <c r="AF697" s="20"/>
      <c r="AG697" s="20"/>
      <c r="AH697" s="20"/>
      <c r="AI697" s="20"/>
      <c r="AJ697" s="20"/>
      <c r="AK697" s="20"/>
      <c r="AL697" s="20"/>
      <c r="AM697" s="20"/>
      <c r="AN697" s="20"/>
      <c r="AO697" s="20"/>
      <c r="AP697" s="20"/>
      <c r="AQ697" s="20"/>
      <c r="AR697" s="20"/>
      <c r="AS697" s="20"/>
      <c r="AT697" s="20"/>
    </row>
    <row r="698">
      <c r="A698" s="20">
        <v>696.0</v>
      </c>
      <c r="B698" s="29" t="s">
        <v>473</v>
      </c>
      <c r="C698" s="20"/>
      <c r="D698" s="20"/>
      <c r="E698" s="20"/>
      <c r="F698" s="20"/>
      <c r="G698" s="20"/>
      <c r="H698" s="33" t="s">
        <v>65</v>
      </c>
      <c r="I698" s="33" t="s">
        <v>66</v>
      </c>
      <c r="J698" s="21"/>
      <c r="K698" s="20" t="str">
        <f t="shared" si="1"/>
        <v>WATER,ENVIRONMENT,CLIMATE CHANGE AND NATURAL RESOURCES</v>
      </c>
      <c r="L698" s="20" t="s">
        <v>75</v>
      </c>
      <c r="M698" s="20" t="str">
        <f t="shared" si="2"/>
        <v>WATER,ENVIRONMENT,CLIMATE CHANGE AND NATURAL RESOURCES</v>
      </c>
      <c r="N698" s="22" t="s">
        <v>510</v>
      </c>
      <c r="O698" s="22" t="s">
        <v>511</v>
      </c>
      <c r="P698" s="20" t="s">
        <v>512</v>
      </c>
      <c r="Q698" s="20" t="s">
        <v>512</v>
      </c>
      <c r="R698" s="34">
        <v>1300000.0</v>
      </c>
      <c r="S698" s="34">
        <v>1300000.0</v>
      </c>
      <c r="T698" s="34">
        <v>1300000.0</v>
      </c>
      <c r="U698" s="20" t="s">
        <v>71</v>
      </c>
      <c r="V698" s="20"/>
      <c r="W698" s="38">
        <f t="shared" si="6"/>
        <v>1300000</v>
      </c>
      <c r="X698" s="20"/>
      <c r="Y698" s="38">
        <f t="shared" si="7"/>
        <v>1300000</v>
      </c>
      <c r="Z698" s="24">
        <f t="shared" si="3"/>
        <v>1</v>
      </c>
      <c r="AA698" s="23">
        <f t="shared" si="5"/>
        <v>1300000</v>
      </c>
      <c r="AB698" s="20"/>
      <c r="AC698" s="20"/>
      <c r="AD698" s="20"/>
      <c r="AE698" s="20"/>
      <c r="AF698" s="20"/>
      <c r="AG698" s="20"/>
      <c r="AH698" s="20"/>
      <c r="AI698" s="20"/>
      <c r="AJ698" s="20"/>
      <c r="AK698" s="20"/>
      <c r="AL698" s="20"/>
      <c r="AM698" s="20"/>
      <c r="AN698" s="20"/>
      <c r="AO698" s="20"/>
      <c r="AP698" s="20"/>
      <c r="AQ698" s="20"/>
      <c r="AR698" s="20"/>
      <c r="AS698" s="20"/>
      <c r="AT698" s="20"/>
    </row>
    <row r="699">
      <c r="A699" s="20">
        <v>697.0</v>
      </c>
      <c r="B699" s="29" t="s">
        <v>693</v>
      </c>
      <c r="C699" s="20"/>
      <c r="D699" s="20"/>
      <c r="E699" s="20"/>
      <c r="F699" s="20"/>
      <c r="G699" s="20"/>
      <c r="H699" s="33" t="s">
        <v>65</v>
      </c>
      <c r="I699" s="33" t="s">
        <v>66</v>
      </c>
      <c r="J699" s="21"/>
      <c r="K699" s="20" t="str">
        <f t="shared" si="1"/>
        <v>WATER,ENVIRONMENT,CLIMATE CHANGE AND NATURAL RESOURCES</v>
      </c>
      <c r="L699" s="20" t="s">
        <v>75</v>
      </c>
      <c r="M699" s="20" t="str">
        <f t="shared" si="2"/>
        <v>WATER,ENVIRONMENT,CLIMATE CHANGE AND NATURAL RESOURCES</v>
      </c>
      <c r="N699" s="22" t="s">
        <v>510</v>
      </c>
      <c r="O699" s="22" t="s">
        <v>511</v>
      </c>
      <c r="P699" s="20" t="s">
        <v>512</v>
      </c>
      <c r="Q699" s="20" t="s">
        <v>512</v>
      </c>
      <c r="R699" s="34">
        <v>500000.0</v>
      </c>
      <c r="S699" s="34">
        <v>500000.0</v>
      </c>
      <c r="T699" s="34">
        <v>500000.0</v>
      </c>
      <c r="U699" s="20" t="s">
        <v>71</v>
      </c>
      <c r="V699" s="20"/>
      <c r="W699" s="38">
        <f t="shared" si="6"/>
        <v>500000</v>
      </c>
      <c r="X699" s="20"/>
      <c r="Y699" s="38">
        <f t="shared" si="7"/>
        <v>500000</v>
      </c>
      <c r="Z699" s="24">
        <f t="shared" si="3"/>
        <v>1</v>
      </c>
      <c r="AA699" s="23">
        <f t="shared" si="5"/>
        <v>500000</v>
      </c>
      <c r="AB699" s="20"/>
      <c r="AC699" s="20"/>
      <c r="AD699" s="20"/>
      <c r="AE699" s="20"/>
      <c r="AF699" s="20"/>
      <c r="AG699" s="20"/>
      <c r="AH699" s="20"/>
      <c r="AI699" s="20"/>
      <c r="AJ699" s="20"/>
      <c r="AK699" s="20"/>
      <c r="AL699" s="20"/>
      <c r="AM699" s="20"/>
      <c r="AN699" s="20"/>
      <c r="AO699" s="20"/>
      <c r="AP699" s="20"/>
      <c r="AQ699" s="20"/>
      <c r="AR699" s="20"/>
      <c r="AS699" s="20"/>
      <c r="AT699" s="20"/>
    </row>
    <row r="700">
      <c r="A700" s="20">
        <v>698.0</v>
      </c>
      <c r="B700" s="29" t="s">
        <v>450</v>
      </c>
      <c r="C700" s="20"/>
      <c r="D700" s="20"/>
      <c r="E700" s="20"/>
      <c r="F700" s="20"/>
      <c r="G700" s="20"/>
      <c r="H700" s="33" t="s">
        <v>65</v>
      </c>
      <c r="I700" s="33" t="s">
        <v>66</v>
      </c>
      <c r="J700" s="21"/>
      <c r="K700" s="20" t="str">
        <f t="shared" si="1"/>
        <v>WATER,ENVIRONMENT,CLIMATE CHANGE AND NATURAL RESOURCES</v>
      </c>
      <c r="L700" s="20" t="s">
        <v>75</v>
      </c>
      <c r="M700" s="20" t="str">
        <f t="shared" si="2"/>
        <v>WATER,ENVIRONMENT,CLIMATE CHANGE AND NATURAL RESOURCES</v>
      </c>
      <c r="N700" s="22" t="s">
        <v>510</v>
      </c>
      <c r="O700" s="22" t="s">
        <v>511</v>
      </c>
      <c r="P700" s="20" t="s">
        <v>512</v>
      </c>
      <c r="Q700" s="20" t="s">
        <v>512</v>
      </c>
      <c r="R700" s="34">
        <v>500000.0</v>
      </c>
      <c r="S700" s="34">
        <v>500000.0</v>
      </c>
      <c r="T700" s="34">
        <v>500000.0</v>
      </c>
      <c r="U700" s="20" t="s">
        <v>71</v>
      </c>
      <c r="V700" s="20"/>
      <c r="W700" s="38">
        <f t="shared" si="6"/>
        <v>500000</v>
      </c>
      <c r="X700" s="20"/>
      <c r="Y700" s="38">
        <f t="shared" si="7"/>
        <v>500000</v>
      </c>
      <c r="Z700" s="24">
        <f t="shared" si="3"/>
        <v>1</v>
      </c>
      <c r="AA700" s="23">
        <f t="shared" si="5"/>
        <v>500000</v>
      </c>
      <c r="AB700" s="20"/>
      <c r="AC700" s="20"/>
      <c r="AD700" s="20"/>
      <c r="AE700" s="20"/>
      <c r="AF700" s="20"/>
      <c r="AG700" s="20"/>
      <c r="AH700" s="20"/>
      <c r="AI700" s="20"/>
      <c r="AJ700" s="20"/>
      <c r="AK700" s="20"/>
      <c r="AL700" s="20"/>
      <c r="AM700" s="20"/>
      <c r="AN700" s="20"/>
      <c r="AO700" s="20"/>
      <c r="AP700" s="20"/>
      <c r="AQ700" s="20"/>
      <c r="AR700" s="20"/>
      <c r="AS700" s="20"/>
      <c r="AT700" s="20"/>
    </row>
    <row r="701">
      <c r="A701" s="20">
        <v>699.0</v>
      </c>
      <c r="B701" s="29" t="s">
        <v>694</v>
      </c>
      <c r="C701" s="20"/>
      <c r="D701" s="20"/>
      <c r="E701" s="20"/>
      <c r="F701" s="20"/>
      <c r="G701" s="20"/>
      <c r="H701" s="33" t="s">
        <v>65</v>
      </c>
      <c r="I701" s="33" t="s">
        <v>74</v>
      </c>
      <c r="J701" s="21"/>
      <c r="K701" s="20" t="str">
        <f t="shared" si="1"/>
        <v>ROADS,TRANSPORT AND PUBLIC WORKS</v>
      </c>
      <c r="L701" s="20" t="s">
        <v>107</v>
      </c>
      <c r="M701" s="20" t="str">
        <f t="shared" si="2"/>
        <v>ROADS,TRANSPORT AND PUBLIC WORKS</v>
      </c>
      <c r="N701" s="22" t="s">
        <v>510</v>
      </c>
      <c r="O701" s="22" t="s">
        <v>511</v>
      </c>
      <c r="P701" s="20" t="s">
        <v>512</v>
      </c>
      <c r="Q701" s="20" t="s">
        <v>512</v>
      </c>
      <c r="R701" s="34">
        <v>500000.0</v>
      </c>
      <c r="S701" s="34">
        <v>500000.0</v>
      </c>
      <c r="T701" s="34">
        <v>500000.0</v>
      </c>
      <c r="U701" s="20" t="s">
        <v>71</v>
      </c>
      <c r="V701" s="20"/>
      <c r="W701" s="38">
        <f t="shared" si="6"/>
        <v>500000</v>
      </c>
      <c r="X701" s="20"/>
      <c r="Y701" s="38">
        <f t="shared" si="7"/>
        <v>500000</v>
      </c>
      <c r="Z701" s="24">
        <f t="shared" si="3"/>
        <v>1</v>
      </c>
      <c r="AA701" s="23">
        <f t="shared" si="5"/>
        <v>500000</v>
      </c>
      <c r="AB701" s="20"/>
      <c r="AC701" s="20"/>
      <c r="AD701" s="20"/>
      <c r="AE701" s="20"/>
      <c r="AF701" s="20"/>
      <c r="AG701" s="20"/>
      <c r="AH701" s="20"/>
      <c r="AI701" s="20"/>
      <c r="AJ701" s="20"/>
      <c r="AK701" s="20"/>
      <c r="AL701" s="20"/>
      <c r="AM701" s="20"/>
      <c r="AN701" s="20"/>
      <c r="AO701" s="20"/>
      <c r="AP701" s="20"/>
      <c r="AQ701" s="20"/>
      <c r="AR701" s="20"/>
      <c r="AS701" s="20"/>
      <c r="AT701" s="20"/>
    </row>
    <row r="702">
      <c r="A702" s="20">
        <v>700.0</v>
      </c>
      <c r="B702" s="29" t="s">
        <v>695</v>
      </c>
      <c r="C702" s="20"/>
      <c r="D702" s="20"/>
      <c r="E702" s="20"/>
      <c r="F702" s="20"/>
      <c r="G702" s="20"/>
      <c r="H702" s="33" t="s">
        <v>65</v>
      </c>
      <c r="I702" s="33" t="s">
        <v>66</v>
      </c>
      <c r="J702" s="21"/>
      <c r="K702" s="20" t="str">
        <f t="shared" si="1"/>
        <v>LANDS,PHYSICAL PLANNING AND URBAN DEVELOPMENT</v>
      </c>
      <c r="L702" s="20" t="s">
        <v>98</v>
      </c>
      <c r="M702" s="20" t="str">
        <f t="shared" si="2"/>
        <v>LANDS,PHYSICAL PLANNING AND URBAN DEVELOPMENT</v>
      </c>
      <c r="N702" s="22" t="s">
        <v>510</v>
      </c>
      <c r="O702" s="22" t="s">
        <v>511</v>
      </c>
      <c r="P702" s="20" t="s">
        <v>512</v>
      </c>
      <c r="Q702" s="20" t="s">
        <v>512</v>
      </c>
      <c r="R702" s="34">
        <v>500000.0</v>
      </c>
      <c r="S702" s="34">
        <v>500000.0</v>
      </c>
      <c r="T702" s="34">
        <v>500000.0</v>
      </c>
      <c r="U702" s="20" t="s">
        <v>71</v>
      </c>
      <c r="V702" s="20"/>
      <c r="W702" s="38">
        <f t="shared" si="6"/>
        <v>500000</v>
      </c>
      <c r="X702" s="20"/>
      <c r="Y702" s="38">
        <f t="shared" si="7"/>
        <v>500000</v>
      </c>
      <c r="Z702" s="24">
        <f t="shared" si="3"/>
        <v>1</v>
      </c>
      <c r="AA702" s="23">
        <f t="shared" si="5"/>
        <v>500000</v>
      </c>
      <c r="AB702" s="20"/>
      <c r="AC702" s="20"/>
      <c r="AD702" s="20"/>
      <c r="AE702" s="20"/>
      <c r="AF702" s="20"/>
      <c r="AG702" s="20"/>
      <c r="AH702" s="20"/>
      <c r="AI702" s="20"/>
      <c r="AJ702" s="20"/>
      <c r="AK702" s="20"/>
      <c r="AL702" s="20"/>
      <c r="AM702" s="20"/>
      <c r="AN702" s="20"/>
      <c r="AO702" s="20"/>
      <c r="AP702" s="20"/>
      <c r="AQ702" s="20"/>
      <c r="AR702" s="20"/>
      <c r="AS702" s="20"/>
      <c r="AT702" s="20"/>
    </row>
    <row r="703">
      <c r="A703" s="20">
        <v>701.0</v>
      </c>
      <c r="B703" s="29" t="s">
        <v>696</v>
      </c>
      <c r="C703" s="20"/>
      <c r="D703" s="20"/>
      <c r="E703" s="20"/>
      <c r="F703" s="20"/>
      <c r="G703" s="20"/>
      <c r="H703" s="33" t="s">
        <v>65</v>
      </c>
      <c r="I703" s="33" t="s">
        <v>66</v>
      </c>
      <c r="J703" s="21"/>
      <c r="K703" s="20" t="str">
        <f t="shared" si="1"/>
        <v>EDUCATION,INFORMATION AND ICT</v>
      </c>
      <c r="L703" s="20" t="s">
        <v>84</v>
      </c>
      <c r="M703" s="20" t="str">
        <f t="shared" si="2"/>
        <v>EDUCATION,INFORMATION AND ICT</v>
      </c>
      <c r="N703" s="22" t="s">
        <v>510</v>
      </c>
      <c r="O703" s="22" t="s">
        <v>511</v>
      </c>
      <c r="P703" s="20" t="s">
        <v>512</v>
      </c>
      <c r="Q703" s="20" t="s">
        <v>512</v>
      </c>
      <c r="R703" s="34">
        <v>500000.0</v>
      </c>
      <c r="S703" s="34">
        <v>500000.0</v>
      </c>
      <c r="T703" s="34">
        <v>500000.0</v>
      </c>
      <c r="U703" s="20" t="s">
        <v>71</v>
      </c>
      <c r="V703" s="20"/>
      <c r="W703" s="38">
        <f t="shared" si="6"/>
        <v>500000</v>
      </c>
      <c r="X703" s="20"/>
      <c r="Y703" s="38">
        <f t="shared" si="7"/>
        <v>500000</v>
      </c>
      <c r="Z703" s="24">
        <f t="shared" si="3"/>
        <v>1</v>
      </c>
      <c r="AA703" s="23">
        <f t="shared" si="5"/>
        <v>500000</v>
      </c>
      <c r="AB703" s="20"/>
      <c r="AC703" s="20"/>
      <c r="AD703" s="20"/>
      <c r="AE703" s="20"/>
      <c r="AF703" s="20"/>
      <c r="AG703" s="20"/>
      <c r="AH703" s="20"/>
      <c r="AI703" s="20"/>
      <c r="AJ703" s="20"/>
      <c r="AK703" s="20"/>
      <c r="AL703" s="20"/>
      <c r="AM703" s="20"/>
      <c r="AN703" s="20"/>
      <c r="AO703" s="20"/>
      <c r="AP703" s="20"/>
      <c r="AQ703" s="20"/>
      <c r="AR703" s="20"/>
      <c r="AS703" s="20"/>
      <c r="AT703" s="20"/>
    </row>
    <row r="704">
      <c r="A704" s="20">
        <v>702.0</v>
      </c>
      <c r="B704" s="29" t="s">
        <v>697</v>
      </c>
      <c r="C704" s="20"/>
      <c r="D704" s="20"/>
      <c r="E704" s="20"/>
      <c r="F704" s="20"/>
      <c r="G704" s="20"/>
      <c r="H704" s="33" t="s">
        <v>65</v>
      </c>
      <c r="I704" s="33" t="s">
        <v>66</v>
      </c>
      <c r="J704" s="21"/>
      <c r="K704" s="20" t="str">
        <f t="shared" si="1"/>
        <v>ROADS,TRANSPORT AND PUBLIC WORKS</v>
      </c>
      <c r="L704" s="20" t="s">
        <v>107</v>
      </c>
      <c r="M704" s="20" t="str">
        <f t="shared" si="2"/>
        <v>ROADS,TRANSPORT AND PUBLIC WORKS</v>
      </c>
      <c r="N704" s="22" t="s">
        <v>510</v>
      </c>
      <c r="O704" s="22" t="s">
        <v>511</v>
      </c>
      <c r="P704" s="20" t="s">
        <v>512</v>
      </c>
      <c r="Q704" s="20" t="s">
        <v>512</v>
      </c>
      <c r="R704" s="34">
        <v>1500000.0</v>
      </c>
      <c r="S704" s="34">
        <v>1500000.0</v>
      </c>
      <c r="T704" s="34">
        <v>1500000.0</v>
      </c>
      <c r="U704" s="20" t="s">
        <v>71</v>
      </c>
      <c r="V704" s="20"/>
      <c r="W704" s="38">
        <f t="shared" si="6"/>
        <v>1500000</v>
      </c>
      <c r="X704" s="20"/>
      <c r="Y704" s="38">
        <f t="shared" si="7"/>
        <v>1500000</v>
      </c>
      <c r="Z704" s="24">
        <f t="shared" si="3"/>
        <v>1</v>
      </c>
      <c r="AA704" s="23">
        <f t="shared" si="5"/>
        <v>1500000</v>
      </c>
      <c r="AB704" s="20"/>
      <c r="AC704" s="20"/>
      <c r="AD704" s="20"/>
      <c r="AE704" s="20"/>
      <c r="AF704" s="20"/>
      <c r="AG704" s="20"/>
      <c r="AH704" s="20"/>
      <c r="AI704" s="20"/>
      <c r="AJ704" s="20"/>
      <c r="AK704" s="20"/>
      <c r="AL704" s="20"/>
      <c r="AM704" s="20"/>
      <c r="AN704" s="20"/>
      <c r="AO704" s="20"/>
      <c r="AP704" s="20"/>
      <c r="AQ704" s="20"/>
      <c r="AR704" s="20"/>
      <c r="AS704" s="20"/>
      <c r="AT704" s="20"/>
    </row>
    <row r="705">
      <c r="A705" s="20">
        <v>703.0</v>
      </c>
      <c r="B705" s="29" t="s">
        <v>698</v>
      </c>
      <c r="C705" s="20"/>
      <c r="D705" s="20"/>
      <c r="E705" s="20"/>
      <c r="F705" s="20"/>
      <c r="G705" s="20"/>
      <c r="H705" s="33" t="s">
        <v>65</v>
      </c>
      <c r="I705" s="33" t="s">
        <v>66</v>
      </c>
      <c r="J705" s="21"/>
      <c r="K705" s="20" t="str">
        <f t="shared" si="1"/>
        <v>ROADS,TRANSPORT AND PUBLIC WORKS</v>
      </c>
      <c r="L705" s="20" t="s">
        <v>107</v>
      </c>
      <c r="M705" s="20" t="str">
        <f t="shared" si="2"/>
        <v>ROADS,TRANSPORT AND PUBLIC WORKS</v>
      </c>
      <c r="N705" s="22" t="s">
        <v>510</v>
      </c>
      <c r="O705" s="22" t="s">
        <v>511</v>
      </c>
      <c r="P705" s="20" t="s">
        <v>512</v>
      </c>
      <c r="Q705" s="20" t="s">
        <v>512</v>
      </c>
      <c r="R705" s="34">
        <v>1500000.0</v>
      </c>
      <c r="S705" s="34">
        <v>1500000.0</v>
      </c>
      <c r="T705" s="34">
        <v>1500000.0</v>
      </c>
      <c r="U705" s="20" t="s">
        <v>71</v>
      </c>
      <c r="V705" s="20"/>
      <c r="W705" s="38">
        <f t="shared" si="6"/>
        <v>1500000</v>
      </c>
      <c r="X705" s="20"/>
      <c r="Y705" s="38">
        <f t="shared" si="7"/>
        <v>1500000</v>
      </c>
      <c r="Z705" s="24">
        <f t="shared" si="3"/>
        <v>1</v>
      </c>
      <c r="AA705" s="23">
        <f t="shared" si="5"/>
        <v>1500000</v>
      </c>
      <c r="AB705" s="20"/>
      <c r="AC705" s="20"/>
      <c r="AD705" s="20"/>
      <c r="AE705" s="20"/>
      <c r="AF705" s="20"/>
      <c r="AG705" s="20"/>
      <c r="AH705" s="20"/>
      <c r="AI705" s="20"/>
      <c r="AJ705" s="20"/>
      <c r="AK705" s="20"/>
      <c r="AL705" s="20"/>
      <c r="AM705" s="20"/>
      <c r="AN705" s="20"/>
      <c r="AO705" s="20"/>
      <c r="AP705" s="20"/>
      <c r="AQ705" s="20"/>
      <c r="AR705" s="20"/>
      <c r="AS705" s="20"/>
      <c r="AT705" s="20"/>
    </row>
    <row r="706">
      <c r="A706" s="20">
        <v>704.0</v>
      </c>
      <c r="B706" s="29" t="s">
        <v>699</v>
      </c>
      <c r="C706" s="20"/>
      <c r="D706" s="20"/>
      <c r="E706" s="20"/>
      <c r="F706" s="20"/>
      <c r="G706" s="20"/>
      <c r="H706" s="33" t="s">
        <v>65</v>
      </c>
      <c r="I706" s="33" t="s">
        <v>66</v>
      </c>
      <c r="J706" s="21"/>
      <c r="K706" s="20" t="str">
        <f t="shared" si="1"/>
        <v>ROADS,TRANSPORT AND PUBLIC WORKS</v>
      </c>
      <c r="L706" s="20" t="s">
        <v>107</v>
      </c>
      <c r="M706" s="20" t="str">
        <f t="shared" si="2"/>
        <v>ROADS,TRANSPORT AND PUBLIC WORKS</v>
      </c>
      <c r="N706" s="22" t="s">
        <v>510</v>
      </c>
      <c r="O706" s="22" t="s">
        <v>511</v>
      </c>
      <c r="P706" s="20" t="s">
        <v>512</v>
      </c>
      <c r="Q706" s="20" t="s">
        <v>512</v>
      </c>
      <c r="R706" s="34">
        <v>500000.0</v>
      </c>
      <c r="S706" s="34">
        <v>500000.0</v>
      </c>
      <c r="T706" s="34">
        <v>500000.0</v>
      </c>
      <c r="U706" s="20" t="s">
        <v>71</v>
      </c>
      <c r="V706" s="20"/>
      <c r="W706" s="38">
        <f t="shared" si="6"/>
        <v>500000</v>
      </c>
      <c r="X706" s="20"/>
      <c r="Y706" s="38">
        <f t="shared" si="7"/>
        <v>500000</v>
      </c>
      <c r="Z706" s="24">
        <f t="shared" si="3"/>
        <v>1</v>
      </c>
      <c r="AA706" s="23">
        <f t="shared" si="5"/>
        <v>500000</v>
      </c>
      <c r="AB706" s="20"/>
      <c r="AC706" s="20"/>
      <c r="AD706" s="20"/>
      <c r="AE706" s="20"/>
      <c r="AF706" s="20"/>
      <c r="AG706" s="20"/>
      <c r="AH706" s="20"/>
      <c r="AI706" s="20"/>
      <c r="AJ706" s="20"/>
      <c r="AK706" s="20"/>
      <c r="AL706" s="20"/>
      <c r="AM706" s="20"/>
      <c r="AN706" s="20"/>
      <c r="AO706" s="20"/>
      <c r="AP706" s="20"/>
      <c r="AQ706" s="20"/>
      <c r="AR706" s="20"/>
      <c r="AS706" s="20"/>
      <c r="AT706" s="20"/>
    </row>
    <row r="707">
      <c r="A707" s="20">
        <v>705.0</v>
      </c>
      <c r="B707" s="29" t="s">
        <v>700</v>
      </c>
      <c r="C707" s="20"/>
      <c r="D707" s="20"/>
      <c r="E707" s="20"/>
      <c r="F707" s="20"/>
      <c r="G707" s="20"/>
      <c r="H707" s="33" t="s">
        <v>81</v>
      </c>
      <c r="I707" s="33" t="s">
        <v>81</v>
      </c>
      <c r="J707" s="21"/>
      <c r="K707" s="20" t="str">
        <f t="shared" si="1"/>
        <v>WATER,ENVIRONMENT,CLIMATE CHANGE AND NATURAL RESOURCES</v>
      </c>
      <c r="L707" s="20" t="s">
        <v>75</v>
      </c>
      <c r="M707" s="20" t="str">
        <f t="shared" si="2"/>
        <v>WATER,ENVIRONMENT,CLIMATE CHANGE AND NATURAL RESOURCES</v>
      </c>
      <c r="N707" s="22" t="s">
        <v>510</v>
      </c>
      <c r="O707" s="22" t="s">
        <v>511</v>
      </c>
      <c r="P707" s="20" t="s">
        <v>512</v>
      </c>
      <c r="Q707" s="20" t="s">
        <v>512</v>
      </c>
      <c r="R707" s="34">
        <v>500000.0</v>
      </c>
      <c r="S707" s="34">
        <v>500000.0</v>
      </c>
      <c r="T707" s="34">
        <v>500000.0</v>
      </c>
      <c r="U707" s="20" t="s">
        <v>71</v>
      </c>
      <c r="V707" s="20"/>
      <c r="W707" s="38">
        <f t="shared" si="6"/>
        <v>500000</v>
      </c>
      <c r="X707" s="20"/>
      <c r="Y707" s="38">
        <f t="shared" si="7"/>
        <v>500000</v>
      </c>
      <c r="Z707" s="24">
        <f t="shared" si="3"/>
        <v>1</v>
      </c>
      <c r="AA707" s="23">
        <f t="shared" si="5"/>
        <v>500000</v>
      </c>
      <c r="AB707" s="20"/>
      <c r="AC707" s="20"/>
      <c r="AD707" s="20"/>
      <c r="AE707" s="20"/>
      <c r="AF707" s="20"/>
      <c r="AG707" s="20"/>
      <c r="AH707" s="20"/>
      <c r="AI707" s="20"/>
      <c r="AJ707" s="20"/>
      <c r="AK707" s="20"/>
      <c r="AL707" s="20"/>
      <c r="AM707" s="20"/>
      <c r="AN707" s="20"/>
      <c r="AO707" s="20"/>
      <c r="AP707" s="20"/>
      <c r="AQ707" s="20"/>
      <c r="AR707" s="20"/>
      <c r="AS707" s="20"/>
      <c r="AT707" s="20"/>
    </row>
    <row r="708">
      <c r="A708" s="20">
        <v>706.0</v>
      </c>
      <c r="B708" s="29" t="s">
        <v>701</v>
      </c>
      <c r="C708" s="20"/>
      <c r="D708" s="20"/>
      <c r="E708" s="20"/>
      <c r="F708" s="20"/>
      <c r="G708" s="20"/>
      <c r="H708" s="33" t="s">
        <v>65</v>
      </c>
      <c r="I708" s="33" t="s">
        <v>66</v>
      </c>
      <c r="J708" s="21"/>
      <c r="K708" s="20" t="str">
        <f t="shared" si="1"/>
        <v>ROADS,TRANSPORT AND PUBLIC WORKS</v>
      </c>
      <c r="L708" s="20" t="s">
        <v>107</v>
      </c>
      <c r="M708" s="20" t="str">
        <f t="shared" si="2"/>
        <v>ROADS,TRANSPORT AND PUBLIC WORKS</v>
      </c>
      <c r="N708" s="22" t="s">
        <v>510</v>
      </c>
      <c r="O708" s="22" t="s">
        <v>511</v>
      </c>
      <c r="P708" s="20" t="s">
        <v>512</v>
      </c>
      <c r="Q708" s="20" t="s">
        <v>512</v>
      </c>
      <c r="R708" s="34">
        <v>500000.0</v>
      </c>
      <c r="S708" s="34">
        <v>500000.0</v>
      </c>
      <c r="T708" s="34">
        <v>500000.0</v>
      </c>
      <c r="U708" s="20" t="s">
        <v>71</v>
      </c>
      <c r="V708" s="20"/>
      <c r="W708" s="38">
        <f t="shared" si="6"/>
        <v>500000</v>
      </c>
      <c r="X708" s="20"/>
      <c r="Y708" s="38">
        <f t="shared" si="7"/>
        <v>500000</v>
      </c>
      <c r="Z708" s="24">
        <f t="shared" si="3"/>
        <v>1</v>
      </c>
      <c r="AA708" s="23">
        <f t="shared" si="5"/>
        <v>500000</v>
      </c>
      <c r="AB708" s="20"/>
      <c r="AC708" s="20"/>
      <c r="AD708" s="20"/>
      <c r="AE708" s="20"/>
      <c r="AF708" s="20"/>
      <c r="AG708" s="20"/>
      <c r="AH708" s="20"/>
      <c r="AI708" s="20"/>
      <c r="AJ708" s="20"/>
      <c r="AK708" s="20"/>
      <c r="AL708" s="20"/>
      <c r="AM708" s="20"/>
      <c r="AN708" s="20"/>
      <c r="AO708" s="20"/>
      <c r="AP708" s="20"/>
      <c r="AQ708" s="20"/>
      <c r="AR708" s="20"/>
      <c r="AS708" s="20"/>
      <c r="AT708" s="20"/>
    </row>
    <row r="709">
      <c r="A709" s="20">
        <v>707.0</v>
      </c>
      <c r="B709" s="29" t="s">
        <v>701</v>
      </c>
      <c r="C709" s="20"/>
      <c r="D709" s="20"/>
      <c r="E709" s="20"/>
      <c r="F709" s="20"/>
      <c r="G709" s="20"/>
      <c r="H709" s="33" t="s">
        <v>65</v>
      </c>
      <c r="I709" s="33" t="s">
        <v>66</v>
      </c>
      <c r="J709" s="21"/>
      <c r="K709" s="20" t="str">
        <f t="shared" si="1"/>
        <v>ROADS,TRANSPORT AND PUBLIC WORKS</v>
      </c>
      <c r="L709" s="20" t="s">
        <v>107</v>
      </c>
      <c r="M709" s="20" t="str">
        <f t="shared" si="2"/>
        <v>ROADS,TRANSPORT AND PUBLIC WORKS</v>
      </c>
      <c r="N709" s="22" t="s">
        <v>510</v>
      </c>
      <c r="O709" s="22" t="s">
        <v>511</v>
      </c>
      <c r="P709" s="20" t="s">
        <v>512</v>
      </c>
      <c r="Q709" s="20" t="s">
        <v>512</v>
      </c>
      <c r="R709" s="34">
        <v>500000.0</v>
      </c>
      <c r="S709" s="34">
        <v>500000.0</v>
      </c>
      <c r="T709" s="34">
        <v>500000.0</v>
      </c>
      <c r="U709" s="20" t="s">
        <v>71</v>
      </c>
      <c r="V709" s="20"/>
      <c r="W709" s="38">
        <f t="shared" si="6"/>
        <v>500000</v>
      </c>
      <c r="X709" s="20"/>
      <c r="Y709" s="38">
        <f t="shared" si="7"/>
        <v>500000</v>
      </c>
      <c r="Z709" s="24">
        <f t="shared" si="3"/>
        <v>1</v>
      </c>
      <c r="AA709" s="23">
        <f t="shared" si="5"/>
        <v>500000</v>
      </c>
      <c r="AB709" s="20"/>
      <c r="AC709" s="20"/>
      <c r="AD709" s="20"/>
      <c r="AE709" s="20"/>
      <c r="AF709" s="20"/>
      <c r="AG709" s="20"/>
      <c r="AH709" s="20"/>
      <c r="AI709" s="20"/>
      <c r="AJ709" s="20"/>
      <c r="AK709" s="20"/>
      <c r="AL709" s="20"/>
      <c r="AM709" s="20"/>
      <c r="AN709" s="20"/>
      <c r="AO709" s="20"/>
      <c r="AP709" s="20"/>
      <c r="AQ709" s="20"/>
      <c r="AR709" s="20"/>
      <c r="AS709" s="20"/>
      <c r="AT709" s="20"/>
    </row>
    <row r="710">
      <c r="A710" s="20">
        <v>708.0</v>
      </c>
      <c r="B710" s="29" t="s">
        <v>702</v>
      </c>
      <c r="C710" s="20"/>
      <c r="D710" s="20"/>
      <c r="E710" s="20"/>
      <c r="F710" s="20"/>
      <c r="G710" s="20"/>
      <c r="H710" s="33" t="s">
        <v>65</v>
      </c>
      <c r="I710" s="33" t="s">
        <v>66</v>
      </c>
      <c r="J710" s="21"/>
      <c r="K710" s="20" t="str">
        <f t="shared" si="1"/>
        <v>WATER,ENVIRONMENT,CLIMATE CHANGE AND NATURAL RESOURCES</v>
      </c>
      <c r="L710" s="20" t="s">
        <v>75</v>
      </c>
      <c r="M710" s="20" t="str">
        <f t="shared" si="2"/>
        <v>WATER,ENVIRONMENT,CLIMATE CHANGE AND NATURAL RESOURCES</v>
      </c>
      <c r="N710" s="22" t="s">
        <v>510</v>
      </c>
      <c r="O710" s="22" t="s">
        <v>511</v>
      </c>
      <c r="P710" s="20" t="s">
        <v>512</v>
      </c>
      <c r="Q710" s="20" t="s">
        <v>512</v>
      </c>
      <c r="R710" s="34">
        <v>800000.0</v>
      </c>
      <c r="S710" s="34">
        <v>800000.0</v>
      </c>
      <c r="T710" s="34">
        <v>800000.0</v>
      </c>
      <c r="U710" s="20" t="s">
        <v>71</v>
      </c>
      <c r="V710" s="20"/>
      <c r="W710" s="38">
        <f t="shared" si="6"/>
        <v>800000</v>
      </c>
      <c r="X710" s="20"/>
      <c r="Y710" s="38">
        <f t="shared" si="7"/>
        <v>800000</v>
      </c>
      <c r="Z710" s="24">
        <f t="shared" si="3"/>
        <v>1</v>
      </c>
      <c r="AA710" s="23">
        <f t="shared" si="5"/>
        <v>800000</v>
      </c>
      <c r="AB710" s="20"/>
      <c r="AC710" s="20"/>
      <c r="AD710" s="20"/>
      <c r="AE710" s="20"/>
      <c r="AF710" s="20"/>
      <c r="AG710" s="20"/>
      <c r="AH710" s="20"/>
      <c r="AI710" s="20"/>
      <c r="AJ710" s="20"/>
      <c r="AK710" s="20"/>
      <c r="AL710" s="20"/>
      <c r="AM710" s="20"/>
      <c r="AN710" s="20"/>
      <c r="AO710" s="20"/>
      <c r="AP710" s="20"/>
      <c r="AQ710" s="20"/>
      <c r="AR710" s="20"/>
      <c r="AS710" s="20"/>
      <c r="AT710" s="20"/>
    </row>
    <row r="711">
      <c r="A711" s="20">
        <v>709.0</v>
      </c>
      <c r="B711" s="29" t="s">
        <v>703</v>
      </c>
      <c r="C711" s="20"/>
      <c r="D711" s="20"/>
      <c r="E711" s="20"/>
      <c r="F711" s="20"/>
      <c r="G711" s="20"/>
      <c r="H711" s="33" t="s">
        <v>81</v>
      </c>
      <c r="I711" s="33" t="s">
        <v>83</v>
      </c>
      <c r="J711" s="21"/>
      <c r="K711" s="20" t="str">
        <f t="shared" si="1"/>
        <v>EDUCATION,INFORMATION AND ICT</v>
      </c>
      <c r="L711" s="20" t="s">
        <v>84</v>
      </c>
      <c r="M711" s="20" t="str">
        <f t="shared" si="2"/>
        <v>EDUCATION,INFORMATION AND ICT</v>
      </c>
      <c r="N711" s="22" t="s">
        <v>510</v>
      </c>
      <c r="O711" s="22" t="s">
        <v>511</v>
      </c>
      <c r="P711" s="20" t="s">
        <v>512</v>
      </c>
      <c r="Q711" s="20" t="s">
        <v>512</v>
      </c>
      <c r="R711" s="34">
        <v>300000.0</v>
      </c>
      <c r="S711" s="34">
        <v>300000.0</v>
      </c>
      <c r="T711" s="34">
        <v>300000.0</v>
      </c>
      <c r="U711" s="20" t="s">
        <v>71</v>
      </c>
      <c r="V711" s="20"/>
      <c r="W711" s="38">
        <f t="shared" si="6"/>
        <v>300000</v>
      </c>
      <c r="X711" s="20"/>
      <c r="Y711" s="38">
        <f t="shared" si="7"/>
        <v>300000</v>
      </c>
      <c r="Z711" s="24">
        <f t="shared" si="3"/>
        <v>1</v>
      </c>
      <c r="AA711" s="23">
        <f t="shared" si="5"/>
        <v>300000</v>
      </c>
      <c r="AB711" s="20"/>
      <c r="AC711" s="20"/>
      <c r="AD711" s="20"/>
      <c r="AE711" s="20"/>
      <c r="AF711" s="20"/>
      <c r="AG711" s="20"/>
      <c r="AH711" s="20"/>
      <c r="AI711" s="20"/>
      <c r="AJ711" s="20"/>
      <c r="AK711" s="20"/>
      <c r="AL711" s="20"/>
      <c r="AM711" s="20"/>
      <c r="AN711" s="20"/>
      <c r="AO711" s="20"/>
      <c r="AP711" s="20"/>
      <c r="AQ711" s="20"/>
      <c r="AR711" s="20"/>
      <c r="AS711" s="20"/>
      <c r="AT711" s="20"/>
    </row>
    <row r="712">
      <c r="A712" s="20">
        <v>710.0</v>
      </c>
      <c r="B712" s="29" t="s">
        <v>704</v>
      </c>
      <c r="C712" s="20"/>
      <c r="D712" s="20"/>
      <c r="E712" s="20"/>
      <c r="F712" s="20"/>
      <c r="G712" s="20"/>
      <c r="H712" s="33" t="s">
        <v>65</v>
      </c>
      <c r="I712" s="33" t="s">
        <v>66</v>
      </c>
      <c r="J712" s="21"/>
      <c r="K712" s="20" t="str">
        <f t="shared" si="1"/>
        <v>Health services</v>
      </c>
      <c r="L712" s="20" t="s">
        <v>67</v>
      </c>
      <c r="M712" s="20" t="str">
        <f t="shared" si="2"/>
        <v>Health services</v>
      </c>
      <c r="N712" s="22" t="s">
        <v>510</v>
      </c>
      <c r="O712" s="22" t="s">
        <v>511</v>
      </c>
      <c r="P712" s="20" t="s">
        <v>512</v>
      </c>
      <c r="Q712" s="20" t="s">
        <v>512</v>
      </c>
      <c r="R712" s="34">
        <v>2000000.0</v>
      </c>
      <c r="S712" s="34">
        <v>2000000.0</v>
      </c>
      <c r="T712" s="34">
        <v>2000000.0</v>
      </c>
      <c r="U712" s="20" t="s">
        <v>71</v>
      </c>
      <c r="V712" s="20"/>
      <c r="W712" s="38">
        <f t="shared" si="6"/>
        <v>2000000</v>
      </c>
      <c r="X712" s="20"/>
      <c r="Y712" s="38">
        <f t="shared" si="7"/>
        <v>2000000</v>
      </c>
      <c r="Z712" s="24">
        <f t="shared" si="3"/>
        <v>1</v>
      </c>
      <c r="AA712" s="23">
        <f t="shared" si="5"/>
        <v>2000000</v>
      </c>
      <c r="AB712" s="20"/>
      <c r="AC712" s="20"/>
      <c r="AD712" s="20"/>
      <c r="AE712" s="20"/>
      <c r="AF712" s="20"/>
      <c r="AG712" s="20"/>
      <c r="AH712" s="20"/>
      <c r="AI712" s="20"/>
      <c r="AJ712" s="20"/>
      <c r="AK712" s="20"/>
      <c r="AL712" s="20"/>
      <c r="AM712" s="20"/>
      <c r="AN712" s="20"/>
      <c r="AO712" s="20"/>
      <c r="AP712" s="20"/>
      <c r="AQ712" s="20"/>
      <c r="AR712" s="20"/>
      <c r="AS712" s="20"/>
      <c r="AT712" s="20"/>
    </row>
    <row r="713">
      <c r="A713" s="20">
        <v>711.0</v>
      </c>
      <c r="B713" s="29" t="s">
        <v>303</v>
      </c>
      <c r="C713" s="20"/>
      <c r="D713" s="20"/>
      <c r="E713" s="20"/>
      <c r="F713" s="20"/>
      <c r="G713" s="20"/>
      <c r="H713" s="33" t="s">
        <v>65</v>
      </c>
      <c r="I713" s="33" t="s">
        <v>66</v>
      </c>
      <c r="J713" s="21"/>
      <c r="K713" s="20" t="str">
        <f t="shared" si="1"/>
        <v>ROADS,TRANSPORT AND PUBLIC WORKS</v>
      </c>
      <c r="L713" s="20" t="s">
        <v>107</v>
      </c>
      <c r="M713" s="20" t="str">
        <f t="shared" si="2"/>
        <v>ROADS,TRANSPORT AND PUBLIC WORKS</v>
      </c>
      <c r="N713" s="22" t="s">
        <v>510</v>
      </c>
      <c r="O713" s="22" t="s">
        <v>511</v>
      </c>
      <c r="P713" s="20" t="s">
        <v>512</v>
      </c>
      <c r="Q713" s="20" t="s">
        <v>512</v>
      </c>
      <c r="R713" s="34">
        <v>1000000.0</v>
      </c>
      <c r="S713" s="34">
        <v>1000000.0</v>
      </c>
      <c r="T713" s="34">
        <v>1000000.0</v>
      </c>
      <c r="U713" s="20" t="s">
        <v>71</v>
      </c>
      <c r="V713" s="20"/>
      <c r="W713" s="38">
        <f t="shared" si="6"/>
        <v>1000000</v>
      </c>
      <c r="X713" s="20"/>
      <c r="Y713" s="38">
        <f t="shared" si="7"/>
        <v>1000000</v>
      </c>
      <c r="Z713" s="24">
        <f t="shared" si="3"/>
        <v>1</v>
      </c>
      <c r="AA713" s="23">
        <f t="shared" si="5"/>
        <v>1000000</v>
      </c>
      <c r="AB713" s="20"/>
      <c r="AC713" s="20"/>
      <c r="AD713" s="20"/>
      <c r="AE713" s="20"/>
      <c r="AF713" s="20"/>
      <c r="AG713" s="20"/>
      <c r="AH713" s="20"/>
      <c r="AI713" s="20"/>
      <c r="AJ713" s="20"/>
      <c r="AK713" s="20"/>
      <c r="AL713" s="20"/>
      <c r="AM713" s="20"/>
      <c r="AN713" s="20"/>
      <c r="AO713" s="20"/>
      <c r="AP713" s="20"/>
      <c r="AQ713" s="20"/>
      <c r="AR713" s="20"/>
      <c r="AS713" s="20"/>
      <c r="AT713" s="20"/>
    </row>
    <row r="714">
      <c r="A714" s="20">
        <v>712.0</v>
      </c>
      <c r="B714" s="29" t="s">
        <v>705</v>
      </c>
      <c r="C714" s="20"/>
      <c r="D714" s="20"/>
      <c r="E714" s="20"/>
      <c r="F714" s="20"/>
      <c r="G714" s="20"/>
      <c r="H714" s="33" t="s">
        <v>65</v>
      </c>
      <c r="I714" s="33" t="s">
        <v>66</v>
      </c>
      <c r="J714" s="21"/>
      <c r="K714" s="20" t="str">
        <f t="shared" si="1"/>
        <v>Health services</v>
      </c>
      <c r="L714" s="20" t="s">
        <v>67</v>
      </c>
      <c r="M714" s="20" t="str">
        <f t="shared" si="2"/>
        <v>Health services</v>
      </c>
      <c r="N714" s="22" t="s">
        <v>510</v>
      </c>
      <c r="O714" s="22" t="s">
        <v>511</v>
      </c>
      <c r="P714" s="20" t="s">
        <v>512</v>
      </c>
      <c r="Q714" s="20" t="s">
        <v>512</v>
      </c>
      <c r="R714" s="34">
        <v>500000.0</v>
      </c>
      <c r="S714" s="34">
        <v>500000.0</v>
      </c>
      <c r="T714" s="34">
        <v>500000.0</v>
      </c>
      <c r="U714" s="20" t="s">
        <v>71</v>
      </c>
      <c r="V714" s="20"/>
      <c r="W714" s="38">
        <f t="shared" si="6"/>
        <v>500000</v>
      </c>
      <c r="X714" s="20"/>
      <c r="Y714" s="38">
        <f t="shared" si="7"/>
        <v>500000</v>
      </c>
      <c r="Z714" s="24">
        <f t="shared" si="3"/>
        <v>1</v>
      </c>
      <c r="AA714" s="23">
        <f t="shared" si="5"/>
        <v>500000</v>
      </c>
      <c r="AB714" s="20"/>
      <c r="AC714" s="20"/>
      <c r="AD714" s="20"/>
      <c r="AE714" s="20"/>
      <c r="AF714" s="20"/>
      <c r="AG714" s="20"/>
      <c r="AH714" s="20"/>
      <c r="AI714" s="20"/>
      <c r="AJ714" s="20"/>
      <c r="AK714" s="20"/>
      <c r="AL714" s="20"/>
      <c r="AM714" s="20"/>
      <c r="AN714" s="20"/>
      <c r="AO714" s="20"/>
      <c r="AP714" s="20"/>
      <c r="AQ714" s="20"/>
      <c r="AR714" s="20"/>
      <c r="AS714" s="20"/>
      <c r="AT714" s="20"/>
    </row>
    <row r="715">
      <c r="A715" s="20">
        <v>713.0</v>
      </c>
      <c r="B715" s="29" t="s">
        <v>706</v>
      </c>
      <c r="C715" s="20"/>
      <c r="D715" s="20"/>
      <c r="E715" s="20"/>
      <c r="F715" s="20"/>
      <c r="G715" s="20"/>
      <c r="H715" s="33" t="s">
        <v>77</v>
      </c>
      <c r="I715" s="33" t="s">
        <v>157</v>
      </c>
      <c r="J715" s="21"/>
      <c r="K715" s="20" t="str">
        <f t="shared" si="1"/>
        <v>WATER,ENVIRONMENT,CLIMATE CHANGE AND NATURAL RESOURCES</v>
      </c>
      <c r="L715" s="20" t="s">
        <v>75</v>
      </c>
      <c r="M715" s="20" t="str">
        <f t="shared" si="2"/>
        <v>WATER,ENVIRONMENT,CLIMATE CHANGE AND NATURAL RESOURCES</v>
      </c>
      <c r="N715" s="22" t="s">
        <v>510</v>
      </c>
      <c r="O715" s="22" t="s">
        <v>511</v>
      </c>
      <c r="P715" s="20" t="s">
        <v>512</v>
      </c>
      <c r="Q715" s="20" t="s">
        <v>512</v>
      </c>
      <c r="R715" s="34">
        <v>300000.0</v>
      </c>
      <c r="S715" s="34">
        <v>300000.0</v>
      </c>
      <c r="T715" s="34">
        <v>300000.0</v>
      </c>
      <c r="U715" s="20" t="s">
        <v>71</v>
      </c>
      <c r="V715" s="20"/>
      <c r="W715" s="38">
        <f t="shared" si="6"/>
        <v>300000</v>
      </c>
      <c r="X715" s="20"/>
      <c r="Y715" s="38">
        <f t="shared" si="7"/>
        <v>300000</v>
      </c>
      <c r="Z715" s="24">
        <f t="shared" si="3"/>
        <v>1</v>
      </c>
      <c r="AA715" s="23">
        <f t="shared" si="5"/>
        <v>300000</v>
      </c>
      <c r="AB715" s="20"/>
      <c r="AC715" s="20"/>
      <c r="AD715" s="20"/>
      <c r="AE715" s="20"/>
      <c r="AF715" s="20"/>
      <c r="AG715" s="20"/>
      <c r="AH715" s="20"/>
      <c r="AI715" s="20"/>
      <c r="AJ715" s="20"/>
      <c r="AK715" s="20"/>
      <c r="AL715" s="20"/>
      <c r="AM715" s="20"/>
      <c r="AN715" s="20"/>
      <c r="AO715" s="20"/>
      <c r="AP715" s="20"/>
      <c r="AQ715" s="20"/>
      <c r="AR715" s="20"/>
      <c r="AS715" s="20"/>
      <c r="AT715" s="20"/>
    </row>
    <row r="716">
      <c r="A716" s="20">
        <v>714.0</v>
      </c>
      <c r="B716" s="29" t="s">
        <v>707</v>
      </c>
      <c r="C716" s="20"/>
      <c r="D716" s="20"/>
      <c r="E716" s="20"/>
      <c r="F716" s="20"/>
      <c r="G716" s="20"/>
      <c r="H716" s="33" t="s">
        <v>65</v>
      </c>
      <c r="I716" s="33" t="s">
        <v>66</v>
      </c>
      <c r="J716" s="21"/>
      <c r="K716" s="20" t="str">
        <f t="shared" si="1"/>
        <v>ROADS,TRANSPORT AND PUBLIC WORKS</v>
      </c>
      <c r="L716" s="20" t="s">
        <v>107</v>
      </c>
      <c r="M716" s="20" t="str">
        <f t="shared" si="2"/>
        <v>ROADS,TRANSPORT AND PUBLIC WORKS</v>
      </c>
      <c r="N716" s="22" t="s">
        <v>510</v>
      </c>
      <c r="O716" s="22" t="s">
        <v>511</v>
      </c>
      <c r="P716" s="20" t="s">
        <v>512</v>
      </c>
      <c r="Q716" s="20" t="s">
        <v>512</v>
      </c>
      <c r="R716" s="34">
        <v>300000.0</v>
      </c>
      <c r="S716" s="34">
        <v>300000.0</v>
      </c>
      <c r="T716" s="34">
        <v>300000.0</v>
      </c>
      <c r="U716" s="20" t="s">
        <v>71</v>
      </c>
      <c r="V716" s="20"/>
      <c r="W716" s="38">
        <f t="shared" si="6"/>
        <v>300000</v>
      </c>
      <c r="X716" s="20"/>
      <c r="Y716" s="38">
        <f t="shared" si="7"/>
        <v>300000</v>
      </c>
      <c r="Z716" s="24">
        <f t="shared" si="3"/>
        <v>1</v>
      </c>
      <c r="AA716" s="23">
        <f t="shared" si="5"/>
        <v>300000</v>
      </c>
      <c r="AB716" s="20"/>
      <c r="AC716" s="20"/>
      <c r="AD716" s="20"/>
      <c r="AE716" s="20"/>
      <c r="AF716" s="20"/>
      <c r="AG716" s="20"/>
      <c r="AH716" s="20"/>
      <c r="AI716" s="20"/>
      <c r="AJ716" s="20"/>
      <c r="AK716" s="20"/>
      <c r="AL716" s="20"/>
      <c r="AM716" s="20"/>
      <c r="AN716" s="20"/>
      <c r="AO716" s="20"/>
      <c r="AP716" s="20"/>
      <c r="AQ716" s="20"/>
      <c r="AR716" s="20"/>
      <c r="AS716" s="20"/>
      <c r="AT716" s="20"/>
    </row>
    <row r="717">
      <c r="A717" s="20">
        <v>715.0</v>
      </c>
      <c r="B717" s="29" t="s">
        <v>708</v>
      </c>
      <c r="C717" s="20"/>
      <c r="D717" s="20"/>
      <c r="E717" s="20"/>
      <c r="F717" s="20"/>
      <c r="G717" s="20"/>
      <c r="H717" s="33" t="s">
        <v>113</v>
      </c>
      <c r="I717" s="33" t="s">
        <v>132</v>
      </c>
      <c r="J717" s="21"/>
      <c r="K717" s="20" t="str">
        <f t="shared" si="1"/>
        <v>Health services</v>
      </c>
      <c r="L717" s="20" t="s">
        <v>67</v>
      </c>
      <c r="M717" s="20" t="str">
        <f t="shared" si="2"/>
        <v>Health services</v>
      </c>
      <c r="N717" s="22" t="s">
        <v>510</v>
      </c>
      <c r="O717" s="22" t="s">
        <v>511</v>
      </c>
      <c r="P717" s="20" t="s">
        <v>512</v>
      </c>
      <c r="Q717" s="20" t="s">
        <v>512</v>
      </c>
      <c r="R717" s="34">
        <v>300000.0</v>
      </c>
      <c r="S717" s="34">
        <v>300000.0</v>
      </c>
      <c r="T717" s="34">
        <v>300000.0</v>
      </c>
      <c r="U717" s="20" t="s">
        <v>71</v>
      </c>
      <c r="V717" s="20"/>
      <c r="W717" s="38">
        <f t="shared" si="6"/>
        <v>300000</v>
      </c>
      <c r="X717" s="20"/>
      <c r="Y717" s="38">
        <f t="shared" si="7"/>
        <v>300000</v>
      </c>
      <c r="Z717" s="24">
        <f t="shared" si="3"/>
        <v>1</v>
      </c>
      <c r="AA717" s="23">
        <f t="shared" si="5"/>
        <v>300000</v>
      </c>
      <c r="AB717" s="20"/>
      <c r="AC717" s="20"/>
      <c r="AD717" s="20"/>
      <c r="AE717" s="20"/>
      <c r="AF717" s="20"/>
      <c r="AG717" s="20"/>
      <c r="AH717" s="20"/>
      <c r="AI717" s="20"/>
      <c r="AJ717" s="20"/>
      <c r="AK717" s="20"/>
      <c r="AL717" s="20"/>
      <c r="AM717" s="20"/>
      <c r="AN717" s="20"/>
      <c r="AO717" s="20"/>
      <c r="AP717" s="20"/>
      <c r="AQ717" s="20"/>
      <c r="AR717" s="20"/>
      <c r="AS717" s="20"/>
      <c r="AT717" s="20"/>
    </row>
    <row r="718">
      <c r="A718" s="20">
        <v>716.0</v>
      </c>
      <c r="B718" s="29" t="s">
        <v>708</v>
      </c>
      <c r="C718" s="20"/>
      <c r="D718" s="20"/>
      <c r="E718" s="20"/>
      <c r="F718" s="20"/>
      <c r="G718" s="20"/>
      <c r="H718" s="33" t="s">
        <v>113</v>
      </c>
      <c r="I718" s="33" t="s">
        <v>132</v>
      </c>
      <c r="J718" s="21"/>
      <c r="K718" s="20" t="str">
        <f t="shared" si="1"/>
        <v>Health services</v>
      </c>
      <c r="L718" s="20" t="s">
        <v>67</v>
      </c>
      <c r="M718" s="20" t="str">
        <f t="shared" si="2"/>
        <v>Health services</v>
      </c>
      <c r="N718" s="22" t="s">
        <v>510</v>
      </c>
      <c r="O718" s="22" t="s">
        <v>511</v>
      </c>
      <c r="P718" s="20" t="s">
        <v>512</v>
      </c>
      <c r="Q718" s="20" t="s">
        <v>512</v>
      </c>
      <c r="R718" s="34">
        <v>400000.0</v>
      </c>
      <c r="S718" s="34">
        <v>400000.0</v>
      </c>
      <c r="T718" s="34">
        <v>400000.0</v>
      </c>
      <c r="U718" s="20" t="s">
        <v>71</v>
      </c>
      <c r="V718" s="20"/>
      <c r="W718" s="38">
        <f t="shared" si="6"/>
        <v>400000</v>
      </c>
      <c r="X718" s="20"/>
      <c r="Y718" s="38">
        <f t="shared" si="7"/>
        <v>400000</v>
      </c>
      <c r="Z718" s="24">
        <f t="shared" si="3"/>
        <v>1</v>
      </c>
      <c r="AA718" s="23">
        <f t="shared" si="5"/>
        <v>400000</v>
      </c>
      <c r="AB718" s="20"/>
      <c r="AC718" s="20"/>
      <c r="AD718" s="20"/>
      <c r="AE718" s="20"/>
      <c r="AF718" s="20"/>
      <c r="AG718" s="20"/>
      <c r="AH718" s="20"/>
      <c r="AI718" s="20"/>
      <c r="AJ718" s="20"/>
      <c r="AK718" s="20"/>
      <c r="AL718" s="20"/>
      <c r="AM718" s="20"/>
      <c r="AN718" s="20"/>
      <c r="AO718" s="20"/>
      <c r="AP718" s="20"/>
      <c r="AQ718" s="20"/>
      <c r="AR718" s="20"/>
      <c r="AS718" s="20"/>
      <c r="AT718" s="20"/>
    </row>
    <row r="719">
      <c r="A719" s="20">
        <v>717.0</v>
      </c>
      <c r="B719" s="29" t="s">
        <v>709</v>
      </c>
      <c r="C719" s="20"/>
      <c r="D719" s="20"/>
      <c r="E719" s="20"/>
      <c r="F719" s="20"/>
      <c r="G719" s="20"/>
      <c r="H719" s="33" t="s">
        <v>160</v>
      </c>
      <c r="I719" s="33" t="s">
        <v>160</v>
      </c>
      <c r="J719" s="21"/>
      <c r="K719" s="20" t="str">
        <f t="shared" si="1"/>
        <v>Health services</v>
      </c>
      <c r="L719" s="20" t="s">
        <v>67</v>
      </c>
      <c r="M719" s="20" t="str">
        <f t="shared" si="2"/>
        <v>Health services</v>
      </c>
      <c r="N719" s="22" t="s">
        <v>510</v>
      </c>
      <c r="O719" s="22" t="s">
        <v>511</v>
      </c>
      <c r="P719" s="20" t="s">
        <v>512</v>
      </c>
      <c r="Q719" s="20" t="s">
        <v>512</v>
      </c>
      <c r="R719" s="34">
        <v>500000.0</v>
      </c>
      <c r="S719" s="34">
        <v>500000.0</v>
      </c>
      <c r="T719" s="34">
        <v>500000.0</v>
      </c>
      <c r="U719" s="20" t="s">
        <v>71</v>
      </c>
      <c r="V719" s="20"/>
      <c r="W719" s="38">
        <f t="shared" si="6"/>
        <v>500000</v>
      </c>
      <c r="X719" s="20"/>
      <c r="Y719" s="38">
        <f t="shared" si="7"/>
        <v>500000</v>
      </c>
      <c r="Z719" s="24">
        <f t="shared" si="3"/>
        <v>1</v>
      </c>
      <c r="AA719" s="23">
        <f t="shared" si="5"/>
        <v>500000</v>
      </c>
      <c r="AB719" s="20"/>
      <c r="AC719" s="20"/>
      <c r="AD719" s="20"/>
      <c r="AE719" s="20"/>
      <c r="AF719" s="20"/>
      <c r="AG719" s="20"/>
      <c r="AH719" s="20"/>
      <c r="AI719" s="20"/>
      <c r="AJ719" s="20"/>
      <c r="AK719" s="20"/>
      <c r="AL719" s="20"/>
      <c r="AM719" s="20"/>
      <c r="AN719" s="20"/>
      <c r="AO719" s="20"/>
      <c r="AP719" s="20"/>
      <c r="AQ719" s="20"/>
      <c r="AR719" s="20"/>
      <c r="AS719" s="20"/>
      <c r="AT719" s="20"/>
    </row>
    <row r="720">
      <c r="A720" s="20">
        <v>718.0</v>
      </c>
      <c r="B720" s="29" t="s">
        <v>710</v>
      </c>
      <c r="C720" s="20"/>
      <c r="D720" s="20"/>
      <c r="E720" s="20"/>
      <c r="F720" s="20"/>
      <c r="G720" s="20"/>
      <c r="H720" s="33" t="s">
        <v>65</v>
      </c>
      <c r="I720" s="33" t="s">
        <v>66</v>
      </c>
      <c r="J720" s="21"/>
      <c r="K720" s="20" t="str">
        <f t="shared" si="1"/>
        <v>ROADS,TRANSPORT AND PUBLIC WORKS</v>
      </c>
      <c r="L720" s="20" t="s">
        <v>107</v>
      </c>
      <c r="M720" s="20" t="str">
        <f t="shared" si="2"/>
        <v>ROADS,TRANSPORT AND PUBLIC WORKS</v>
      </c>
      <c r="N720" s="22" t="s">
        <v>510</v>
      </c>
      <c r="O720" s="22" t="s">
        <v>511</v>
      </c>
      <c r="P720" s="20" t="s">
        <v>512</v>
      </c>
      <c r="Q720" s="20" t="s">
        <v>512</v>
      </c>
      <c r="R720" s="34">
        <v>300000.0</v>
      </c>
      <c r="S720" s="34">
        <v>300000.0</v>
      </c>
      <c r="T720" s="34">
        <v>300000.0</v>
      </c>
      <c r="U720" s="20" t="s">
        <v>71</v>
      </c>
      <c r="V720" s="20"/>
      <c r="W720" s="38">
        <f t="shared" si="6"/>
        <v>300000</v>
      </c>
      <c r="X720" s="20"/>
      <c r="Y720" s="38">
        <f t="shared" si="7"/>
        <v>300000</v>
      </c>
      <c r="Z720" s="24">
        <f t="shared" si="3"/>
        <v>1</v>
      </c>
      <c r="AA720" s="23">
        <f t="shared" si="5"/>
        <v>300000</v>
      </c>
      <c r="AB720" s="20"/>
      <c r="AC720" s="20"/>
      <c r="AD720" s="20"/>
      <c r="AE720" s="20"/>
      <c r="AF720" s="20"/>
      <c r="AG720" s="20"/>
      <c r="AH720" s="20"/>
      <c r="AI720" s="20"/>
      <c r="AJ720" s="20"/>
      <c r="AK720" s="20"/>
      <c r="AL720" s="20"/>
      <c r="AM720" s="20"/>
      <c r="AN720" s="20"/>
      <c r="AO720" s="20"/>
      <c r="AP720" s="20"/>
      <c r="AQ720" s="20"/>
      <c r="AR720" s="20"/>
      <c r="AS720" s="20"/>
      <c r="AT720" s="20"/>
    </row>
    <row r="721">
      <c r="A721" s="20">
        <v>719.0</v>
      </c>
      <c r="B721" s="29" t="s">
        <v>711</v>
      </c>
      <c r="C721" s="20"/>
      <c r="D721" s="20"/>
      <c r="E721" s="20"/>
      <c r="F721" s="20"/>
      <c r="G721" s="20"/>
      <c r="H721" s="33" t="s">
        <v>65</v>
      </c>
      <c r="I721" s="33" t="s">
        <v>90</v>
      </c>
      <c r="J721" s="21"/>
      <c r="K721" s="20" t="str">
        <f t="shared" si="1"/>
        <v>WATER,ENVIRONMENT,CLIMATE CHANGE AND NATURAL RESOURCES</v>
      </c>
      <c r="L721" s="20" t="s">
        <v>75</v>
      </c>
      <c r="M721" s="20" t="str">
        <f t="shared" si="2"/>
        <v>WATER,ENVIRONMENT,CLIMATE CHANGE AND NATURAL RESOURCES</v>
      </c>
      <c r="N721" s="22" t="s">
        <v>510</v>
      </c>
      <c r="O721" s="22" t="s">
        <v>511</v>
      </c>
      <c r="P721" s="20" t="s">
        <v>512</v>
      </c>
      <c r="Q721" s="20" t="s">
        <v>512</v>
      </c>
      <c r="R721" s="34">
        <v>500000.0</v>
      </c>
      <c r="S721" s="34">
        <v>500000.0</v>
      </c>
      <c r="T721" s="34">
        <v>500000.0</v>
      </c>
      <c r="U721" s="20" t="s">
        <v>71</v>
      </c>
      <c r="V721" s="20"/>
      <c r="W721" s="38">
        <f t="shared" si="6"/>
        <v>500000</v>
      </c>
      <c r="X721" s="20"/>
      <c r="Y721" s="38">
        <f t="shared" si="7"/>
        <v>500000</v>
      </c>
      <c r="Z721" s="24">
        <f t="shared" si="3"/>
        <v>1</v>
      </c>
      <c r="AA721" s="23">
        <f t="shared" si="5"/>
        <v>500000</v>
      </c>
      <c r="AB721" s="20"/>
      <c r="AC721" s="20"/>
      <c r="AD721" s="20"/>
      <c r="AE721" s="20"/>
      <c r="AF721" s="20"/>
      <c r="AG721" s="20"/>
      <c r="AH721" s="20"/>
      <c r="AI721" s="20"/>
      <c r="AJ721" s="20"/>
      <c r="AK721" s="20"/>
      <c r="AL721" s="20"/>
      <c r="AM721" s="20"/>
      <c r="AN721" s="20"/>
      <c r="AO721" s="20"/>
      <c r="AP721" s="20"/>
      <c r="AQ721" s="20"/>
      <c r="AR721" s="20"/>
      <c r="AS721" s="20"/>
      <c r="AT721" s="20"/>
    </row>
    <row r="722">
      <c r="A722" s="20">
        <v>720.0</v>
      </c>
      <c r="B722" s="29" t="s">
        <v>712</v>
      </c>
      <c r="C722" s="20"/>
      <c r="D722" s="20"/>
      <c r="E722" s="20"/>
      <c r="F722" s="20"/>
      <c r="G722" s="20"/>
      <c r="H722" s="33" t="s">
        <v>81</v>
      </c>
      <c r="I722" s="33" t="s">
        <v>83</v>
      </c>
      <c r="J722" s="21"/>
      <c r="K722" s="20" t="str">
        <f t="shared" si="1"/>
        <v>WATER,ENVIRONMENT,CLIMATE CHANGE AND NATURAL RESOURCES</v>
      </c>
      <c r="L722" s="20" t="s">
        <v>75</v>
      </c>
      <c r="M722" s="20" t="str">
        <f t="shared" si="2"/>
        <v>WATER,ENVIRONMENT,CLIMATE CHANGE AND NATURAL RESOURCES</v>
      </c>
      <c r="N722" s="22" t="s">
        <v>510</v>
      </c>
      <c r="O722" s="22" t="s">
        <v>511</v>
      </c>
      <c r="P722" s="20" t="s">
        <v>512</v>
      </c>
      <c r="Q722" s="20" t="s">
        <v>512</v>
      </c>
      <c r="R722" s="34">
        <v>500000.0</v>
      </c>
      <c r="S722" s="34">
        <v>500000.0</v>
      </c>
      <c r="T722" s="34">
        <v>500000.0</v>
      </c>
      <c r="U722" s="20" t="s">
        <v>71</v>
      </c>
      <c r="V722" s="20"/>
      <c r="W722" s="38">
        <f t="shared" si="6"/>
        <v>500000</v>
      </c>
      <c r="X722" s="20"/>
      <c r="Y722" s="38">
        <f t="shared" si="7"/>
        <v>500000</v>
      </c>
      <c r="Z722" s="24">
        <f t="shared" si="3"/>
        <v>1</v>
      </c>
      <c r="AA722" s="23">
        <f t="shared" si="5"/>
        <v>500000</v>
      </c>
      <c r="AB722" s="20"/>
      <c r="AC722" s="20"/>
      <c r="AD722" s="20"/>
      <c r="AE722" s="20"/>
      <c r="AF722" s="20"/>
      <c r="AG722" s="20"/>
      <c r="AH722" s="20"/>
      <c r="AI722" s="20"/>
      <c r="AJ722" s="20"/>
      <c r="AK722" s="20"/>
      <c r="AL722" s="20"/>
      <c r="AM722" s="20"/>
      <c r="AN722" s="20"/>
      <c r="AO722" s="20"/>
      <c r="AP722" s="20"/>
      <c r="AQ722" s="20"/>
      <c r="AR722" s="20"/>
      <c r="AS722" s="20"/>
      <c r="AT722" s="20"/>
    </row>
    <row r="723">
      <c r="A723" s="20">
        <v>721.0</v>
      </c>
      <c r="B723" s="29" t="s">
        <v>713</v>
      </c>
      <c r="C723" s="20"/>
      <c r="D723" s="20"/>
      <c r="E723" s="20"/>
      <c r="F723" s="20"/>
      <c r="G723" s="20"/>
      <c r="H723" s="33" t="s">
        <v>77</v>
      </c>
      <c r="I723" s="33" t="s">
        <v>151</v>
      </c>
      <c r="J723" s="21"/>
      <c r="K723" s="20" t="str">
        <f t="shared" si="1"/>
        <v>ROADS,TRANSPORT AND PUBLIC WORKS</v>
      </c>
      <c r="L723" s="20" t="s">
        <v>107</v>
      </c>
      <c r="M723" s="20" t="str">
        <f t="shared" si="2"/>
        <v>ROADS,TRANSPORT AND PUBLIC WORKS</v>
      </c>
      <c r="N723" s="22" t="s">
        <v>510</v>
      </c>
      <c r="O723" s="22" t="s">
        <v>511</v>
      </c>
      <c r="P723" s="20" t="s">
        <v>512</v>
      </c>
      <c r="Q723" s="20" t="s">
        <v>512</v>
      </c>
      <c r="R723" s="34">
        <v>500000.0</v>
      </c>
      <c r="S723" s="34">
        <v>500000.0</v>
      </c>
      <c r="T723" s="34">
        <v>500000.0</v>
      </c>
      <c r="U723" s="20" t="s">
        <v>71</v>
      </c>
      <c r="V723" s="20"/>
      <c r="W723" s="38">
        <f t="shared" si="6"/>
        <v>500000</v>
      </c>
      <c r="X723" s="20"/>
      <c r="Y723" s="38">
        <f t="shared" si="7"/>
        <v>500000</v>
      </c>
      <c r="Z723" s="24">
        <f t="shared" si="3"/>
        <v>1</v>
      </c>
      <c r="AA723" s="23">
        <f t="shared" si="5"/>
        <v>500000</v>
      </c>
      <c r="AB723" s="20"/>
      <c r="AC723" s="20"/>
      <c r="AD723" s="20"/>
      <c r="AE723" s="20"/>
      <c r="AF723" s="20"/>
      <c r="AG723" s="20"/>
      <c r="AH723" s="20"/>
      <c r="AI723" s="20"/>
      <c r="AJ723" s="20"/>
      <c r="AK723" s="20"/>
      <c r="AL723" s="20"/>
      <c r="AM723" s="20"/>
      <c r="AN723" s="20"/>
      <c r="AO723" s="20"/>
      <c r="AP723" s="20"/>
      <c r="AQ723" s="20"/>
      <c r="AR723" s="20"/>
      <c r="AS723" s="20"/>
      <c r="AT723" s="20"/>
    </row>
    <row r="724">
      <c r="A724" s="20">
        <v>722.0</v>
      </c>
      <c r="B724" s="29" t="s">
        <v>714</v>
      </c>
      <c r="C724" s="20"/>
      <c r="D724" s="20"/>
      <c r="E724" s="20"/>
      <c r="F724" s="20"/>
      <c r="G724" s="20"/>
      <c r="H724" s="33" t="s">
        <v>77</v>
      </c>
      <c r="I724" s="33" t="s">
        <v>348</v>
      </c>
      <c r="J724" s="21"/>
      <c r="K724" s="20" t="str">
        <f t="shared" si="1"/>
        <v>ROADS,TRANSPORT AND PUBLIC WORKS</v>
      </c>
      <c r="L724" s="20" t="s">
        <v>107</v>
      </c>
      <c r="M724" s="20" t="str">
        <f t="shared" si="2"/>
        <v>ROADS,TRANSPORT AND PUBLIC WORKS</v>
      </c>
      <c r="N724" s="22" t="s">
        <v>510</v>
      </c>
      <c r="O724" s="22" t="s">
        <v>511</v>
      </c>
      <c r="P724" s="20" t="s">
        <v>512</v>
      </c>
      <c r="Q724" s="20" t="s">
        <v>512</v>
      </c>
      <c r="R724" s="34">
        <v>1000000.0</v>
      </c>
      <c r="S724" s="34">
        <v>1000000.0</v>
      </c>
      <c r="T724" s="34">
        <v>1000000.0</v>
      </c>
      <c r="U724" s="20" t="s">
        <v>71</v>
      </c>
      <c r="V724" s="20"/>
      <c r="W724" s="38">
        <f t="shared" si="6"/>
        <v>1000000</v>
      </c>
      <c r="X724" s="20"/>
      <c r="Y724" s="38">
        <f t="shared" si="7"/>
        <v>1000000</v>
      </c>
      <c r="Z724" s="24">
        <f t="shared" si="3"/>
        <v>1</v>
      </c>
      <c r="AA724" s="23">
        <f t="shared" si="5"/>
        <v>1000000</v>
      </c>
      <c r="AB724" s="20"/>
      <c r="AC724" s="20"/>
      <c r="AD724" s="20"/>
      <c r="AE724" s="20"/>
      <c r="AF724" s="20"/>
      <c r="AG724" s="20"/>
      <c r="AH724" s="20"/>
      <c r="AI724" s="20"/>
      <c r="AJ724" s="20"/>
      <c r="AK724" s="20"/>
      <c r="AL724" s="20"/>
      <c r="AM724" s="20"/>
      <c r="AN724" s="20"/>
      <c r="AO724" s="20"/>
      <c r="AP724" s="20"/>
      <c r="AQ724" s="20"/>
      <c r="AR724" s="20"/>
      <c r="AS724" s="20"/>
      <c r="AT724" s="20"/>
    </row>
    <row r="725">
      <c r="A725" s="20">
        <v>723.0</v>
      </c>
      <c r="B725" s="29" t="s">
        <v>715</v>
      </c>
      <c r="C725" s="20"/>
      <c r="D725" s="20"/>
      <c r="E725" s="20"/>
      <c r="F725" s="20"/>
      <c r="G725" s="20"/>
      <c r="H725" s="33" t="s">
        <v>77</v>
      </c>
      <c r="I725" s="33" t="s">
        <v>160</v>
      </c>
      <c r="J725" s="21"/>
      <c r="K725" s="20" t="str">
        <f t="shared" si="1"/>
        <v>WATER,ENVIRONMENT,CLIMATE CHANGE AND NATURAL RESOURCES</v>
      </c>
      <c r="L725" s="20" t="s">
        <v>75</v>
      </c>
      <c r="M725" s="20" t="str">
        <f t="shared" si="2"/>
        <v>WATER,ENVIRONMENT,CLIMATE CHANGE AND NATURAL RESOURCES</v>
      </c>
      <c r="N725" s="22" t="s">
        <v>510</v>
      </c>
      <c r="O725" s="22" t="s">
        <v>511</v>
      </c>
      <c r="P725" s="20" t="s">
        <v>512</v>
      </c>
      <c r="Q725" s="20" t="s">
        <v>512</v>
      </c>
      <c r="R725" s="34">
        <v>1500000.0</v>
      </c>
      <c r="S725" s="34">
        <v>1500000.0</v>
      </c>
      <c r="T725" s="34">
        <v>1500000.0</v>
      </c>
      <c r="U725" s="20" t="s">
        <v>71</v>
      </c>
      <c r="V725" s="20"/>
      <c r="W725" s="38">
        <f t="shared" si="6"/>
        <v>1500000</v>
      </c>
      <c r="X725" s="20"/>
      <c r="Y725" s="38">
        <f t="shared" si="7"/>
        <v>1500000</v>
      </c>
      <c r="Z725" s="24">
        <f t="shared" si="3"/>
        <v>1</v>
      </c>
      <c r="AA725" s="23">
        <f t="shared" si="5"/>
        <v>1500000</v>
      </c>
      <c r="AB725" s="20"/>
      <c r="AC725" s="20"/>
      <c r="AD725" s="20"/>
      <c r="AE725" s="20"/>
      <c r="AF725" s="20"/>
      <c r="AG725" s="20"/>
      <c r="AH725" s="20"/>
      <c r="AI725" s="20"/>
      <c r="AJ725" s="20"/>
      <c r="AK725" s="20"/>
      <c r="AL725" s="20"/>
      <c r="AM725" s="20"/>
      <c r="AN725" s="20"/>
      <c r="AO725" s="20"/>
      <c r="AP725" s="20"/>
      <c r="AQ725" s="20"/>
      <c r="AR725" s="20"/>
      <c r="AS725" s="20"/>
      <c r="AT725" s="20"/>
    </row>
    <row r="726">
      <c r="A726" s="20">
        <v>724.0</v>
      </c>
      <c r="B726" s="29" t="s">
        <v>716</v>
      </c>
      <c r="C726" s="20"/>
      <c r="D726" s="20"/>
      <c r="E726" s="20"/>
      <c r="F726" s="20"/>
      <c r="G726" s="20"/>
      <c r="H726" s="33" t="s">
        <v>77</v>
      </c>
      <c r="I726" s="33" t="s">
        <v>348</v>
      </c>
      <c r="J726" s="21"/>
      <c r="K726" s="20" t="str">
        <f t="shared" si="1"/>
        <v>Health services</v>
      </c>
      <c r="L726" s="20" t="s">
        <v>67</v>
      </c>
      <c r="M726" s="20" t="str">
        <f t="shared" si="2"/>
        <v>Health services</v>
      </c>
      <c r="N726" s="22" t="s">
        <v>510</v>
      </c>
      <c r="O726" s="22" t="s">
        <v>511</v>
      </c>
      <c r="P726" s="20" t="s">
        <v>512</v>
      </c>
      <c r="Q726" s="20" t="s">
        <v>512</v>
      </c>
      <c r="R726" s="34">
        <v>300000.0</v>
      </c>
      <c r="S726" s="34">
        <v>300000.0</v>
      </c>
      <c r="T726" s="34">
        <v>300000.0</v>
      </c>
      <c r="U726" s="20" t="s">
        <v>71</v>
      </c>
      <c r="V726" s="20"/>
      <c r="W726" s="38">
        <f t="shared" si="6"/>
        <v>300000</v>
      </c>
      <c r="X726" s="20"/>
      <c r="Y726" s="38">
        <f t="shared" si="7"/>
        <v>300000</v>
      </c>
      <c r="Z726" s="24">
        <f t="shared" si="3"/>
        <v>1</v>
      </c>
      <c r="AA726" s="23">
        <f t="shared" si="5"/>
        <v>300000</v>
      </c>
      <c r="AB726" s="20"/>
      <c r="AC726" s="20"/>
      <c r="AD726" s="20"/>
      <c r="AE726" s="20"/>
      <c r="AF726" s="20"/>
      <c r="AG726" s="20"/>
      <c r="AH726" s="20"/>
      <c r="AI726" s="20"/>
      <c r="AJ726" s="20"/>
      <c r="AK726" s="20"/>
      <c r="AL726" s="20"/>
      <c r="AM726" s="20"/>
      <c r="AN726" s="20"/>
      <c r="AO726" s="20"/>
      <c r="AP726" s="20"/>
      <c r="AQ726" s="20"/>
      <c r="AR726" s="20"/>
      <c r="AS726" s="20"/>
      <c r="AT726" s="20"/>
    </row>
    <row r="727">
      <c r="A727" s="20">
        <v>725.0</v>
      </c>
      <c r="B727" s="29" t="s">
        <v>374</v>
      </c>
      <c r="C727" s="20"/>
      <c r="D727" s="20"/>
      <c r="E727" s="20"/>
      <c r="F727" s="20"/>
      <c r="G727" s="20"/>
      <c r="H727" s="33" t="s">
        <v>77</v>
      </c>
      <c r="I727" s="33" t="s">
        <v>527</v>
      </c>
      <c r="J727" s="21"/>
      <c r="K727" s="20" t="str">
        <f t="shared" si="1"/>
        <v>WATER,ENVIRONMENT,CLIMATE CHANGE AND NATURAL RESOURCES</v>
      </c>
      <c r="L727" s="20" t="s">
        <v>75</v>
      </c>
      <c r="M727" s="20" t="str">
        <f t="shared" si="2"/>
        <v>WATER,ENVIRONMENT,CLIMATE CHANGE AND NATURAL RESOURCES</v>
      </c>
      <c r="N727" s="22" t="s">
        <v>510</v>
      </c>
      <c r="O727" s="22" t="s">
        <v>511</v>
      </c>
      <c r="P727" s="20" t="s">
        <v>512</v>
      </c>
      <c r="Q727" s="20" t="s">
        <v>512</v>
      </c>
      <c r="R727" s="34">
        <v>500000.0</v>
      </c>
      <c r="S727" s="34">
        <v>500000.0</v>
      </c>
      <c r="T727" s="34">
        <v>500000.0</v>
      </c>
      <c r="U727" s="20" t="s">
        <v>71</v>
      </c>
      <c r="V727" s="20"/>
      <c r="W727" s="38">
        <f t="shared" si="6"/>
        <v>500000</v>
      </c>
      <c r="X727" s="20"/>
      <c r="Y727" s="38">
        <f t="shared" si="7"/>
        <v>500000</v>
      </c>
      <c r="Z727" s="24">
        <f t="shared" si="3"/>
        <v>1</v>
      </c>
      <c r="AA727" s="23">
        <f t="shared" si="5"/>
        <v>500000</v>
      </c>
      <c r="AB727" s="20"/>
      <c r="AC727" s="20"/>
      <c r="AD727" s="20"/>
      <c r="AE727" s="20"/>
      <c r="AF727" s="20"/>
      <c r="AG727" s="20"/>
      <c r="AH727" s="20"/>
      <c r="AI727" s="20"/>
      <c r="AJ727" s="20"/>
      <c r="AK727" s="20"/>
      <c r="AL727" s="20"/>
      <c r="AM727" s="20"/>
      <c r="AN727" s="20"/>
      <c r="AO727" s="20"/>
      <c r="AP727" s="20"/>
      <c r="AQ727" s="20"/>
      <c r="AR727" s="20"/>
      <c r="AS727" s="20"/>
      <c r="AT727" s="20"/>
    </row>
    <row r="728">
      <c r="A728" s="20">
        <v>726.0</v>
      </c>
      <c r="B728" s="29" t="s">
        <v>717</v>
      </c>
      <c r="C728" s="20"/>
      <c r="D728" s="20"/>
      <c r="E728" s="20"/>
      <c r="F728" s="20"/>
      <c r="G728" s="20"/>
      <c r="H728" s="33" t="s">
        <v>77</v>
      </c>
      <c r="I728" s="33" t="s">
        <v>66</v>
      </c>
      <c r="J728" s="21"/>
      <c r="K728" s="20" t="str">
        <f t="shared" si="1"/>
        <v>WATER,ENVIRONMENT,CLIMATE CHANGE AND NATURAL RESOURCES</v>
      </c>
      <c r="L728" s="20" t="s">
        <v>75</v>
      </c>
      <c r="M728" s="20" t="str">
        <f t="shared" si="2"/>
        <v>WATER,ENVIRONMENT,CLIMATE CHANGE AND NATURAL RESOURCES</v>
      </c>
      <c r="N728" s="22" t="s">
        <v>510</v>
      </c>
      <c r="O728" s="22" t="s">
        <v>511</v>
      </c>
      <c r="P728" s="20" t="s">
        <v>512</v>
      </c>
      <c r="Q728" s="20" t="s">
        <v>512</v>
      </c>
      <c r="R728" s="34">
        <v>300000.0</v>
      </c>
      <c r="S728" s="34">
        <v>300000.0</v>
      </c>
      <c r="T728" s="34">
        <v>300000.0</v>
      </c>
      <c r="U728" s="20" t="s">
        <v>71</v>
      </c>
      <c r="V728" s="20"/>
      <c r="W728" s="38">
        <f t="shared" si="6"/>
        <v>300000</v>
      </c>
      <c r="X728" s="20"/>
      <c r="Y728" s="38">
        <f t="shared" si="7"/>
        <v>300000</v>
      </c>
      <c r="Z728" s="24">
        <f t="shared" si="3"/>
        <v>1</v>
      </c>
      <c r="AA728" s="23">
        <f t="shared" si="5"/>
        <v>300000</v>
      </c>
      <c r="AB728" s="20"/>
      <c r="AC728" s="20"/>
      <c r="AD728" s="20"/>
      <c r="AE728" s="20"/>
      <c r="AF728" s="20"/>
      <c r="AG728" s="20"/>
      <c r="AH728" s="20"/>
      <c r="AI728" s="20"/>
      <c r="AJ728" s="20"/>
      <c r="AK728" s="20"/>
      <c r="AL728" s="20"/>
      <c r="AM728" s="20"/>
      <c r="AN728" s="20"/>
      <c r="AO728" s="20"/>
      <c r="AP728" s="20"/>
      <c r="AQ728" s="20"/>
      <c r="AR728" s="20"/>
      <c r="AS728" s="20"/>
      <c r="AT728" s="20"/>
    </row>
    <row r="729">
      <c r="A729" s="20">
        <v>727.0</v>
      </c>
      <c r="B729" s="29" t="s">
        <v>718</v>
      </c>
      <c r="C729" s="20"/>
      <c r="D729" s="20"/>
      <c r="E729" s="20"/>
      <c r="F729" s="20"/>
      <c r="G729" s="20"/>
      <c r="H729" s="33" t="s">
        <v>65</v>
      </c>
      <c r="I729" s="33" t="s">
        <v>66</v>
      </c>
      <c r="J729" s="21"/>
      <c r="K729" s="20" t="str">
        <f t="shared" si="1"/>
        <v>EDUCATION,INFORMATION AND ICT</v>
      </c>
      <c r="L729" s="20" t="s">
        <v>84</v>
      </c>
      <c r="M729" s="20" t="str">
        <f t="shared" si="2"/>
        <v>EDUCATION,INFORMATION AND ICT</v>
      </c>
      <c r="N729" s="22" t="s">
        <v>510</v>
      </c>
      <c r="O729" s="22" t="s">
        <v>511</v>
      </c>
      <c r="P729" s="20" t="s">
        <v>512</v>
      </c>
      <c r="Q729" s="20" t="s">
        <v>512</v>
      </c>
      <c r="R729" s="34">
        <v>300000.0</v>
      </c>
      <c r="S729" s="34">
        <v>300000.0</v>
      </c>
      <c r="T729" s="34">
        <v>300000.0</v>
      </c>
      <c r="U729" s="20" t="s">
        <v>71</v>
      </c>
      <c r="V729" s="20"/>
      <c r="W729" s="38">
        <f t="shared" si="6"/>
        <v>300000</v>
      </c>
      <c r="X729" s="20"/>
      <c r="Y729" s="38">
        <f t="shared" si="7"/>
        <v>300000</v>
      </c>
      <c r="Z729" s="24">
        <f t="shared" si="3"/>
        <v>1</v>
      </c>
      <c r="AA729" s="23">
        <f t="shared" si="5"/>
        <v>300000</v>
      </c>
      <c r="AB729" s="20"/>
      <c r="AC729" s="20"/>
      <c r="AD729" s="20"/>
      <c r="AE729" s="20"/>
      <c r="AF729" s="20"/>
      <c r="AG729" s="20"/>
      <c r="AH729" s="20"/>
      <c r="AI729" s="20"/>
      <c r="AJ729" s="20"/>
      <c r="AK729" s="20"/>
      <c r="AL729" s="20"/>
      <c r="AM729" s="20"/>
      <c r="AN729" s="20"/>
      <c r="AO729" s="20"/>
      <c r="AP729" s="20"/>
      <c r="AQ729" s="20"/>
      <c r="AR729" s="20"/>
      <c r="AS729" s="20"/>
      <c r="AT729" s="20"/>
    </row>
    <row r="730">
      <c r="A730" s="20">
        <v>728.0</v>
      </c>
      <c r="B730" s="29" t="s">
        <v>719</v>
      </c>
      <c r="C730" s="20"/>
      <c r="D730" s="20"/>
      <c r="E730" s="20"/>
      <c r="F730" s="20"/>
      <c r="G730" s="20"/>
      <c r="H730" s="33" t="s">
        <v>65</v>
      </c>
      <c r="I730" s="33" t="s">
        <v>66</v>
      </c>
      <c r="J730" s="21"/>
      <c r="K730" s="20" t="str">
        <f t="shared" si="1"/>
        <v>EDUCATION,INFORMATION AND ICT</v>
      </c>
      <c r="L730" s="20" t="s">
        <v>84</v>
      </c>
      <c r="M730" s="20" t="str">
        <f t="shared" si="2"/>
        <v>EDUCATION,INFORMATION AND ICT</v>
      </c>
      <c r="N730" s="22" t="s">
        <v>510</v>
      </c>
      <c r="O730" s="22" t="s">
        <v>511</v>
      </c>
      <c r="P730" s="20" t="s">
        <v>512</v>
      </c>
      <c r="Q730" s="20" t="s">
        <v>512</v>
      </c>
      <c r="R730" s="34">
        <v>800000.0</v>
      </c>
      <c r="S730" s="34">
        <v>800000.0</v>
      </c>
      <c r="T730" s="34">
        <v>800000.0</v>
      </c>
      <c r="U730" s="20" t="s">
        <v>71</v>
      </c>
      <c r="V730" s="20"/>
      <c r="W730" s="38">
        <f t="shared" si="6"/>
        <v>800000</v>
      </c>
      <c r="X730" s="20"/>
      <c r="Y730" s="38">
        <f t="shared" si="7"/>
        <v>800000</v>
      </c>
      <c r="Z730" s="24">
        <f t="shared" si="3"/>
        <v>1</v>
      </c>
      <c r="AA730" s="23">
        <f t="shared" si="5"/>
        <v>800000</v>
      </c>
      <c r="AB730" s="20"/>
      <c r="AC730" s="20"/>
      <c r="AD730" s="20"/>
      <c r="AE730" s="20"/>
      <c r="AF730" s="20"/>
      <c r="AG730" s="20"/>
      <c r="AH730" s="20"/>
      <c r="AI730" s="20"/>
      <c r="AJ730" s="20"/>
      <c r="AK730" s="20"/>
      <c r="AL730" s="20"/>
      <c r="AM730" s="20"/>
      <c r="AN730" s="20"/>
      <c r="AO730" s="20"/>
      <c r="AP730" s="20"/>
      <c r="AQ730" s="20"/>
      <c r="AR730" s="20"/>
      <c r="AS730" s="20"/>
      <c r="AT730" s="20"/>
    </row>
    <row r="731">
      <c r="A731" s="20">
        <v>729.0</v>
      </c>
      <c r="B731" s="29" t="s">
        <v>720</v>
      </c>
      <c r="C731" s="20"/>
      <c r="D731" s="20"/>
      <c r="E731" s="20"/>
      <c r="F731" s="20"/>
      <c r="G731" s="20"/>
      <c r="H731" s="33" t="s">
        <v>77</v>
      </c>
      <c r="I731" s="33" t="s">
        <v>78</v>
      </c>
      <c r="J731" s="21"/>
      <c r="K731" s="20" t="str">
        <f t="shared" si="1"/>
        <v>EDUCATION,INFORMATION AND ICT</v>
      </c>
      <c r="L731" s="20" t="s">
        <v>84</v>
      </c>
      <c r="M731" s="20" t="str">
        <f t="shared" si="2"/>
        <v>EDUCATION,INFORMATION AND ICT</v>
      </c>
      <c r="N731" s="22" t="s">
        <v>510</v>
      </c>
      <c r="O731" s="22" t="s">
        <v>511</v>
      </c>
      <c r="P731" s="20" t="s">
        <v>512</v>
      </c>
      <c r="Q731" s="20" t="s">
        <v>512</v>
      </c>
      <c r="R731" s="34">
        <v>500000.0</v>
      </c>
      <c r="S731" s="34">
        <v>500000.0</v>
      </c>
      <c r="T731" s="34">
        <v>500000.0</v>
      </c>
      <c r="U731" s="20" t="s">
        <v>71</v>
      </c>
      <c r="V731" s="20"/>
      <c r="W731" s="38">
        <f t="shared" si="6"/>
        <v>500000</v>
      </c>
      <c r="X731" s="20"/>
      <c r="Y731" s="38">
        <f t="shared" si="7"/>
        <v>500000</v>
      </c>
      <c r="Z731" s="24">
        <f t="shared" si="3"/>
        <v>1</v>
      </c>
      <c r="AA731" s="23">
        <f t="shared" si="5"/>
        <v>500000</v>
      </c>
      <c r="AB731" s="20"/>
      <c r="AC731" s="20"/>
      <c r="AD731" s="20"/>
      <c r="AE731" s="20"/>
      <c r="AF731" s="20"/>
      <c r="AG731" s="20"/>
      <c r="AH731" s="20"/>
      <c r="AI731" s="20"/>
      <c r="AJ731" s="20"/>
      <c r="AK731" s="20"/>
      <c r="AL731" s="20"/>
      <c r="AM731" s="20"/>
      <c r="AN731" s="20"/>
      <c r="AO731" s="20"/>
      <c r="AP731" s="20"/>
      <c r="AQ731" s="20"/>
      <c r="AR731" s="20"/>
      <c r="AS731" s="20"/>
      <c r="AT731" s="20"/>
    </row>
    <row r="732">
      <c r="A732" s="20">
        <v>730.0</v>
      </c>
      <c r="B732" s="29" t="s">
        <v>721</v>
      </c>
      <c r="C732" s="20"/>
      <c r="D732" s="20"/>
      <c r="E732" s="20"/>
      <c r="F732" s="20"/>
      <c r="G732" s="20"/>
      <c r="H732" s="33" t="s">
        <v>77</v>
      </c>
      <c r="I732" s="33" t="s">
        <v>77</v>
      </c>
      <c r="J732" s="21"/>
      <c r="K732" s="20" t="str">
        <f t="shared" si="1"/>
        <v>ROADS,TRANSPORT AND PUBLIC WORKS</v>
      </c>
      <c r="L732" s="20" t="s">
        <v>107</v>
      </c>
      <c r="M732" s="20" t="str">
        <f t="shared" si="2"/>
        <v>ROADS,TRANSPORT AND PUBLIC WORKS</v>
      </c>
      <c r="N732" s="22" t="s">
        <v>510</v>
      </c>
      <c r="O732" s="22" t="s">
        <v>511</v>
      </c>
      <c r="P732" s="20" t="s">
        <v>512</v>
      </c>
      <c r="Q732" s="20" t="s">
        <v>512</v>
      </c>
      <c r="R732" s="34">
        <v>500000.0</v>
      </c>
      <c r="S732" s="34">
        <v>500000.0</v>
      </c>
      <c r="T732" s="34">
        <v>500000.0</v>
      </c>
      <c r="U732" s="20" t="s">
        <v>71</v>
      </c>
      <c r="V732" s="20"/>
      <c r="W732" s="38">
        <f t="shared" si="6"/>
        <v>500000</v>
      </c>
      <c r="X732" s="20"/>
      <c r="Y732" s="38">
        <f t="shared" si="7"/>
        <v>500000</v>
      </c>
      <c r="Z732" s="24">
        <f t="shared" si="3"/>
        <v>1</v>
      </c>
      <c r="AA732" s="23">
        <f t="shared" si="5"/>
        <v>500000</v>
      </c>
      <c r="AB732" s="20"/>
      <c r="AC732" s="20"/>
      <c r="AD732" s="20"/>
      <c r="AE732" s="20"/>
      <c r="AF732" s="20"/>
      <c r="AG732" s="20"/>
      <c r="AH732" s="20"/>
      <c r="AI732" s="20"/>
      <c r="AJ732" s="20"/>
      <c r="AK732" s="20"/>
      <c r="AL732" s="20"/>
      <c r="AM732" s="20"/>
      <c r="AN732" s="20"/>
      <c r="AO732" s="20"/>
      <c r="AP732" s="20"/>
      <c r="AQ732" s="20"/>
      <c r="AR732" s="20"/>
      <c r="AS732" s="20"/>
      <c r="AT732" s="20"/>
    </row>
    <row r="733">
      <c r="A733" s="20">
        <v>731.0</v>
      </c>
      <c r="B733" s="29" t="s">
        <v>721</v>
      </c>
      <c r="C733" s="20"/>
      <c r="D733" s="20"/>
      <c r="E733" s="20"/>
      <c r="F733" s="20"/>
      <c r="G733" s="20"/>
      <c r="H733" s="33" t="s">
        <v>77</v>
      </c>
      <c r="I733" s="33" t="s">
        <v>77</v>
      </c>
      <c r="J733" s="21"/>
      <c r="K733" s="20" t="str">
        <f t="shared" si="1"/>
        <v>ROADS,TRANSPORT AND PUBLIC WORKS</v>
      </c>
      <c r="L733" s="20" t="s">
        <v>107</v>
      </c>
      <c r="M733" s="20" t="str">
        <f t="shared" si="2"/>
        <v>ROADS,TRANSPORT AND PUBLIC WORKS</v>
      </c>
      <c r="N733" s="22" t="s">
        <v>510</v>
      </c>
      <c r="O733" s="22" t="s">
        <v>511</v>
      </c>
      <c r="P733" s="20" t="s">
        <v>512</v>
      </c>
      <c r="Q733" s="20" t="s">
        <v>512</v>
      </c>
      <c r="R733" s="34">
        <v>1000000.0</v>
      </c>
      <c r="S733" s="34">
        <v>1000000.0</v>
      </c>
      <c r="T733" s="34">
        <v>1000000.0</v>
      </c>
      <c r="U733" s="20" t="s">
        <v>71</v>
      </c>
      <c r="V733" s="20"/>
      <c r="W733" s="38">
        <f t="shared" si="6"/>
        <v>1000000</v>
      </c>
      <c r="X733" s="20"/>
      <c r="Y733" s="38">
        <f t="shared" si="7"/>
        <v>1000000</v>
      </c>
      <c r="Z733" s="24">
        <f t="shared" si="3"/>
        <v>1</v>
      </c>
      <c r="AA733" s="23">
        <f t="shared" si="5"/>
        <v>1000000</v>
      </c>
      <c r="AB733" s="20"/>
      <c r="AC733" s="20"/>
      <c r="AD733" s="20"/>
      <c r="AE733" s="20"/>
      <c r="AF733" s="20"/>
      <c r="AG733" s="20"/>
      <c r="AH733" s="20"/>
      <c r="AI733" s="20"/>
      <c r="AJ733" s="20"/>
      <c r="AK733" s="20"/>
      <c r="AL733" s="20"/>
      <c r="AM733" s="20"/>
      <c r="AN733" s="20"/>
      <c r="AO733" s="20"/>
      <c r="AP733" s="20"/>
      <c r="AQ733" s="20"/>
      <c r="AR733" s="20"/>
      <c r="AS733" s="20"/>
      <c r="AT733" s="20"/>
    </row>
    <row r="734">
      <c r="A734" s="20">
        <v>732.0</v>
      </c>
      <c r="B734" s="29" t="s">
        <v>722</v>
      </c>
      <c r="C734" s="20"/>
      <c r="D734" s="20"/>
      <c r="E734" s="20"/>
      <c r="F734" s="20"/>
      <c r="G734" s="20"/>
      <c r="H734" s="33" t="s">
        <v>65</v>
      </c>
      <c r="I734" s="33" t="s">
        <v>66</v>
      </c>
      <c r="J734" s="21"/>
      <c r="K734" s="20" t="str">
        <f t="shared" si="1"/>
        <v>ROADS,TRANSPORT AND PUBLIC WORKS</v>
      </c>
      <c r="L734" s="20" t="s">
        <v>107</v>
      </c>
      <c r="M734" s="20" t="str">
        <f t="shared" si="2"/>
        <v>ROADS,TRANSPORT AND PUBLIC WORKS</v>
      </c>
      <c r="N734" s="22" t="s">
        <v>510</v>
      </c>
      <c r="O734" s="22" t="s">
        <v>511</v>
      </c>
      <c r="P734" s="20" t="s">
        <v>512</v>
      </c>
      <c r="Q734" s="20" t="s">
        <v>512</v>
      </c>
      <c r="R734" s="34">
        <v>500000.0</v>
      </c>
      <c r="S734" s="34">
        <v>500000.0</v>
      </c>
      <c r="T734" s="34">
        <v>500000.0</v>
      </c>
      <c r="U734" s="20" t="s">
        <v>71</v>
      </c>
      <c r="V734" s="20"/>
      <c r="W734" s="38">
        <f t="shared" si="6"/>
        <v>500000</v>
      </c>
      <c r="X734" s="20"/>
      <c r="Y734" s="38">
        <f t="shared" si="7"/>
        <v>500000</v>
      </c>
      <c r="Z734" s="24">
        <f t="shared" si="3"/>
        <v>1</v>
      </c>
      <c r="AA734" s="23">
        <f t="shared" si="5"/>
        <v>500000</v>
      </c>
      <c r="AB734" s="20"/>
      <c r="AC734" s="20"/>
      <c r="AD734" s="20"/>
      <c r="AE734" s="20"/>
      <c r="AF734" s="20"/>
      <c r="AG734" s="20"/>
      <c r="AH734" s="20"/>
      <c r="AI734" s="20"/>
      <c r="AJ734" s="20"/>
      <c r="AK734" s="20"/>
      <c r="AL734" s="20"/>
      <c r="AM734" s="20"/>
      <c r="AN734" s="20"/>
      <c r="AO734" s="20"/>
      <c r="AP734" s="20"/>
      <c r="AQ734" s="20"/>
      <c r="AR734" s="20"/>
      <c r="AS734" s="20"/>
      <c r="AT734" s="20"/>
    </row>
    <row r="735">
      <c r="A735" s="20">
        <v>733.0</v>
      </c>
      <c r="B735" s="29" t="s">
        <v>723</v>
      </c>
      <c r="C735" s="20"/>
      <c r="D735" s="20"/>
      <c r="E735" s="20"/>
      <c r="F735" s="20"/>
      <c r="G735" s="20"/>
      <c r="H735" s="33" t="s">
        <v>65</v>
      </c>
      <c r="I735" s="33" t="s">
        <v>66</v>
      </c>
      <c r="J735" s="21"/>
      <c r="K735" s="20" t="str">
        <f t="shared" si="1"/>
        <v>ROADS,TRANSPORT AND PUBLIC WORKS</v>
      </c>
      <c r="L735" s="20" t="s">
        <v>107</v>
      </c>
      <c r="M735" s="20" t="str">
        <f t="shared" si="2"/>
        <v>ROADS,TRANSPORT AND PUBLIC WORKS</v>
      </c>
      <c r="N735" s="22" t="s">
        <v>510</v>
      </c>
      <c r="O735" s="22" t="s">
        <v>511</v>
      </c>
      <c r="P735" s="20" t="s">
        <v>512</v>
      </c>
      <c r="Q735" s="20" t="s">
        <v>512</v>
      </c>
      <c r="R735" s="34">
        <v>300000.0</v>
      </c>
      <c r="S735" s="34">
        <v>300000.0</v>
      </c>
      <c r="T735" s="34">
        <v>300000.0</v>
      </c>
      <c r="U735" s="20" t="s">
        <v>71</v>
      </c>
      <c r="V735" s="20"/>
      <c r="W735" s="38">
        <f t="shared" si="6"/>
        <v>300000</v>
      </c>
      <c r="X735" s="20"/>
      <c r="Y735" s="38">
        <f t="shared" si="7"/>
        <v>300000</v>
      </c>
      <c r="Z735" s="24">
        <f t="shared" si="3"/>
        <v>1</v>
      </c>
      <c r="AA735" s="23">
        <f t="shared" si="5"/>
        <v>300000</v>
      </c>
      <c r="AB735" s="20"/>
      <c r="AC735" s="20"/>
      <c r="AD735" s="20"/>
      <c r="AE735" s="20"/>
      <c r="AF735" s="20"/>
      <c r="AG735" s="20"/>
      <c r="AH735" s="20"/>
      <c r="AI735" s="20"/>
      <c r="AJ735" s="20"/>
      <c r="AK735" s="20"/>
      <c r="AL735" s="20"/>
      <c r="AM735" s="20"/>
      <c r="AN735" s="20"/>
      <c r="AO735" s="20"/>
      <c r="AP735" s="20"/>
      <c r="AQ735" s="20"/>
      <c r="AR735" s="20"/>
      <c r="AS735" s="20"/>
      <c r="AT735" s="20"/>
    </row>
    <row r="736">
      <c r="A736" s="20">
        <v>734.0</v>
      </c>
      <c r="B736" s="29" t="s">
        <v>723</v>
      </c>
      <c r="C736" s="20"/>
      <c r="D736" s="20"/>
      <c r="E736" s="20"/>
      <c r="F736" s="20"/>
      <c r="G736" s="20"/>
      <c r="H736" s="33" t="s">
        <v>65</v>
      </c>
      <c r="I736" s="33" t="s">
        <v>66</v>
      </c>
      <c r="J736" s="21"/>
      <c r="K736" s="20" t="str">
        <f t="shared" si="1"/>
        <v>ROADS,TRANSPORT AND PUBLIC WORKS</v>
      </c>
      <c r="L736" s="20" t="s">
        <v>107</v>
      </c>
      <c r="M736" s="20" t="str">
        <f t="shared" si="2"/>
        <v>ROADS,TRANSPORT AND PUBLIC WORKS</v>
      </c>
      <c r="N736" s="22" t="s">
        <v>510</v>
      </c>
      <c r="O736" s="22" t="s">
        <v>511</v>
      </c>
      <c r="P736" s="20" t="s">
        <v>512</v>
      </c>
      <c r="Q736" s="20" t="s">
        <v>512</v>
      </c>
      <c r="R736" s="34">
        <v>500000.0</v>
      </c>
      <c r="S736" s="34">
        <v>500000.0</v>
      </c>
      <c r="T736" s="34">
        <v>500000.0</v>
      </c>
      <c r="U736" s="20" t="s">
        <v>71</v>
      </c>
      <c r="V736" s="20"/>
      <c r="W736" s="38">
        <f t="shared" si="6"/>
        <v>500000</v>
      </c>
      <c r="X736" s="20"/>
      <c r="Y736" s="38">
        <f t="shared" si="7"/>
        <v>500000</v>
      </c>
      <c r="Z736" s="24">
        <f t="shared" si="3"/>
        <v>1</v>
      </c>
      <c r="AA736" s="23">
        <f t="shared" si="5"/>
        <v>500000</v>
      </c>
      <c r="AB736" s="20"/>
      <c r="AC736" s="20"/>
      <c r="AD736" s="20"/>
      <c r="AE736" s="20"/>
      <c r="AF736" s="20"/>
      <c r="AG736" s="20"/>
      <c r="AH736" s="20"/>
      <c r="AI736" s="20"/>
      <c r="AJ736" s="20"/>
      <c r="AK736" s="20"/>
      <c r="AL736" s="20"/>
      <c r="AM736" s="20"/>
      <c r="AN736" s="20"/>
      <c r="AO736" s="20"/>
      <c r="AP736" s="20"/>
      <c r="AQ736" s="20"/>
      <c r="AR736" s="20"/>
      <c r="AS736" s="20"/>
      <c r="AT736" s="20"/>
    </row>
    <row r="737">
      <c r="A737" s="20">
        <v>735.0</v>
      </c>
      <c r="B737" s="29" t="s">
        <v>724</v>
      </c>
      <c r="C737" s="20"/>
      <c r="D737" s="20"/>
      <c r="E737" s="20"/>
      <c r="F737" s="20"/>
      <c r="G737" s="20"/>
      <c r="H737" s="33" t="s">
        <v>113</v>
      </c>
      <c r="I737" s="33" t="s">
        <v>397</v>
      </c>
      <c r="J737" s="21"/>
      <c r="K737" s="20" t="str">
        <f t="shared" si="1"/>
        <v>ROADS,TRANSPORT AND PUBLIC WORKS</v>
      </c>
      <c r="L737" s="20" t="s">
        <v>107</v>
      </c>
      <c r="M737" s="20" t="str">
        <f t="shared" si="2"/>
        <v>ROADS,TRANSPORT AND PUBLIC WORKS</v>
      </c>
      <c r="N737" s="22" t="s">
        <v>510</v>
      </c>
      <c r="O737" s="22" t="s">
        <v>511</v>
      </c>
      <c r="P737" s="20" t="s">
        <v>512</v>
      </c>
      <c r="Q737" s="20" t="s">
        <v>512</v>
      </c>
      <c r="R737" s="34">
        <v>500000.0</v>
      </c>
      <c r="S737" s="34">
        <v>500000.0</v>
      </c>
      <c r="T737" s="34">
        <v>500000.0</v>
      </c>
      <c r="U737" s="20" t="s">
        <v>71</v>
      </c>
      <c r="V737" s="20"/>
      <c r="W737" s="38">
        <f t="shared" si="6"/>
        <v>500000</v>
      </c>
      <c r="X737" s="20"/>
      <c r="Y737" s="38">
        <f t="shared" si="7"/>
        <v>500000</v>
      </c>
      <c r="Z737" s="24">
        <f t="shared" si="3"/>
        <v>1</v>
      </c>
      <c r="AA737" s="23">
        <f t="shared" si="5"/>
        <v>500000</v>
      </c>
      <c r="AB737" s="20"/>
      <c r="AC737" s="20"/>
      <c r="AD737" s="20"/>
      <c r="AE737" s="20"/>
      <c r="AF737" s="20"/>
      <c r="AG737" s="20"/>
      <c r="AH737" s="20"/>
      <c r="AI737" s="20"/>
      <c r="AJ737" s="20"/>
      <c r="AK737" s="20"/>
      <c r="AL737" s="20"/>
      <c r="AM737" s="20"/>
      <c r="AN737" s="20"/>
      <c r="AO737" s="20"/>
      <c r="AP737" s="20"/>
      <c r="AQ737" s="20"/>
      <c r="AR737" s="20"/>
      <c r="AS737" s="20"/>
      <c r="AT737" s="20"/>
    </row>
    <row r="738">
      <c r="A738" s="20">
        <v>736.0</v>
      </c>
      <c r="B738" s="29" t="s">
        <v>725</v>
      </c>
      <c r="C738" s="20"/>
      <c r="D738" s="20"/>
      <c r="E738" s="20"/>
      <c r="F738" s="20"/>
      <c r="G738" s="20"/>
      <c r="H738" s="33" t="s">
        <v>77</v>
      </c>
      <c r="I738" s="33" t="s">
        <v>78</v>
      </c>
      <c r="J738" s="21"/>
      <c r="K738" s="20" t="str">
        <f t="shared" si="1"/>
        <v>WATER,ENVIRONMENT,CLIMATE CHANGE AND NATURAL RESOURCES</v>
      </c>
      <c r="L738" s="20" t="s">
        <v>75</v>
      </c>
      <c r="M738" s="20" t="str">
        <f t="shared" si="2"/>
        <v>WATER,ENVIRONMENT,CLIMATE CHANGE AND NATURAL RESOURCES</v>
      </c>
      <c r="N738" s="22" t="s">
        <v>510</v>
      </c>
      <c r="O738" s="22" t="s">
        <v>511</v>
      </c>
      <c r="P738" s="20" t="s">
        <v>512</v>
      </c>
      <c r="Q738" s="20" t="s">
        <v>512</v>
      </c>
      <c r="R738" s="34">
        <v>1300000.0</v>
      </c>
      <c r="S738" s="34">
        <v>1300000.0</v>
      </c>
      <c r="T738" s="34">
        <v>1300000.0</v>
      </c>
      <c r="U738" s="20" t="s">
        <v>71</v>
      </c>
      <c r="V738" s="20"/>
      <c r="W738" s="38">
        <f t="shared" si="6"/>
        <v>1300000</v>
      </c>
      <c r="X738" s="20"/>
      <c r="Y738" s="38">
        <f t="shared" si="7"/>
        <v>1300000</v>
      </c>
      <c r="Z738" s="24">
        <f t="shared" si="3"/>
        <v>1</v>
      </c>
      <c r="AA738" s="23">
        <f t="shared" si="5"/>
        <v>1300000</v>
      </c>
      <c r="AB738" s="20"/>
      <c r="AC738" s="20"/>
      <c r="AD738" s="20"/>
      <c r="AE738" s="20"/>
      <c r="AF738" s="20"/>
      <c r="AG738" s="20"/>
      <c r="AH738" s="20"/>
      <c r="AI738" s="20"/>
      <c r="AJ738" s="20"/>
      <c r="AK738" s="20"/>
      <c r="AL738" s="20"/>
      <c r="AM738" s="20"/>
      <c r="AN738" s="20"/>
      <c r="AO738" s="20"/>
      <c r="AP738" s="20"/>
      <c r="AQ738" s="20"/>
      <c r="AR738" s="20"/>
      <c r="AS738" s="20"/>
      <c r="AT738" s="20"/>
    </row>
    <row r="739">
      <c r="A739" s="20">
        <v>737.0</v>
      </c>
      <c r="B739" s="29" t="s">
        <v>726</v>
      </c>
      <c r="C739" s="20"/>
      <c r="D739" s="20"/>
      <c r="E739" s="20"/>
      <c r="F739" s="20"/>
      <c r="G739" s="20"/>
      <c r="H739" s="33" t="s">
        <v>77</v>
      </c>
      <c r="I739" s="33" t="s">
        <v>128</v>
      </c>
      <c r="J739" s="21"/>
      <c r="K739" s="20" t="str">
        <f t="shared" si="1"/>
        <v>ROADS,TRANSPORT AND PUBLIC WORKS</v>
      </c>
      <c r="L739" s="20" t="s">
        <v>107</v>
      </c>
      <c r="M739" s="20" t="str">
        <f t="shared" si="2"/>
        <v>ROADS,TRANSPORT AND PUBLIC WORKS</v>
      </c>
      <c r="N739" s="22" t="s">
        <v>510</v>
      </c>
      <c r="O739" s="22" t="s">
        <v>511</v>
      </c>
      <c r="P739" s="20" t="s">
        <v>512</v>
      </c>
      <c r="Q739" s="20" t="s">
        <v>512</v>
      </c>
      <c r="R739" s="34">
        <v>300000.0</v>
      </c>
      <c r="S739" s="34">
        <v>300000.0</v>
      </c>
      <c r="T739" s="34">
        <v>300000.0</v>
      </c>
      <c r="U739" s="20" t="s">
        <v>71</v>
      </c>
      <c r="V739" s="20"/>
      <c r="W739" s="38">
        <f t="shared" si="6"/>
        <v>300000</v>
      </c>
      <c r="X739" s="20"/>
      <c r="Y739" s="38">
        <f t="shared" si="7"/>
        <v>300000</v>
      </c>
      <c r="Z739" s="24">
        <f t="shared" si="3"/>
        <v>1</v>
      </c>
      <c r="AA739" s="23">
        <f t="shared" si="5"/>
        <v>300000</v>
      </c>
      <c r="AB739" s="20"/>
      <c r="AC739" s="20"/>
      <c r="AD739" s="20"/>
      <c r="AE739" s="20"/>
      <c r="AF739" s="20"/>
      <c r="AG739" s="20"/>
      <c r="AH739" s="20"/>
      <c r="AI739" s="20"/>
      <c r="AJ739" s="20"/>
      <c r="AK739" s="20"/>
      <c r="AL739" s="20"/>
      <c r="AM739" s="20"/>
      <c r="AN739" s="20"/>
      <c r="AO739" s="20"/>
      <c r="AP739" s="20"/>
      <c r="AQ739" s="20"/>
      <c r="AR739" s="20"/>
      <c r="AS739" s="20"/>
      <c r="AT739" s="20"/>
    </row>
    <row r="740">
      <c r="A740" s="20">
        <v>738.0</v>
      </c>
      <c r="B740" s="29" t="s">
        <v>727</v>
      </c>
      <c r="C740" s="20"/>
      <c r="D740" s="20"/>
      <c r="E740" s="20"/>
      <c r="F740" s="20"/>
      <c r="G740" s="20"/>
      <c r="H740" s="33" t="s">
        <v>77</v>
      </c>
      <c r="I740" s="33" t="s">
        <v>77</v>
      </c>
      <c r="J740" s="21"/>
      <c r="K740" s="20" t="str">
        <f t="shared" si="1"/>
        <v>WATER,ENVIRONMENT,CLIMATE CHANGE AND NATURAL RESOURCES</v>
      </c>
      <c r="L740" s="20" t="s">
        <v>75</v>
      </c>
      <c r="M740" s="20" t="str">
        <f t="shared" si="2"/>
        <v>WATER,ENVIRONMENT,CLIMATE CHANGE AND NATURAL RESOURCES</v>
      </c>
      <c r="N740" s="22" t="s">
        <v>510</v>
      </c>
      <c r="O740" s="22" t="s">
        <v>511</v>
      </c>
      <c r="P740" s="20" t="s">
        <v>512</v>
      </c>
      <c r="Q740" s="20" t="s">
        <v>512</v>
      </c>
      <c r="R740" s="34">
        <v>1000000.0</v>
      </c>
      <c r="S740" s="34">
        <v>1000000.0</v>
      </c>
      <c r="T740" s="34">
        <v>1000000.0</v>
      </c>
      <c r="U740" s="20" t="s">
        <v>71</v>
      </c>
      <c r="V740" s="20"/>
      <c r="W740" s="38">
        <f t="shared" si="6"/>
        <v>1000000</v>
      </c>
      <c r="X740" s="20"/>
      <c r="Y740" s="38">
        <f t="shared" si="7"/>
        <v>1000000</v>
      </c>
      <c r="Z740" s="24">
        <f t="shared" si="3"/>
        <v>1</v>
      </c>
      <c r="AA740" s="23">
        <f t="shared" si="5"/>
        <v>1000000</v>
      </c>
      <c r="AB740" s="20"/>
      <c r="AC740" s="20"/>
      <c r="AD740" s="20"/>
      <c r="AE740" s="20"/>
      <c r="AF740" s="20"/>
      <c r="AG740" s="20"/>
      <c r="AH740" s="20"/>
      <c r="AI740" s="20"/>
      <c r="AJ740" s="20"/>
      <c r="AK740" s="20"/>
      <c r="AL740" s="20"/>
      <c r="AM740" s="20"/>
      <c r="AN740" s="20"/>
      <c r="AO740" s="20"/>
      <c r="AP740" s="20"/>
      <c r="AQ740" s="20"/>
      <c r="AR740" s="20"/>
      <c r="AS740" s="20"/>
      <c r="AT740" s="20"/>
    </row>
    <row r="741">
      <c r="A741" s="20">
        <v>739.0</v>
      </c>
      <c r="B741" s="29" t="s">
        <v>728</v>
      </c>
      <c r="C741" s="20"/>
      <c r="D741" s="20"/>
      <c r="E741" s="20"/>
      <c r="F741" s="20"/>
      <c r="G741" s="20"/>
      <c r="H741" s="33" t="s">
        <v>65</v>
      </c>
      <c r="I741" s="33" t="s">
        <v>74</v>
      </c>
      <c r="J741" s="21"/>
      <c r="K741" s="20" t="str">
        <f t="shared" si="1"/>
        <v>Health services</v>
      </c>
      <c r="L741" s="20" t="s">
        <v>67</v>
      </c>
      <c r="M741" s="20" t="str">
        <f t="shared" si="2"/>
        <v>Health services</v>
      </c>
      <c r="N741" s="22" t="s">
        <v>510</v>
      </c>
      <c r="O741" s="22" t="s">
        <v>511</v>
      </c>
      <c r="P741" s="20" t="s">
        <v>512</v>
      </c>
      <c r="Q741" s="20" t="s">
        <v>512</v>
      </c>
      <c r="R741" s="34">
        <v>1999587.0</v>
      </c>
      <c r="S741" s="34">
        <v>1999587.0</v>
      </c>
      <c r="T741" s="34">
        <v>1999587.0</v>
      </c>
      <c r="U741" s="20" t="s">
        <v>71</v>
      </c>
      <c r="V741" s="20"/>
      <c r="W741" s="38">
        <f t="shared" si="6"/>
        <v>1999587</v>
      </c>
      <c r="X741" s="20"/>
      <c r="Y741" s="38">
        <f t="shared" si="7"/>
        <v>1999587</v>
      </c>
      <c r="Z741" s="24">
        <f t="shared" si="3"/>
        <v>1</v>
      </c>
      <c r="AA741" s="23">
        <f t="shared" si="5"/>
        <v>1999587</v>
      </c>
      <c r="AB741" s="20"/>
      <c r="AC741" s="20"/>
      <c r="AD741" s="20"/>
      <c r="AE741" s="20"/>
      <c r="AF741" s="20"/>
      <c r="AG741" s="20"/>
      <c r="AH741" s="20"/>
      <c r="AI741" s="20"/>
      <c r="AJ741" s="20"/>
      <c r="AK741" s="20"/>
      <c r="AL741" s="20"/>
      <c r="AM741" s="20"/>
      <c r="AN741" s="20"/>
      <c r="AO741" s="20"/>
      <c r="AP741" s="20"/>
      <c r="AQ741" s="20"/>
      <c r="AR741" s="20"/>
      <c r="AS741" s="20"/>
      <c r="AT741" s="20"/>
    </row>
    <row r="742">
      <c r="A742" s="20">
        <v>740.0</v>
      </c>
      <c r="B742" s="29" t="s">
        <v>729</v>
      </c>
      <c r="C742" s="20"/>
      <c r="D742" s="20"/>
      <c r="E742" s="20"/>
      <c r="F742" s="20"/>
      <c r="G742" s="20"/>
      <c r="H742" s="33" t="s">
        <v>113</v>
      </c>
      <c r="I742" s="33" t="s">
        <v>132</v>
      </c>
      <c r="J742" s="21"/>
      <c r="K742" s="20" t="str">
        <f t="shared" si="1"/>
        <v>ROADS,TRANSPORT AND PUBLIC WORKS</v>
      </c>
      <c r="L742" s="20" t="s">
        <v>107</v>
      </c>
      <c r="M742" s="20" t="str">
        <f t="shared" si="2"/>
        <v>ROADS,TRANSPORT AND PUBLIC WORKS</v>
      </c>
      <c r="N742" s="22" t="s">
        <v>510</v>
      </c>
      <c r="O742" s="22" t="s">
        <v>511</v>
      </c>
      <c r="P742" s="20" t="s">
        <v>512</v>
      </c>
      <c r="Q742" s="20" t="s">
        <v>512</v>
      </c>
      <c r="R742" s="34">
        <v>600000.0</v>
      </c>
      <c r="S742" s="34">
        <v>600000.0</v>
      </c>
      <c r="T742" s="34">
        <v>600000.0</v>
      </c>
      <c r="U742" s="20" t="s">
        <v>71</v>
      </c>
      <c r="V742" s="20"/>
      <c r="W742" s="38">
        <f t="shared" si="6"/>
        <v>600000</v>
      </c>
      <c r="X742" s="20"/>
      <c r="Y742" s="38">
        <f t="shared" si="7"/>
        <v>600000</v>
      </c>
      <c r="Z742" s="24">
        <f t="shared" si="3"/>
        <v>1</v>
      </c>
      <c r="AA742" s="23">
        <f t="shared" si="5"/>
        <v>600000</v>
      </c>
      <c r="AB742" s="20"/>
      <c r="AC742" s="20"/>
      <c r="AD742" s="20"/>
      <c r="AE742" s="20"/>
      <c r="AF742" s="20"/>
      <c r="AG742" s="20"/>
      <c r="AH742" s="20"/>
      <c r="AI742" s="20"/>
      <c r="AJ742" s="20"/>
      <c r="AK742" s="20"/>
      <c r="AL742" s="20"/>
      <c r="AM742" s="20"/>
      <c r="AN742" s="20"/>
      <c r="AO742" s="20"/>
      <c r="AP742" s="20"/>
      <c r="AQ742" s="20"/>
      <c r="AR742" s="20"/>
      <c r="AS742" s="20"/>
      <c r="AT742" s="20"/>
    </row>
    <row r="743">
      <c r="A743" s="20">
        <v>741.0</v>
      </c>
      <c r="B743" s="29" t="s">
        <v>730</v>
      </c>
      <c r="C743" s="20"/>
      <c r="D743" s="20"/>
      <c r="E743" s="20"/>
      <c r="F743" s="20"/>
      <c r="G743" s="20"/>
      <c r="H743" s="33" t="s">
        <v>77</v>
      </c>
      <c r="I743" s="33" t="s">
        <v>180</v>
      </c>
      <c r="J743" s="21"/>
      <c r="K743" s="20" t="str">
        <f t="shared" si="1"/>
        <v>ROADS,TRANSPORT AND PUBLIC WORKS</v>
      </c>
      <c r="L743" s="20" t="s">
        <v>107</v>
      </c>
      <c r="M743" s="20" t="str">
        <f t="shared" si="2"/>
        <v>ROADS,TRANSPORT AND PUBLIC WORKS</v>
      </c>
      <c r="N743" s="22" t="s">
        <v>510</v>
      </c>
      <c r="O743" s="22" t="s">
        <v>511</v>
      </c>
      <c r="P743" s="20" t="s">
        <v>512</v>
      </c>
      <c r="Q743" s="20" t="s">
        <v>512</v>
      </c>
      <c r="R743" s="34">
        <v>600000.0</v>
      </c>
      <c r="S743" s="34">
        <v>600000.0</v>
      </c>
      <c r="T743" s="34">
        <v>600000.0</v>
      </c>
      <c r="U743" s="20" t="s">
        <v>71</v>
      </c>
      <c r="V743" s="20"/>
      <c r="W743" s="38">
        <f t="shared" si="6"/>
        <v>600000</v>
      </c>
      <c r="X743" s="20"/>
      <c r="Y743" s="38">
        <f t="shared" si="7"/>
        <v>600000</v>
      </c>
      <c r="Z743" s="24">
        <f t="shared" si="3"/>
        <v>1</v>
      </c>
      <c r="AA743" s="23">
        <f t="shared" si="5"/>
        <v>600000</v>
      </c>
      <c r="AB743" s="20"/>
      <c r="AC743" s="20"/>
      <c r="AD743" s="20"/>
      <c r="AE743" s="20"/>
      <c r="AF743" s="20"/>
      <c r="AG743" s="20"/>
      <c r="AH743" s="20"/>
      <c r="AI743" s="20"/>
      <c r="AJ743" s="20"/>
      <c r="AK743" s="20"/>
      <c r="AL743" s="20"/>
      <c r="AM743" s="20"/>
      <c r="AN743" s="20"/>
      <c r="AO743" s="20"/>
      <c r="AP743" s="20"/>
      <c r="AQ743" s="20"/>
      <c r="AR743" s="20"/>
      <c r="AS743" s="20"/>
      <c r="AT743" s="20"/>
    </row>
    <row r="744">
      <c r="A744" s="20">
        <v>742.0</v>
      </c>
      <c r="B744" s="29" t="s">
        <v>731</v>
      </c>
      <c r="C744" s="20"/>
      <c r="D744" s="20"/>
      <c r="E744" s="20"/>
      <c r="F744" s="20"/>
      <c r="G744" s="20"/>
      <c r="H744" s="33" t="s">
        <v>65</v>
      </c>
      <c r="I744" s="33" t="s">
        <v>87</v>
      </c>
      <c r="J744" s="21"/>
      <c r="K744" s="20" t="str">
        <f t="shared" si="1"/>
        <v>ROADS,TRANSPORT AND PUBLIC WORKS</v>
      </c>
      <c r="L744" s="20" t="s">
        <v>107</v>
      </c>
      <c r="M744" s="20" t="str">
        <f t="shared" si="2"/>
        <v>ROADS,TRANSPORT AND PUBLIC WORKS</v>
      </c>
      <c r="N744" s="22" t="s">
        <v>510</v>
      </c>
      <c r="O744" s="22" t="s">
        <v>511</v>
      </c>
      <c r="P744" s="20" t="s">
        <v>512</v>
      </c>
      <c r="Q744" s="20" t="s">
        <v>512</v>
      </c>
      <c r="R744" s="34">
        <v>1000000.0</v>
      </c>
      <c r="S744" s="34">
        <v>1000000.0</v>
      </c>
      <c r="T744" s="34">
        <v>1000000.0</v>
      </c>
      <c r="U744" s="20" t="s">
        <v>71</v>
      </c>
      <c r="V744" s="20"/>
      <c r="W744" s="38">
        <f t="shared" si="6"/>
        <v>1000000</v>
      </c>
      <c r="X744" s="20"/>
      <c r="Y744" s="38">
        <f t="shared" si="7"/>
        <v>1000000</v>
      </c>
      <c r="Z744" s="24">
        <f t="shared" si="3"/>
        <v>1</v>
      </c>
      <c r="AA744" s="23">
        <f t="shared" si="5"/>
        <v>1000000</v>
      </c>
      <c r="AB744" s="20"/>
      <c r="AC744" s="20"/>
      <c r="AD744" s="20"/>
      <c r="AE744" s="20"/>
      <c r="AF744" s="20"/>
      <c r="AG744" s="20"/>
      <c r="AH744" s="20"/>
      <c r="AI744" s="20"/>
      <c r="AJ744" s="20"/>
      <c r="AK744" s="20"/>
      <c r="AL744" s="20"/>
      <c r="AM744" s="20"/>
      <c r="AN744" s="20"/>
      <c r="AO744" s="20"/>
      <c r="AP744" s="20"/>
      <c r="AQ744" s="20"/>
      <c r="AR744" s="20"/>
      <c r="AS744" s="20"/>
      <c r="AT744" s="20"/>
    </row>
    <row r="745">
      <c r="A745" s="20">
        <v>743.0</v>
      </c>
      <c r="B745" s="29" t="s">
        <v>732</v>
      </c>
      <c r="C745" s="20"/>
      <c r="D745" s="20"/>
      <c r="E745" s="20"/>
      <c r="F745" s="20"/>
      <c r="G745" s="20"/>
      <c r="H745" s="33" t="s">
        <v>65</v>
      </c>
      <c r="I745" s="33" t="s">
        <v>66</v>
      </c>
      <c r="J745" s="21"/>
      <c r="K745" s="20" t="str">
        <f t="shared" si="1"/>
        <v>EDUCATION,INFORMATION AND ICT</v>
      </c>
      <c r="L745" s="20" t="s">
        <v>84</v>
      </c>
      <c r="M745" s="20" t="str">
        <f t="shared" si="2"/>
        <v>EDUCATION,INFORMATION AND ICT</v>
      </c>
      <c r="N745" s="22" t="s">
        <v>510</v>
      </c>
      <c r="O745" s="22" t="s">
        <v>511</v>
      </c>
      <c r="P745" s="20" t="s">
        <v>512</v>
      </c>
      <c r="Q745" s="20" t="s">
        <v>512</v>
      </c>
      <c r="R745" s="34">
        <v>1000000.0</v>
      </c>
      <c r="S745" s="34">
        <v>1000000.0</v>
      </c>
      <c r="T745" s="34">
        <v>1000000.0</v>
      </c>
      <c r="U745" s="20" t="s">
        <v>71</v>
      </c>
      <c r="V745" s="20"/>
      <c r="W745" s="38">
        <f t="shared" si="6"/>
        <v>1000000</v>
      </c>
      <c r="X745" s="20"/>
      <c r="Y745" s="38">
        <f t="shared" si="7"/>
        <v>1000000</v>
      </c>
      <c r="Z745" s="24">
        <f t="shared" si="3"/>
        <v>1</v>
      </c>
      <c r="AA745" s="23">
        <f t="shared" si="5"/>
        <v>1000000</v>
      </c>
      <c r="AB745" s="20"/>
      <c r="AC745" s="20"/>
      <c r="AD745" s="20"/>
      <c r="AE745" s="20"/>
      <c r="AF745" s="20"/>
      <c r="AG745" s="20"/>
      <c r="AH745" s="20"/>
      <c r="AI745" s="20"/>
      <c r="AJ745" s="20"/>
      <c r="AK745" s="20"/>
      <c r="AL745" s="20"/>
      <c r="AM745" s="20"/>
      <c r="AN745" s="20"/>
      <c r="AO745" s="20"/>
      <c r="AP745" s="20"/>
      <c r="AQ745" s="20"/>
      <c r="AR745" s="20"/>
      <c r="AS745" s="20"/>
      <c r="AT745" s="20"/>
    </row>
    <row r="746">
      <c r="A746" s="20">
        <v>744.0</v>
      </c>
      <c r="B746" s="29" t="s">
        <v>733</v>
      </c>
      <c r="C746" s="20"/>
      <c r="D746" s="20"/>
      <c r="E746" s="20"/>
      <c r="F746" s="20"/>
      <c r="G746" s="20"/>
      <c r="H746" s="33" t="s">
        <v>65</v>
      </c>
      <c r="I746" s="33" t="s">
        <v>66</v>
      </c>
      <c r="J746" s="21"/>
      <c r="K746" s="20" t="str">
        <f t="shared" si="1"/>
        <v>ROADS,TRANSPORT AND PUBLIC WORKS</v>
      </c>
      <c r="L746" s="20" t="s">
        <v>107</v>
      </c>
      <c r="M746" s="20" t="str">
        <f t="shared" si="2"/>
        <v>ROADS,TRANSPORT AND PUBLIC WORKS</v>
      </c>
      <c r="N746" s="22" t="s">
        <v>510</v>
      </c>
      <c r="O746" s="22" t="s">
        <v>511</v>
      </c>
      <c r="P746" s="20" t="s">
        <v>512</v>
      </c>
      <c r="Q746" s="20" t="s">
        <v>512</v>
      </c>
      <c r="R746" s="34">
        <v>1200000.0</v>
      </c>
      <c r="S746" s="34">
        <v>1200000.0</v>
      </c>
      <c r="T746" s="34">
        <v>1200000.0</v>
      </c>
      <c r="U746" s="20" t="s">
        <v>71</v>
      </c>
      <c r="V746" s="20"/>
      <c r="W746" s="38">
        <f t="shared" si="6"/>
        <v>1200000</v>
      </c>
      <c r="X746" s="20"/>
      <c r="Y746" s="38">
        <f t="shared" si="7"/>
        <v>1200000</v>
      </c>
      <c r="Z746" s="24">
        <f t="shared" si="3"/>
        <v>1</v>
      </c>
      <c r="AA746" s="23">
        <f t="shared" si="5"/>
        <v>1200000</v>
      </c>
      <c r="AB746" s="20"/>
      <c r="AC746" s="20"/>
      <c r="AD746" s="20"/>
      <c r="AE746" s="20"/>
      <c r="AF746" s="20"/>
      <c r="AG746" s="20"/>
      <c r="AH746" s="20"/>
      <c r="AI746" s="20"/>
      <c r="AJ746" s="20"/>
      <c r="AK746" s="20"/>
      <c r="AL746" s="20"/>
      <c r="AM746" s="20"/>
      <c r="AN746" s="20"/>
      <c r="AO746" s="20"/>
      <c r="AP746" s="20"/>
      <c r="AQ746" s="20"/>
      <c r="AR746" s="20"/>
      <c r="AS746" s="20"/>
      <c r="AT746" s="20"/>
    </row>
    <row r="747">
      <c r="A747" s="20">
        <v>745.0</v>
      </c>
      <c r="B747" s="29" t="s">
        <v>734</v>
      </c>
      <c r="C747" s="20"/>
      <c r="D747" s="20"/>
      <c r="E747" s="20"/>
      <c r="F747" s="20"/>
      <c r="G747" s="20"/>
      <c r="H747" s="33" t="s">
        <v>65</v>
      </c>
      <c r="I747" s="33" t="s">
        <v>66</v>
      </c>
      <c r="J747" s="21"/>
      <c r="K747" s="20" t="str">
        <f t="shared" si="1"/>
        <v>ROADS,TRANSPORT AND PUBLIC WORKS</v>
      </c>
      <c r="L747" s="20" t="s">
        <v>107</v>
      </c>
      <c r="M747" s="20" t="str">
        <f t="shared" si="2"/>
        <v>ROADS,TRANSPORT AND PUBLIC WORKS</v>
      </c>
      <c r="N747" s="22" t="s">
        <v>510</v>
      </c>
      <c r="O747" s="22" t="s">
        <v>511</v>
      </c>
      <c r="P747" s="20" t="s">
        <v>512</v>
      </c>
      <c r="Q747" s="20" t="s">
        <v>512</v>
      </c>
      <c r="R747" s="34">
        <v>500000.0</v>
      </c>
      <c r="S747" s="34">
        <v>500000.0</v>
      </c>
      <c r="T747" s="34">
        <v>500000.0</v>
      </c>
      <c r="U747" s="20" t="s">
        <v>71</v>
      </c>
      <c r="V747" s="20"/>
      <c r="W747" s="38">
        <f t="shared" si="6"/>
        <v>500000</v>
      </c>
      <c r="X747" s="20"/>
      <c r="Y747" s="38">
        <f t="shared" si="7"/>
        <v>500000</v>
      </c>
      <c r="Z747" s="24">
        <f t="shared" si="3"/>
        <v>1</v>
      </c>
      <c r="AA747" s="23">
        <f t="shared" si="5"/>
        <v>500000</v>
      </c>
      <c r="AB747" s="20"/>
      <c r="AC747" s="20"/>
      <c r="AD747" s="20"/>
      <c r="AE747" s="20"/>
      <c r="AF747" s="20"/>
      <c r="AG747" s="20"/>
      <c r="AH747" s="20"/>
      <c r="AI747" s="20"/>
      <c r="AJ747" s="20"/>
      <c r="AK747" s="20"/>
      <c r="AL747" s="20"/>
      <c r="AM747" s="20"/>
      <c r="AN747" s="20"/>
      <c r="AO747" s="20"/>
      <c r="AP747" s="20"/>
      <c r="AQ747" s="20"/>
      <c r="AR747" s="20"/>
      <c r="AS747" s="20"/>
      <c r="AT747" s="20"/>
    </row>
    <row r="748">
      <c r="A748" s="20">
        <v>746.0</v>
      </c>
      <c r="B748" s="29" t="s">
        <v>735</v>
      </c>
      <c r="C748" s="20"/>
      <c r="D748" s="20"/>
      <c r="E748" s="20"/>
      <c r="F748" s="20"/>
      <c r="G748" s="20"/>
      <c r="H748" s="33" t="s">
        <v>65</v>
      </c>
      <c r="I748" s="33" t="s">
        <v>66</v>
      </c>
      <c r="J748" s="21"/>
      <c r="K748" s="20" t="str">
        <f t="shared" si="1"/>
        <v>WATER,ENVIRONMENT,CLIMATE CHANGE AND NATURAL RESOURCES</v>
      </c>
      <c r="L748" s="20" t="s">
        <v>75</v>
      </c>
      <c r="M748" s="20" t="str">
        <f t="shared" si="2"/>
        <v>WATER,ENVIRONMENT,CLIMATE CHANGE AND NATURAL RESOURCES</v>
      </c>
      <c r="N748" s="22" t="s">
        <v>510</v>
      </c>
      <c r="O748" s="22" t="s">
        <v>511</v>
      </c>
      <c r="P748" s="20" t="s">
        <v>512</v>
      </c>
      <c r="Q748" s="20" t="s">
        <v>512</v>
      </c>
      <c r="R748" s="34">
        <v>1000000.0</v>
      </c>
      <c r="S748" s="34">
        <v>1000000.0</v>
      </c>
      <c r="T748" s="34">
        <v>1000000.0</v>
      </c>
      <c r="U748" s="20" t="s">
        <v>71</v>
      </c>
      <c r="V748" s="20"/>
      <c r="W748" s="38">
        <f t="shared" si="6"/>
        <v>1000000</v>
      </c>
      <c r="X748" s="20"/>
      <c r="Y748" s="38">
        <f t="shared" si="7"/>
        <v>1000000</v>
      </c>
      <c r="Z748" s="24">
        <f t="shared" si="3"/>
        <v>1</v>
      </c>
      <c r="AA748" s="23">
        <f t="shared" si="5"/>
        <v>1000000</v>
      </c>
      <c r="AB748" s="20"/>
      <c r="AC748" s="20"/>
      <c r="AD748" s="20"/>
      <c r="AE748" s="20"/>
      <c r="AF748" s="20"/>
      <c r="AG748" s="20"/>
      <c r="AH748" s="20"/>
      <c r="AI748" s="20"/>
      <c r="AJ748" s="20"/>
      <c r="AK748" s="20"/>
      <c r="AL748" s="20"/>
      <c r="AM748" s="20"/>
      <c r="AN748" s="20"/>
      <c r="AO748" s="20"/>
      <c r="AP748" s="20"/>
      <c r="AQ748" s="20"/>
      <c r="AR748" s="20"/>
      <c r="AS748" s="20"/>
      <c r="AT748" s="20"/>
    </row>
    <row r="749">
      <c r="A749" s="20">
        <v>747.0</v>
      </c>
      <c r="B749" s="29" t="s">
        <v>736</v>
      </c>
      <c r="C749" s="20"/>
      <c r="D749" s="20"/>
      <c r="E749" s="20"/>
      <c r="F749" s="20"/>
      <c r="G749" s="20"/>
      <c r="H749" s="33" t="s">
        <v>77</v>
      </c>
      <c r="I749" s="33" t="s">
        <v>66</v>
      </c>
      <c r="J749" s="21"/>
      <c r="K749" s="20" t="str">
        <f t="shared" si="1"/>
        <v>Health services</v>
      </c>
      <c r="L749" s="20" t="s">
        <v>67</v>
      </c>
      <c r="M749" s="20" t="str">
        <f t="shared" si="2"/>
        <v>Health services</v>
      </c>
      <c r="N749" s="22" t="s">
        <v>510</v>
      </c>
      <c r="O749" s="22" t="s">
        <v>511</v>
      </c>
      <c r="P749" s="20" t="s">
        <v>512</v>
      </c>
      <c r="Q749" s="20" t="s">
        <v>512</v>
      </c>
      <c r="R749" s="34">
        <v>500000.0</v>
      </c>
      <c r="S749" s="34">
        <v>500000.0</v>
      </c>
      <c r="T749" s="34">
        <v>500000.0</v>
      </c>
      <c r="U749" s="20" t="s">
        <v>71</v>
      </c>
      <c r="V749" s="20"/>
      <c r="W749" s="38">
        <f t="shared" si="6"/>
        <v>500000</v>
      </c>
      <c r="X749" s="20"/>
      <c r="Y749" s="38">
        <f t="shared" si="7"/>
        <v>500000</v>
      </c>
      <c r="Z749" s="24">
        <f t="shared" si="3"/>
        <v>1</v>
      </c>
      <c r="AA749" s="23">
        <f t="shared" si="5"/>
        <v>500000</v>
      </c>
      <c r="AB749" s="20"/>
      <c r="AC749" s="20"/>
      <c r="AD749" s="20"/>
      <c r="AE749" s="20"/>
      <c r="AF749" s="20"/>
      <c r="AG749" s="20"/>
      <c r="AH749" s="20"/>
      <c r="AI749" s="20"/>
      <c r="AJ749" s="20"/>
      <c r="AK749" s="20"/>
      <c r="AL749" s="20"/>
      <c r="AM749" s="20"/>
      <c r="AN749" s="20"/>
      <c r="AO749" s="20"/>
      <c r="AP749" s="20"/>
      <c r="AQ749" s="20"/>
      <c r="AR749" s="20"/>
      <c r="AS749" s="20"/>
      <c r="AT749" s="20"/>
    </row>
    <row r="750">
      <c r="A750" s="20">
        <v>748.0</v>
      </c>
      <c r="B750" s="29" t="s">
        <v>737</v>
      </c>
      <c r="C750" s="20"/>
      <c r="D750" s="20"/>
      <c r="E750" s="20"/>
      <c r="F750" s="20"/>
      <c r="G750" s="20"/>
      <c r="H750" s="33" t="s">
        <v>65</v>
      </c>
      <c r="I750" s="33" t="s">
        <v>66</v>
      </c>
      <c r="J750" s="21"/>
      <c r="K750" s="20" t="str">
        <f t="shared" si="1"/>
        <v>ROADS,TRANSPORT AND PUBLIC WORKS</v>
      </c>
      <c r="L750" s="20" t="s">
        <v>107</v>
      </c>
      <c r="M750" s="20" t="str">
        <f t="shared" si="2"/>
        <v>ROADS,TRANSPORT AND PUBLIC WORKS</v>
      </c>
      <c r="N750" s="22" t="s">
        <v>510</v>
      </c>
      <c r="O750" s="22" t="s">
        <v>511</v>
      </c>
      <c r="P750" s="20" t="s">
        <v>512</v>
      </c>
      <c r="Q750" s="20" t="s">
        <v>512</v>
      </c>
      <c r="R750" s="34">
        <v>1500000.0</v>
      </c>
      <c r="S750" s="34">
        <v>1500000.0</v>
      </c>
      <c r="T750" s="34">
        <v>1500000.0</v>
      </c>
      <c r="U750" s="20" t="s">
        <v>71</v>
      </c>
      <c r="V750" s="20"/>
      <c r="W750" s="38">
        <f t="shared" si="6"/>
        <v>1500000</v>
      </c>
      <c r="X750" s="20"/>
      <c r="Y750" s="38">
        <f t="shared" si="7"/>
        <v>1500000</v>
      </c>
      <c r="Z750" s="24">
        <f t="shared" si="3"/>
        <v>1</v>
      </c>
      <c r="AA750" s="23">
        <f t="shared" si="5"/>
        <v>1500000</v>
      </c>
      <c r="AB750" s="20"/>
      <c r="AC750" s="20"/>
      <c r="AD750" s="20"/>
      <c r="AE750" s="20"/>
      <c r="AF750" s="20"/>
      <c r="AG750" s="20"/>
      <c r="AH750" s="20"/>
      <c r="AI750" s="20"/>
      <c r="AJ750" s="20"/>
      <c r="AK750" s="20"/>
      <c r="AL750" s="20"/>
      <c r="AM750" s="20"/>
      <c r="AN750" s="20"/>
      <c r="AO750" s="20"/>
      <c r="AP750" s="20"/>
      <c r="AQ750" s="20"/>
      <c r="AR750" s="20"/>
      <c r="AS750" s="20"/>
      <c r="AT750" s="20"/>
    </row>
    <row r="751">
      <c r="A751" s="20">
        <v>749.0</v>
      </c>
      <c r="B751" s="29" t="s">
        <v>738</v>
      </c>
      <c r="C751" s="20"/>
      <c r="D751" s="20"/>
      <c r="E751" s="20"/>
      <c r="F751" s="20"/>
      <c r="G751" s="20"/>
      <c r="H751" s="33" t="s">
        <v>65</v>
      </c>
      <c r="I751" s="33" t="s">
        <v>66</v>
      </c>
      <c r="J751" s="21"/>
      <c r="K751" s="20" t="str">
        <f t="shared" si="1"/>
        <v>ROADS,TRANSPORT AND PUBLIC WORKS</v>
      </c>
      <c r="L751" s="20" t="s">
        <v>107</v>
      </c>
      <c r="M751" s="20" t="str">
        <f t="shared" si="2"/>
        <v>ROADS,TRANSPORT AND PUBLIC WORKS</v>
      </c>
      <c r="N751" s="22" t="s">
        <v>510</v>
      </c>
      <c r="O751" s="22" t="s">
        <v>511</v>
      </c>
      <c r="P751" s="20" t="s">
        <v>512</v>
      </c>
      <c r="Q751" s="20" t="s">
        <v>512</v>
      </c>
      <c r="R751" s="34">
        <v>330000.0</v>
      </c>
      <c r="S751" s="34">
        <v>330000.0</v>
      </c>
      <c r="T751" s="34">
        <v>330000.0</v>
      </c>
      <c r="U751" s="20" t="s">
        <v>71</v>
      </c>
      <c r="V751" s="20"/>
      <c r="W751" s="38">
        <f t="shared" si="6"/>
        <v>330000</v>
      </c>
      <c r="X751" s="20"/>
      <c r="Y751" s="38">
        <f t="shared" si="7"/>
        <v>330000</v>
      </c>
      <c r="Z751" s="24">
        <f t="shared" si="3"/>
        <v>1</v>
      </c>
      <c r="AA751" s="23">
        <f t="shared" si="5"/>
        <v>330000</v>
      </c>
      <c r="AB751" s="20"/>
      <c r="AC751" s="20"/>
      <c r="AD751" s="20"/>
      <c r="AE751" s="20"/>
      <c r="AF751" s="20"/>
      <c r="AG751" s="20"/>
      <c r="AH751" s="20"/>
      <c r="AI751" s="20"/>
      <c r="AJ751" s="20"/>
      <c r="AK751" s="20"/>
      <c r="AL751" s="20"/>
      <c r="AM751" s="20"/>
      <c r="AN751" s="20"/>
      <c r="AO751" s="20"/>
      <c r="AP751" s="20"/>
      <c r="AQ751" s="20"/>
      <c r="AR751" s="20"/>
      <c r="AS751" s="20"/>
      <c r="AT751" s="20"/>
    </row>
    <row r="752">
      <c r="A752" s="20">
        <v>750.0</v>
      </c>
      <c r="B752" s="29" t="s">
        <v>739</v>
      </c>
      <c r="C752" s="20"/>
      <c r="D752" s="20"/>
      <c r="E752" s="20"/>
      <c r="F752" s="20"/>
      <c r="G752" s="20"/>
      <c r="H752" s="33" t="s">
        <v>65</v>
      </c>
      <c r="I752" s="33" t="s">
        <v>66</v>
      </c>
      <c r="J752" s="21"/>
      <c r="K752" s="20" t="str">
        <f t="shared" si="1"/>
        <v>ROADS,TRANSPORT AND PUBLIC WORKS</v>
      </c>
      <c r="L752" s="20" t="s">
        <v>107</v>
      </c>
      <c r="M752" s="20" t="str">
        <f t="shared" si="2"/>
        <v>ROADS,TRANSPORT AND PUBLIC WORKS</v>
      </c>
      <c r="N752" s="22" t="s">
        <v>510</v>
      </c>
      <c r="O752" s="22" t="s">
        <v>511</v>
      </c>
      <c r="P752" s="20" t="s">
        <v>512</v>
      </c>
      <c r="Q752" s="20" t="s">
        <v>512</v>
      </c>
      <c r="R752" s="34">
        <v>300000.0</v>
      </c>
      <c r="S752" s="34">
        <v>300000.0</v>
      </c>
      <c r="T752" s="34">
        <v>300000.0</v>
      </c>
      <c r="U752" s="20" t="s">
        <v>71</v>
      </c>
      <c r="V752" s="20"/>
      <c r="W752" s="38">
        <f t="shared" si="6"/>
        <v>300000</v>
      </c>
      <c r="X752" s="20"/>
      <c r="Y752" s="38">
        <f t="shared" si="7"/>
        <v>300000</v>
      </c>
      <c r="Z752" s="24">
        <f t="shared" si="3"/>
        <v>1</v>
      </c>
      <c r="AA752" s="23">
        <f t="shared" si="5"/>
        <v>300000</v>
      </c>
      <c r="AB752" s="20"/>
      <c r="AC752" s="20"/>
      <c r="AD752" s="20"/>
      <c r="AE752" s="20"/>
      <c r="AF752" s="20"/>
      <c r="AG752" s="20"/>
      <c r="AH752" s="20"/>
      <c r="AI752" s="20"/>
      <c r="AJ752" s="20"/>
      <c r="AK752" s="20"/>
      <c r="AL752" s="20"/>
      <c r="AM752" s="20"/>
      <c r="AN752" s="20"/>
      <c r="AO752" s="20"/>
      <c r="AP752" s="20"/>
      <c r="AQ752" s="20"/>
      <c r="AR752" s="20"/>
      <c r="AS752" s="20"/>
      <c r="AT752" s="20"/>
    </row>
    <row r="753">
      <c r="A753" s="20">
        <v>751.0</v>
      </c>
      <c r="B753" s="29" t="s">
        <v>740</v>
      </c>
      <c r="C753" s="20"/>
      <c r="D753" s="20"/>
      <c r="E753" s="20"/>
      <c r="F753" s="20"/>
      <c r="G753" s="20"/>
      <c r="H753" s="33" t="s">
        <v>65</v>
      </c>
      <c r="I753" s="33" t="s">
        <v>66</v>
      </c>
      <c r="J753" s="21"/>
      <c r="K753" s="20" t="str">
        <f t="shared" si="1"/>
        <v>EDUCATION,INFORMATION AND ICT</v>
      </c>
      <c r="L753" s="20" t="s">
        <v>84</v>
      </c>
      <c r="M753" s="20" t="str">
        <f t="shared" si="2"/>
        <v>EDUCATION,INFORMATION AND ICT</v>
      </c>
      <c r="N753" s="22" t="s">
        <v>510</v>
      </c>
      <c r="O753" s="22" t="s">
        <v>511</v>
      </c>
      <c r="P753" s="20" t="s">
        <v>512</v>
      </c>
      <c r="Q753" s="20" t="s">
        <v>512</v>
      </c>
      <c r="R753" s="34">
        <v>500000.0</v>
      </c>
      <c r="S753" s="34">
        <v>500000.0</v>
      </c>
      <c r="T753" s="34">
        <v>500000.0</v>
      </c>
      <c r="U753" s="20" t="s">
        <v>71</v>
      </c>
      <c r="V753" s="20"/>
      <c r="W753" s="38">
        <f t="shared" si="6"/>
        <v>500000</v>
      </c>
      <c r="X753" s="20"/>
      <c r="Y753" s="38">
        <f t="shared" si="7"/>
        <v>500000</v>
      </c>
      <c r="Z753" s="24">
        <f t="shared" si="3"/>
        <v>1</v>
      </c>
      <c r="AA753" s="23">
        <f t="shared" si="5"/>
        <v>500000</v>
      </c>
      <c r="AB753" s="20"/>
      <c r="AC753" s="20"/>
      <c r="AD753" s="20"/>
      <c r="AE753" s="20"/>
      <c r="AF753" s="20"/>
      <c r="AG753" s="20"/>
      <c r="AH753" s="20"/>
      <c r="AI753" s="20"/>
      <c r="AJ753" s="20"/>
      <c r="AK753" s="20"/>
      <c r="AL753" s="20"/>
      <c r="AM753" s="20"/>
      <c r="AN753" s="20"/>
      <c r="AO753" s="20"/>
      <c r="AP753" s="20"/>
      <c r="AQ753" s="20"/>
      <c r="AR753" s="20"/>
      <c r="AS753" s="20"/>
      <c r="AT753" s="20"/>
    </row>
    <row r="754">
      <c r="A754" s="20">
        <v>752.0</v>
      </c>
      <c r="B754" s="29" t="s">
        <v>438</v>
      </c>
      <c r="C754" s="20"/>
      <c r="D754" s="20"/>
      <c r="E754" s="20"/>
      <c r="F754" s="20"/>
      <c r="G754" s="20"/>
      <c r="H754" s="33" t="s">
        <v>65</v>
      </c>
      <c r="I754" s="33" t="s">
        <v>66</v>
      </c>
      <c r="J754" s="21"/>
      <c r="K754" s="20" t="str">
        <f t="shared" si="1"/>
        <v>ROADS,TRANSPORT AND PUBLIC WORKS</v>
      </c>
      <c r="L754" s="20" t="s">
        <v>107</v>
      </c>
      <c r="M754" s="20" t="str">
        <f t="shared" si="2"/>
        <v>ROADS,TRANSPORT AND PUBLIC WORKS</v>
      </c>
      <c r="N754" s="22" t="s">
        <v>510</v>
      </c>
      <c r="O754" s="22" t="s">
        <v>511</v>
      </c>
      <c r="P754" s="20" t="s">
        <v>512</v>
      </c>
      <c r="Q754" s="20" t="s">
        <v>512</v>
      </c>
      <c r="R754" s="34">
        <v>500000.0</v>
      </c>
      <c r="S754" s="34">
        <v>500000.0</v>
      </c>
      <c r="T754" s="34">
        <v>500000.0</v>
      </c>
      <c r="U754" s="20" t="s">
        <v>71</v>
      </c>
      <c r="V754" s="20"/>
      <c r="W754" s="38">
        <f t="shared" si="6"/>
        <v>500000</v>
      </c>
      <c r="X754" s="20"/>
      <c r="Y754" s="38">
        <f t="shared" si="7"/>
        <v>500000</v>
      </c>
      <c r="Z754" s="24">
        <f t="shared" si="3"/>
        <v>1</v>
      </c>
      <c r="AA754" s="23">
        <f t="shared" si="5"/>
        <v>500000</v>
      </c>
      <c r="AB754" s="20"/>
      <c r="AC754" s="20"/>
      <c r="AD754" s="20"/>
      <c r="AE754" s="20"/>
      <c r="AF754" s="20"/>
      <c r="AG754" s="20"/>
      <c r="AH754" s="20"/>
      <c r="AI754" s="20"/>
      <c r="AJ754" s="20"/>
      <c r="AK754" s="20"/>
      <c r="AL754" s="20"/>
      <c r="AM754" s="20"/>
      <c r="AN754" s="20"/>
      <c r="AO754" s="20"/>
      <c r="AP754" s="20"/>
      <c r="AQ754" s="20"/>
      <c r="AR754" s="20"/>
      <c r="AS754" s="20"/>
      <c r="AT754" s="20"/>
    </row>
    <row r="755">
      <c r="A755" s="20">
        <v>753.0</v>
      </c>
      <c r="B755" s="29" t="s">
        <v>741</v>
      </c>
      <c r="C755" s="20"/>
      <c r="D755" s="20"/>
      <c r="E755" s="20"/>
      <c r="F755" s="20"/>
      <c r="G755" s="20"/>
      <c r="H755" s="33" t="s">
        <v>113</v>
      </c>
      <c r="I755" s="33" t="s">
        <v>348</v>
      </c>
      <c r="J755" s="21"/>
      <c r="K755" s="20" t="str">
        <f t="shared" si="1"/>
        <v>ROADS,TRANSPORT AND PUBLIC WORKS</v>
      </c>
      <c r="L755" s="20" t="s">
        <v>107</v>
      </c>
      <c r="M755" s="20" t="str">
        <f t="shared" si="2"/>
        <v>ROADS,TRANSPORT AND PUBLIC WORKS</v>
      </c>
      <c r="N755" s="22" t="s">
        <v>510</v>
      </c>
      <c r="O755" s="22" t="s">
        <v>511</v>
      </c>
      <c r="P755" s="20" t="s">
        <v>512</v>
      </c>
      <c r="Q755" s="20" t="s">
        <v>512</v>
      </c>
      <c r="R755" s="34">
        <v>500000.0</v>
      </c>
      <c r="S755" s="34">
        <v>500000.0</v>
      </c>
      <c r="T755" s="34">
        <v>500000.0</v>
      </c>
      <c r="U755" s="20" t="s">
        <v>71</v>
      </c>
      <c r="V755" s="20"/>
      <c r="W755" s="38">
        <f t="shared" si="6"/>
        <v>500000</v>
      </c>
      <c r="X755" s="20"/>
      <c r="Y755" s="38">
        <f t="shared" si="7"/>
        <v>500000</v>
      </c>
      <c r="Z755" s="24">
        <f t="shared" si="3"/>
        <v>1</v>
      </c>
      <c r="AA755" s="23">
        <f t="shared" si="5"/>
        <v>500000</v>
      </c>
      <c r="AB755" s="20"/>
      <c r="AC755" s="20"/>
      <c r="AD755" s="20"/>
      <c r="AE755" s="20"/>
      <c r="AF755" s="20"/>
      <c r="AG755" s="20"/>
      <c r="AH755" s="20"/>
      <c r="AI755" s="20"/>
      <c r="AJ755" s="20"/>
      <c r="AK755" s="20"/>
      <c r="AL755" s="20"/>
      <c r="AM755" s="20"/>
      <c r="AN755" s="20"/>
      <c r="AO755" s="20"/>
      <c r="AP755" s="20"/>
      <c r="AQ755" s="20"/>
      <c r="AR755" s="20"/>
      <c r="AS755" s="20"/>
      <c r="AT755" s="20"/>
    </row>
    <row r="756">
      <c r="A756" s="20">
        <v>754.0</v>
      </c>
      <c r="B756" s="29" t="s">
        <v>742</v>
      </c>
      <c r="C756" s="20"/>
      <c r="D756" s="20"/>
      <c r="E756" s="20"/>
      <c r="F756" s="20"/>
      <c r="G756" s="20"/>
      <c r="H756" s="33" t="s">
        <v>77</v>
      </c>
      <c r="I756" s="33" t="s">
        <v>157</v>
      </c>
      <c r="J756" s="21"/>
      <c r="K756" s="20" t="str">
        <f t="shared" si="1"/>
        <v>ROADS,TRANSPORT AND PUBLIC WORKS</v>
      </c>
      <c r="L756" s="20" t="s">
        <v>107</v>
      </c>
      <c r="M756" s="20" t="str">
        <f t="shared" si="2"/>
        <v>ROADS,TRANSPORT AND PUBLIC WORKS</v>
      </c>
      <c r="N756" s="22" t="s">
        <v>510</v>
      </c>
      <c r="O756" s="22" t="s">
        <v>511</v>
      </c>
      <c r="P756" s="20" t="s">
        <v>512</v>
      </c>
      <c r="Q756" s="20" t="s">
        <v>512</v>
      </c>
      <c r="R756" s="34">
        <v>300000.0</v>
      </c>
      <c r="S756" s="34">
        <v>300000.0</v>
      </c>
      <c r="T756" s="34">
        <v>300000.0</v>
      </c>
      <c r="U756" s="20" t="s">
        <v>71</v>
      </c>
      <c r="V756" s="20"/>
      <c r="W756" s="38">
        <f t="shared" si="6"/>
        <v>300000</v>
      </c>
      <c r="X756" s="20"/>
      <c r="Y756" s="38">
        <f t="shared" si="7"/>
        <v>300000</v>
      </c>
      <c r="Z756" s="24">
        <f t="shared" si="3"/>
        <v>1</v>
      </c>
      <c r="AA756" s="23">
        <f t="shared" si="5"/>
        <v>300000</v>
      </c>
      <c r="AB756" s="20"/>
      <c r="AC756" s="20"/>
      <c r="AD756" s="20"/>
      <c r="AE756" s="20"/>
      <c r="AF756" s="20"/>
      <c r="AG756" s="20"/>
      <c r="AH756" s="20"/>
      <c r="AI756" s="20"/>
      <c r="AJ756" s="20"/>
      <c r="AK756" s="20"/>
      <c r="AL756" s="20"/>
      <c r="AM756" s="20"/>
      <c r="AN756" s="20"/>
      <c r="AO756" s="20"/>
      <c r="AP756" s="20"/>
      <c r="AQ756" s="20"/>
      <c r="AR756" s="20"/>
      <c r="AS756" s="20"/>
      <c r="AT756" s="20"/>
    </row>
    <row r="757">
      <c r="A757" s="20">
        <v>755.0</v>
      </c>
      <c r="B757" s="29" t="s">
        <v>743</v>
      </c>
      <c r="C757" s="20"/>
      <c r="D757" s="20"/>
      <c r="E757" s="20"/>
      <c r="F757" s="20"/>
      <c r="G757" s="20"/>
      <c r="H757" s="33" t="s">
        <v>65</v>
      </c>
      <c r="I757" s="33" t="s">
        <v>66</v>
      </c>
      <c r="J757" s="21"/>
      <c r="K757" s="20" t="str">
        <f t="shared" si="1"/>
        <v>ROADS,TRANSPORT AND PUBLIC WORKS</v>
      </c>
      <c r="L757" s="20" t="s">
        <v>107</v>
      </c>
      <c r="M757" s="20" t="str">
        <f t="shared" si="2"/>
        <v>ROADS,TRANSPORT AND PUBLIC WORKS</v>
      </c>
      <c r="N757" s="22" t="s">
        <v>510</v>
      </c>
      <c r="O757" s="22" t="s">
        <v>511</v>
      </c>
      <c r="P757" s="20" t="s">
        <v>512</v>
      </c>
      <c r="Q757" s="20" t="s">
        <v>512</v>
      </c>
      <c r="R757" s="34">
        <v>500000.0</v>
      </c>
      <c r="S757" s="34">
        <v>500000.0</v>
      </c>
      <c r="T757" s="34">
        <v>500000.0</v>
      </c>
      <c r="U757" s="20" t="s">
        <v>71</v>
      </c>
      <c r="V757" s="20"/>
      <c r="W757" s="38">
        <f t="shared" si="6"/>
        <v>500000</v>
      </c>
      <c r="X757" s="20"/>
      <c r="Y757" s="38">
        <f t="shared" si="7"/>
        <v>500000</v>
      </c>
      <c r="Z757" s="24">
        <f t="shared" si="3"/>
        <v>1</v>
      </c>
      <c r="AA757" s="23">
        <f t="shared" si="5"/>
        <v>500000</v>
      </c>
      <c r="AB757" s="20"/>
      <c r="AC757" s="20"/>
      <c r="AD757" s="20"/>
      <c r="AE757" s="20"/>
      <c r="AF757" s="20"/>
      <c r="AG757" s="20"/>
      <c r="AH757" s="20"/>
      <c r="AI757" s="20"/>
      <c r="AJ757" s="20"/>
      <c r="AK757" s="20"/>
      <c r="AL757" s="20"/>
      <c r="AM757" s="20"/>
      <c r="AN757" s="20"/>
      <c r="AO757" s="20"/>
      <c r="AP757" s="20"/>
      <c r="AQ757" s="20"/>
      <c r="AR757" s="20"/>
      <c r="AS757" s="20"/>
      <c r="AT757" s="20"/>
    </row>
    <row r="758">
      <c r="A758" s="20">
        <v>756.0</v>
      </c>
      <c r="B758" s="29" t="s">
        <v>744</v>
      </c>
      <c r="C758" s="20"/>
      <c r="D758" s="20"/>
      <c r="E758" s="20"/>
      <c r="F758" s="20"/>
      <c r="G758" s="20"/>
      <c r="H758" s="33" t="s">
        <v>104</v>
      </c>
      <c r="I758" s="33" t="s">
        <v>165</v>
      </c>
      <c r="J758" s="21"/>
      <c r="K758" s="20" t="str">
        <f t="shared" si="1"/>
        <v>EDUCATION,INFORMATION AND ICT</v>
      </c>
      <c r="L758" s="20" t="s">
        <v>84</v>
      </c>
      <c r="M758" s="20" t="str">
        <f t="shared" si="2"/>
        <v>EDUCATION,INFORMATION AND ICT</v>
      </c>
      <c r="N758" s="22" t="s">
        <v>510</v>
      </c>
      <c r="O758" s="22" t="s">
        <v>511</v>
      </c>
      <c r="P758" s="20" t="s">
        <v>512</v>
      </c>
      <c r="Q758" s="20" t="s">
        <v>512</v>
      </c>
      <c r="R758" s="34">
        <v>300000.0</v>
      </c>
      <c r="S758" s="34">
        <v>300000.0</v>
      </c>
      <c r="T758" s="34">
        <v>300000.0</v>
      </c>
      <c r="U758" s="20" t="s">
        <v>71</v>
      </c>
      <c r="V758" s="20"/>
      <c r="W758" s="38">
        <f t="shared" si="6"/>
        <v>300000</v>
      </c>
      <c r="X758" s="20"/>
      <c r="Y758" s="38">
        <f t="shared" si="7"/>
        <v>300000</v>
      </c>
      <c r="Z758" s="24">
        <f t="shared" si="3"/>
        <v>1</v>
      </c>
      <c r="AA758" s="23">
        <f t="shared" si="5"/>
        <v>300000</v>
      </c>
      <c r="AB758" s="20"/>
      <c r="AC758" s="20"/>
      <c r="AD758" s="20"/>
      <c r="AE758" s="20"/>
      <c r="AF758" s="20"/>
      <c r="AG758" s="20"/>
      <c r="AH758" s="20"/>
      <c r="AI758" s="20"/>
      <c r="AJ758" s="20"/>
      <c r="AK758" s="20"/>
      <c r="AL758" s="20"/>
      <c r="AM758" s="20"/>
      <c r="AN758" s="20"/>
      <c r="AO758" s="20"/>
      <c r="AP758" s="20"/>
      <c r="AQ758" s="20"/>
      <c r="AR758" s="20"/>
      <c r="AS758" s="20"/>
      <c r="AT758" s="20"/>
    </row>
    <row r="759">
      <c r="A759" s="20">
        <v>757.0</v>
      </c>
      <c r="B759" s="29" t="s">
        <v>745</v>
      </c>
      <c r="C759" s="20"/>
      <c r="D759" s="20"/>
      <c r="E759" s="20"/>
      <c r="F759" s="20"/>
      <c r="G759" s="20"/>
      <c r="H759" s="33" t="s">
        <v>77</v>
      </c>
      <c r="I759" s="33" t="s">
        <v>77</v>
      </c>
      <c r="J759" s="21"/>
      <c r="K759" s="20" t="str">
        <f t="shared" si="1"/>
        <v>Health services</v>
      </c>
      <c r="L759" s="20" t="s">
        <v>67</v>
      </c>
      <c r="M759" s="20" t="str">
        <f t="shared" si="2"/>
        <v>Health services</v>
      </c>
      <c r="N759" s="22" t="s">
        <v>510</v>
      </c>
      <c r="O759" s="22" t="s">
        <v>511</v>
      </c>
      <c r="P759" s="20" t="s">
        <v>512</v>
      </c>
      <c r="Q759" s="20" t="s">
        <v>512</v>
      </c>
      <c r="R759" s="34">
        <v>500000.0</v>
      </c>
      <c r="S759" s="34">
        <v>500000.0</v>
      </c>
      <c r="T759" s="34">
        <v>500000.0</v>
      </c>
      <c r="U759" s="20" t="s">
        <v>71</v>
      </c>
      <c r="V759" s="20"/>
      <c r="W759" s="38">
        <f t="shared" si="6"/>
        <v>500000</v>
      </c>
      <c r="X759" s="20"/>
      <c r="Y759" s="38">
        <f t="shared" si="7"/>
        <v>500000</v>
      </c>
      <c r="Z759" s="24">
        <f t="shared" si="3"/>
        <v>1</v>
      </c>
      <c r="AA759" s="23">
        <f t="shared" si="5"/>
        <v>500000</v>
      </c>
      <c r="AB759" s="20"/>
      <c r="AC759" s="20"/>
      <c r="AD759" s="20"/>
      <c r="AE759" s="20"/>
      <c r="AF759" s="20"/>
      <c r="AG759" s="20"/>
      <c r="AH759" s="20"/>
      <c r="AI759" s="20"/>
      <c r="AJ759" s="20"/>
      <c r="AK759" s="20"/>
      <c r="AL759" s="20"/>
      <c r="AM759" s="20"/>
      <c r="AN759" s="20"/>
      <c r="AO759" s="20"/>
      <c r="AP759" s="20"/>
      <c r="AQ759" s="20"/>
      <c r="AR759" s="20"/>
      <c r="AS759" s="20"/>
      <c r="AT759" s="20"/>
    </row>
    <row r="760">
      <c r="A760" s="20">
        <v>758.0</v>
      </c>
      <c r="B760" s="29" t="s">
        <v>746</v>
      </c>
      <c r="C760" s="20"/>
      <c r="D760" s="20"/>
      <c r="E760" s="20"/>
      <c r="F760" s="20"/>
      <c r="G760" s="20"/>
      <c r="H760" s="33" t="s">
        <v>77</v>
      </c>
      <c r="I760" s="33" t="s">
        <v>77</v>
      </c>
      <c r="J760" s="21"/>
      <c r="K760" s="20" t="str">
        <f t="shared" si="1"/>
        <v>WATER,ENVIRONMENT,CLIMATE CHANGE AND NATURAL RESOURCES</v>
      </c>
      <c r="L760" s="20" t="s">
        <v>75</v>
      </c>
      <c r="M760" s="20" t="str">
        <f t="shared" si="2"/>
        <v>WATER,ENVIRONMENT,CLIMATE CHANGE AND NATURAL RESOURCES</v>
      </c>
      <c r="N760" s="22" t="s">
        <v>510</v>
      </c>
      <c r="O760" s="22" t="s">
        <v>511</v>
      </c>
      <c r="P760" s="20" t="s">
        <v>512</v>
      </c>
      <c r="Q760" s="20" t="s">
        <v>512</v>
      </c>
      <c r="R760" s="34">
        <v>500000.0</v>
      </c>
      <c r="S760" s="34">
        <v>500000.0</v>
      </c>
      <c r="T760" s="34">
        <v>500000.0</v>
      </c>
      <c r="U760" s="20" t="s">
        <v>71</v>
      </c>
      <c r="V760" s="20"/>
      <c r="W760" s="38">
        <f t="shared" si="6"/>
        <v>500000</v>
      </c>
      <c r="X760" s="20"/>
      <c r="Y760" s="38">
        <f t="shared" si="7"/>
        <v>500000</v>
      </c>
      <c r="Z760" s="24">
        <f t="shared" si="3"/>
        <v>1</v>
      </c>
      <c r="AA760" s="23">
        <f t="shared" si="5"/>
        <v>500000</v>
      </c>
      <c r="AB760" s="20"/>
      <c r="AC760" s="20"/>
      <c r="AD760" s="20"/>
      <c r="AE760" s="20"/>
      <c r="AF760" s="20"/>
      <c r="AG760" s="20"/>
      <c r="AH760" s="20"/>
      <c r="AI760" s="20"/>
      <c r="AJ760" s="20"/>
      <c r="AK760" s="20"/>
      <c r="AL760" s="20"/>
      <c r="AM760" s="20"/>
      <c r="AN760" s="20"/>
      <c r="AO760" s="20"/>
      <c r="AP760" s="20"/>
      <c r="AQ760" s="20"/>
      <c r="AR760" s="20"/>
      <c r="AS760" s="20"/>
      <c r="AT760" s="20"/>
    </row>
    <row r="761">
      <c r="A761" s="20">
        <v>759.0</v>
      </c>
      <c r="B761" s="29" t="s">
        <v>747</v>
      </c>
      <c r="C761" s="20"/>
      <c r="D761" s="20"/>
      <c r="E761" s="20"/>
      <c r="F761" s="20"/>
      <c r="G761" s="20"/>
      <c r="H761" s="33" t="s">
        <v>77</v>
      </c>
      <c r="I761" s="33" t="s">
        <v>77</v>
      </c>
      <c r="J761" s="21"/>
      <c r="K761" s="20" t="str">
        <f t="shared" si="1"/>
        <v>ROADS,TRANSPORT AND PUBLIC WORKS</v>
      </c>
      <c r="L761" s="20" t="s">
        <v>107</v>
      </c>
      <c r="M761" s="20" t="str">
        <f t="shared" si="2"/>
        <v>ROADS,TRANSPORT AND PUBLIC WORKS</v>
      </c>
      <c r="N761" s="22" t="s">
        <v>510</v>
      </c>
      <c r="O761" s="22" t="s">
        <v>511</v>
      </c>
      <c r="P761" s="20" t="s">
        <v>512</v>
      </c>
      <c r="Q761" s="20" t="s">
        <v>512</v>
      </c>
      <c r="R761" s="34">
        <v>500000.0</v>
      </c>
      <c r="S761" s="34">
        <v>500000.0</v>
      </c>
      <c r="T761" s="34">
        <v>500000.0</v>
      </c>
      <c r="U761" s="20" t="s">
        <v>71</v>
      </c>
      <c r="V761" s="20"/>
      <c r="W761" s="38">
        <f t="shared" si="6"/>
        <v>500000</v>
      </c>
      <c r="X761" s="20"/>
      <c r="Y761" s="38">
        <f t="shared" si="7"/>
        <v>500000</v>
      </c>
      <c r="Z761" s="24">
        <f t="shared" si="3"/>
        <v>1</v>
      </c>
      <c r="AA761" s="23">
        <f t="shared" si="5"/>
        <v>500000</v>
      </c>
      <c r="AB761" s="20"/>
      <c r="AC761" s="20"/>
      <c r="AD761" s="20"/>
      <c r="AE761" s="20"/>
      <c r="AF761" s="20"/>
      <c r="AG761" s="20"/>
      <c r="AH761" s="20"/>
      <c r="AI761" s="20"/>
      <c r="AJ761" s="20"/>
      <c r="AK761" s="20"/>
      <c r="AL761" s="20"/>
      <c r="AM761" s="20"/>
      <c r="AN761" s="20"/>
      <c r="AO761" s="20"/>
      <c r="AP761" s="20"/>
      <c r="AQ761" s="20"/>
      <c r="AR761" s="20"/>
      <c r="AS761" s="20"/>
      <c r="AT761" s="20"/>
    </row>
    <row r="762">
      <c r="A762" s="20">
        <v>760.0</v>
      </c>
      <c r="B762" s="29" t="s">
        <v>748</v>
      </c>
      <c r="C762" s="20"/>
      <c r="D762" s="20"/>
      <c r="E762" s="20"/>
      <c r="F762" s="20"/>
      <c r="G762" s="20"/>
      <c r="H762" s="33" t="s">
        <v>65</v>
      </c>
      <c r="I762" s="33" t="s">
        <v>66</v>
      </c>
      <c r="J762" s="21"/>
      <c r="K762" s="20" t="str">
        <f t="shared" si="1"/>
        <v>ROADS,TRANSPORT AND PUBLIC WORKS</v>
      </c>
      <c r="L762" s="20" t="s">
        <v>107</v>
      </c>
      <c r="M762" s="20" t="str">
        <f t="shared" si="2"/>
        <v>ROADS,TRANSPORT AND PUBLIC WORKS</v>
      </c>
      <c r="N762" s="22" t="s">
        <v>510</v>
      </c>
      <c r="O762" s="22" t="s">
        <v>511</v>
      </c>
      <c r="P762" s="20" t="s">
        <v>512</v>
      </c>
      <c r="Q762" s="20" t="s">
        <v>512</v>
      </c>
      <c r="R762" s="34">
        <v>1000000.0</v>
      </c>
      <c r="S762" s="34">
        <v>1000000.0</v>
      </c>
      <c r="T762" s="34">
        <v>1000000.0</v>
      </c>
      <c r="U762" s="20" t="s">
        <v>71</v>
      </c>
      <c r="V762" s="20"/>
      <c r="W762" s="38">
        <f t="shared" si="6"/>
        <v>1000000</v>
      </c>
      <c r="X762" s="20"/>
      <c r="Y762" s="38">
        <f t="shared" si="7"/>
        <v>1000000</v>
      </c>
      <c r="Z762" s="24">
        <f t="shared" si="3"/>
        <v>1</v>
      </c>
      <c r="AA762" s="23">
        <f t="shared" si="5"/>
        <v>1000000</v>
      </c>
      <c r="AB762" s="20"/>
      <c r="AC762" s="20"/>
      <c r="AD762" s="20"/>
      <c r="AE762" s="20"/>
      <c r="AF762" s="20"/>
      <c r="AG762" s="20"/>
      <c r="AH762" s="20"/>
      <c r="AI762" s="20"/>
      <c r="AJ762" s="20"/>
      <c r="AK762" s="20"/>
      <c r="AL762" s="20"/>
      <c r="AM762" s="20"/>
      <c r="AN762" s="20"/>
      <c r="AO762" s="20"/>
      <c r="AP762" s="20"/>
      <c r="AQ762" s="20"/>
      <c r="AR762" s="20"/>
      <c r="AS762" s="20"/>
      <c r="AT762" s="20"/>
    </row>
    <row r="763">
      <c r="A763" s="20">
        <v>761.0</v>
      </c>
      <c r="B763" s="29" t="s">
        <v>749</v>
      </c>
      <c r="C763" s="20"/>
      <c r="D763" s="20"/>
      <c r="E763" s="20"/>
      <c r="F763" s="20"/>
      <c r="G763" s="20"/>
      <c r="H763" s="33" t="s">
        <v>77</v>
      </c>
      <c r="I763" s="33" t="s">
        <v>77</v>
      </c>
      <c r="J763" s="21"/>
      <c r="K763" s="20" t="str">
        <f t="shared" si="1"/>
        <v>WATER,ENVIRONMENT,CLIMATE CHANGE AND NATURAL RESOURCES</v>
      </c>
      <c r="L763" s="20" t="s">
        <v>75</v>
      </c>
      <c r="M763" s="20" t="str">
        <f t="shared" si="2"/>
        <v>WATER,ENVIRONMENT,CLIMATE CHANGE AND NATURAL RESOURCES</v>
      </c>
      <c r="N763" s="22" t="s">
        <v>510</v>
      </c>
      <c r="O763" s="22" t="s">
        <v>511</v>
      </c>
      <c r="P763" s="20" t="s">
        <v>512</v>
      </c>
      <c r="Q763" s="20" t="s">
        <v>512</v>
      </c>
      <c r="R763" s="34">
        <v>800000.0</v>
      </c>
      <c r="S763" s="34">
        <v>800000.0</v>
      </c>
      <c r="T763" s="34">
        <v>800000.0</v>
      </c>
      <c r="U763" s="20" t="s">
        <v>71</v>
      </c>
      <c r="V763" s="20"/>
      <c r="W763" s="38">
        <f t="shared" si="6"/>
        <v>800000</v>
      </c>
      <c r="X763" s="20"/>
      <c r="Y763" s="38">
        <f t="shared" si="7"/>
        <v>800000</v>
      </c>
      <c r="Z763" s="24">
        <f t="shared" si="3"/>
        <v>1</v>
      </c>
      <c r="AA763" s="23">
        <f t="shared" si="5"/>
        <v>800000</v>
      </c>
      <c r="AB763" s="20"/>
      <c r="AC763" s="20"/>
      <c r="AD763" s="20"/>
      <c r="AE763" s="20"/>
      <c r="AF763" s="20"/>
      <c r="AG763" s="20"/>
      <c r="AH763" s="20"/>
      <c r="AI763" s="20"/>
      <c r="AJ763" s="20"/>
      <c r="AK763" s="20"/>
      <c r="AL763" s="20"/>
      <c r="AM763" s="20"/>
      <c r="AN763" s="20"/>
      <c r="AO763" s="20"/>
      <c r="AP763" s="20"/>
      <c r="AQ763" s="20"/>
      <c r="AR763" s="20"/>
      <c r="AS763" s="20"/>
      <c r="AT763" s="20"/>
    </row>
    <row r="764">
      <c r="A764" s="20">
        <v>762.0</v>
      </c>
      <c r="B764" s="29" t="s">
        <v>750</v>
      </c>
      <c r="C764" s="20"/>
      <c r="D764" s="20"/>
      <c r="E764" s="20"/>
      <c r="F764" s="20"/>
      <c r="G764" s="20"/>
      <c r="H764" s="33" t="s">
        <v>65</v>
      </c>
      <c r="I764" s="33" t="s">
        <v>66</v>
      </c>
      <c r="J764" s="21"/>
      <c r="K764" s="20" t="str">
        <f t="shared" si="1"/>
        <v>EDUCATION,INFORMATION AND ICT</v>
      </c>
      <c r="L764" s="20" t="s">
        <v>84</v>
      </c>
      <c r="M764" s="20" t="str">
        <f t="shared" si="2"/>
        <v>EDUCATION,INFORMATION AND ICT</v>
      </c>
      <c r="N764" s="22" t="s">
        <v>510</v>
      </c>
      <c r="O764" s="22" t="s">
        <v>511</v>
      </c>
      <c r="P764" s="20" t="s">
        <v>512</v>
      </c>
      <c r="Q764" s="20" t="s">
        <v>512</v>
      </c>
      <c r="R764" s="34">
        <v>1400000.0</v>
      </c>
      <c r="S764" s="34">
        <v>1400000.0</v>
      </c>
      <c r="T764" s="34">
        <v>1400000.0</v>
      </c>
      <c r="U764" s="20" t="s">
        <v>71</v>
      </c>
      <c r="V764" s="20"/>
      <c r="W764" s="38">
        <f t="shared" si="6"/>
        <v>1400000</v>
      </c>
      <c r="X764" s="20"/>
      <c r="Y764" s="38">
        <f t="shared" si="7"/>
        <v>1400000</v>
      </c>
      <c r="Z764" s="24">
        <f t="shared" si="3"/>
        <v>1</v>
      </c>
      <c r="AA764" s="23">
        <f t="shared" si="5"/>
        <v>1400000</v>
      </c>
      <c r="AB764" s="20"/>
      <c r="AC764" s="20"/>
      <c r="AD764" s="20"/>
      <c r="AE764" s="20"/>
      <c r="AF764" s="20"/>
      <c r="AG764" s="20"/>
      <c r="AH764" s="20"/>
      <c r="AI764" s="20"/>
      <c r="AJ764" s="20"/>
      <c r="AK764" s="20"/>
      <c r="AL764" s="20"/>
      <c r="AM764" s="20"/>
      <c r="AN764" s="20"/>
      <c r="AO764" s="20"/>
      <c r="AP764" s="20"/>
      <c r="AQ764" s="20"/>
      <c r="AR764" s="20"/>
      <c r="AS764" s="20"/>
      <c r="AT764" s="20"/>
    </row>
    <row r="765">
      <c r="A765" s="20">
        <v>763.0</v>
      </c>
      <c r="B765" s="29" t="s">
        <v>751</v>
      </c>
      <c r="C765" s="20"/>
      <c r="D765" s="20"/>
      <c r="E765" s="20"/>
      <c r="F765" s="20"/>
      <c r="G765" s="20"/>
      <c r="H765" s="33" t="s">
        <v>65</v>
      </c>
      <c r="I765" s="33" t="s">
        <v>66</v>
      </c>
      <c r="J765" s="21"/>
      <c r="K765" s="20" t="str">
        <f t="shared" si="1"/>
        <v>Health services</v>
      </c>
      <c r="L765" s="20" t="s">
        <v>67</v>
      </c>
      <c r="M765" s="20" t="str">
        <f t="shared" si="2"/>
        <v>Health services</v>
      </c>
      <c r="N765" s="22" t="s">
        <v>510</v>
      </c>
      <c r="O765" s="22" t="s">
        <v>511</v>
      </c>
      <c r="P765" s="20" t="s">
        <v>512</v>
      </c>
      <c r="Q765" s="20" t="s">
        <v>512</v>
      </c>
      <c r="R765" s="34">
        <v>8893447.0</v>
      </c>
      <c r="S765" s="34">
        <v>8893447.0</v>
      </c>
      <c r="T765" s="34">
        <v>8893447.0</v>
      </c>
      <c r="U765" s="20" t="s">
        <v>71</v>
      </c>
      <c r="V765" s="20"/>
      <c r="W765" s="38">
        <f t="shared" si="6"/>
        <v>8893447</v>
      </c>
      <c r="X765" s="20"/>
      <c r="Y765" s="38">
        <f t="shared" si="7"/>
        <v>8893447</v>
      </c>
      <c r="Z765" s="24">
        <f t="shared" si="3"/>
        <v>1</v>
      </c>
      <c r="AA765" s="23">
        <f t="shared" si="5"/>
        <v>8893447</v>
      </c>
      <c r="AB765" s="20"/>
      <c r="AC765" s="20"/>
      <c r="AD765" s="20"/>
      <c r="AE765" s="20"/>
      <c r="AF765" s="20"/>
      <c r="AG765" s="20"/>
      <c r="AH765" s="20"/>
      <c r="AI765" s="20"/>
      <c r="AJ765" s="20"/>
      <c r="AK765" s="20"/>
      <c r="AL765" s="20"/>
      <c r="AM765" s="20"/>
      <c r="AN765" s="20"/>
      <c r="AO765" s="20"/>
      <c r="AP765" s="20"/>
      <c r="AQ765" s="20"/>
      <c r="AR765" s="20"/>
      <c r="AS765" s="20"/>
      <c r="AT765" s="20"/>
    </row>
    <row r="766">
      <c r="A766" s="20">
        <v>764.0</v>
      </c>
      <c r="B766" s="29" t="s">
        <v>752</v>
      </c>
      <c r="C766" s="20"/>
      <c r="D766" s="20"/>
      <c r="E766" s="20"/>
      <c r="F766" s="20"/>
      <c r="G766" s="20"/>
      <c r="H766" s="33" t="s">
        <v>65</v>
      </c>
      <c r="I766" s="33" t="s">
        <v>66</v>
      </c>
      <c r="J766" s="21"/>
      <c r="K766" s="20" t="str">
        <f t="shared" si="1"/>
        <v>WATER,ENVIRONMENT,CLIMATE CHANGE AND NATURAL RESOURCES</v>
      </c>
      <c r="L766" s="20" t="s">
        <v>75</v>
      </c>
      <c r="M766" s="20" t="str">
        <f t="shared" si="2"/>
        <v>WATER,ENVIRONMENT,CLIMATE CHANGE AND NATURAL RESOURCES</v>
      </c>
      <c r="N766" s="22" t="s">
        <v>510</v>
      </c>
      <c r="O766" s="22" t="s">
        <v>511</v>
      </c>
      <c r="P766" s="20" t="s">
        <v>512</v>
      </c>
      <c r="Q766" s="20" t="s">
        <v>512</v>
      </c>
      <c r="R766" s="34">
        <v>600000.0</v>
      </c>
      <c r="S766" s="34">
        <v>600000.0</v>
      </c>
      <c r="T766" s="34">
        <v>600000.0</v>
      </c>
      <c r="U766" s="20" t="s">
        <v>71</v>
      </c>
      <c r="V766" s="20"/>
      <c r="W766" s="38">
        <f t="shared" si="6"/>
        <v>600000</v>
      </c>
      <c r="X766" s="20"/>
      <c r="Y766" s="38">
        <f t="shared" si="7"/>
        <v>600000</v>
      </c>
      <c r="Z766" s="24">
        <f t="shared" si="3"/>
        <v>1</v>
      </c>
      <c r="AA766" s="23">
        <f t="shared" si="5"/>
        <v>600000</v>
      </c>
      <c r="AB766" s="20"/>
      <c r="AC766" s="20"/>
      <c r="AD766" s="20"/>
      <c r="AE766" s="20"/>
      <c r="AF766" s="20"/>
      <c r="AG766" s="20"/>
      <c r="AH766" s="20"/>
      <c r="AI766" s="20"/>
      <c r="AJ766" s="20"/>
      <c r="AK766" s="20"/>
      <c r="AL766" s="20"/>
      <c r="AM766" s="20"/>
      <c r="AN766" s="20"/>
      <c r="AO766" s="20"/>
      <c r="AP766" s="20"/>
      <c r="AQ766" s="20"/>
      <c r="AR766" s="20"/>
      <c r="AS766" s="20"/>
      <c r="AT766" s="20"/>
    </row>
    <row r="767">
      <c r="A767" s="20">
        <v>765.0</v>
      </c>
      <c r="B767" s="29" t="s">
        <v>753</v>
      </c>
      <c r="C767" s="20"/>
      <c r="D767" s="20"/>
      <c r="E767" s="20"/>
      <c r="F767" s="20"/>
      <c r="G767" s="20"/>
      <c r="H767" s="33" t="s">
        <v>65</v>
      </c>
      <c r="I767" s="33" t="s">
        <v>66</v>
      </c>
      <c r="J767" s="21"/>
      <c r="K767" s="20" t="str">
        <f t="shared" si="1"/>
        <v>ROADS,TRANSPORT AND PUBLIC WORKS</v>
      </c>
      <c r="L767" s="20" t="s">
        <v>107</v>
      </c>
      <c r="M767" s="20" t="str">
        <f t="shared" si="2"/>
        <v>ROADS,TRANSPORT AND PUBLIC WORKS</v>
      </c>
      <c r="N767" s="22" t="s">
        <v>510</v>
      </c>
      <c r="O767" s="22" t="s">
        <v>511</v>
      </c>
      <c r="P767" s="20" t="s">
        <v>512</v>
      </c>
      <c r="Q767" s="20" t="s">
        <v>512</v>
      </c>
      <c r="R767" s="34">
        <v>400000.0</v>
      </c>
      <c r="S767" s="34">
        <v>400000.0</v>
      </c>
      <c r="T767" s="34">
        <v>400000.0</v>
      </c>
      <c r="U767" s="20" t="s">
        <v>71</v>
      </c>
      <c r="V767" s="20"/>
      <c r="W767" s="38">
        <f t="shared" si="6"/>
        <v>400000</v>
      </c>
      <c r="X767" s="20"/>
      <c r="Y767" s="38">
        <f t="shared" si="7"/>
        <v>400000</v>
      </c>
      <c r="Z767" s="24">
        <f t="shared" si="3"/>
        <v>1</v>
      </c>
      <c r="AA767" s="23">
        <f t="shared" si="5"/>
        <v>400000</v>
      </c>
      <c r="AB767" s="20"/>
      <c r="AC767" s="20"/>
      <c r="AD767" s="20"/>
      <c r="AE767" s="20"/>
      <c r="AF767" s="20"/>
      <c r="AG767" s="20"/>
      <c r="AH767" s="20"/>
      <c r="AI767" s="20"/>
      <c r="AJ767" s="20"/>
      <c r="AK767" s="20"/>
      <c r="AL767" s="20"/>
      <c r="AM767" s="20"/>
      <c r="AN767" s="20"/>
      <c r="AO767" s="20"/>
      <c r="AP767" s="20"/>
      <c r="AQ767" s="20"/>
      <c r="AR767" s="20"/>
      <c r="AS767" s="20"/>
      <c r="AT767" s="20"/>
    </row>
    <row r="768">
      <c r="A768" s="20">
        <v>766.0</v>
      </c>
      <c r="B768" s="29" t="s">
        <v>754</v>
      </c>
      <c r="C768" s="20"/>
      <c r="D768" s="20"/>
      <c r="E768" s="20"/>
      <c r="F768" s="20"/>
      <c r="G768" s="20"/>
      <c r="H768" s="33" t="s">
        <v>160</v>
      </c>
      <c r="I768" s="33" t="s">
        <v>160</v>
      </c>
      <c r="J768" s="21"/>
      <c r="K768" s="20" t="str">
        <f t="shared" si="1"/>
        <v>ROADS,TRANSPORT AND PUBLIC WORKS</v>
      </c>
      <c r="L768" s="20" t="s">
        <v>107</v>
      </c>
      <c r="M768" s="20" t="str">
        <f t="shared" si="2"/>
        <v>ROADS,TRANSPORT AND PUBLIC WORKS</v>
      </c>
      <c r="N768" s="22" t="s">
        <v>510</v>
      </c>
      <c r="O768" s="22" t="s">
        <v>511</v>
      </c>
      <c r="P768" s="20" t="s">
        <v>512</v>
      </c>
      <c r="Q768" s="20" t="s">
        <v>512</v>
      </c>
      <c r="R768" s="34">
        <v>1000000.0</v>
      </c>
      <c r="S768" s="34">
        <v>1000000.0</v>
      </c>
      <c r="T768" s="34">
        <v>1000000.0</v>
      </c>
      <c r="U768" s="20" t="s">
        <v>71</v>
      </c>
      <c r="V768" s="20"/>
      <c r="W768" s="38">
        <f t="shared" si="6"/>
        <v>1000000</v>
      </c>
      <c r="X768" s="20"/>
      <c r="Y768" s="38">
        <f t="shared" si="7"/>
        <v>1000000</v>
      </c>
      <c r="Z768" s="24">
        <f t="shared" si="3"/>
        <v>1</v>
      </c>
      <c r="AA768" s="23">
        <f t="shared" si="5"/>
        <v>1000000</v>
      </c>
      <c r="AB768" s="20"/>
      <c r="AC768" s="20"/>
      <c r="AD768" s="20"/>
      <c r="AE768" s="20"/>
      <c r="AF768" s="20"/>
      <c r="AG768" s="20"/>
      <c r="AH768" s="20"/>
      <c r="AI768" s="20"/>
      <c r="AJ768" s="20"/>
      <c r="AK768" s="20"/>
      <c r="AL768" s="20"/>
      <c r="AM768" s="20"/>
      <c r="AN768" s="20"/>
      <c r="AO768" s="20"/>
      <c r="AP768" s="20"/>
      <c r="AQ768" s="20"/>
      <c r="AR768" s="20"/>
      <c r="AS768" s="20"/>
      <c r="AT768" s="20"/>
    </row>
    <row r="769">
      <c r="A769" s="20">
        <v>767.0</v>
      </c>
      <c r="B769" s="29" t="s">
        <v>755</v>
      </c>
      <c r="C769" s="20"/>
      <c r="D769" s="20"/>
      <c r="E769" s="20"/>
      <c r="F769" s="20"/>
      <c r="G769" s="20"/>
      <c r="H769" s="33" t="s">
        <v>65</v>
      </c>
      <c r="I769" s="33" t="s">
        <v>66</v>
      </c>
      <c r="J769" s="21"/>
      <c r="K769" s="20" t="str">
        <f t="shared" si="1"/>
        <v>ROADS,TRANSPORT AND PUBLIC WORKS</v>
      </c>
      <c r="L769" s="20" t="s">
        <v>107</v>
      </c>
      <c r="M769" s="20" t="str">
        <f t="shared" si="2"/>
        <v>ROADS,TRANSPORT AND PUBLIC WORKS</v>
      </c>
      <c r="N769" s="22" t="s">
        <v>510</v>
      </c>
      <c r="O769" s="22" t="s">
        <v>511</v>
      </c>
      <c r="P769" s="20" t="s">
        <v>512</v>
      </c>
      <c r="Q769" s="20" t="s">
        <v>512</v>
      </c>
      <c r="R769" s="34">
        <v>550000.0</v>
      </c>
      <c r="S769" s="34">
        <v>550000.0</v>
      </c>
      <c r="T769" s="34">
        <v>550000.0</v>
      </c>
      <c r="U769" s="20" t="s">
        <v>71</v>
      </c>
      <c r="V769" s="20"/>
      <c r="W769" s="38">
        <f t="shared" si="6"/>
        <v>550000</v>
      </c>
      <c r="X769" s="20"/>
      <c r="Y769" s="38">
        <f t="shared" si="7"/>
        <v>550000</v>
      </c>
      <c r="Z769" s="24">
        <f t="shared" si="3"/>
        <v>1</v>
      </c>
      <c r="AA769" s="23">
        <f t="shared" si="5"/>
        <v>550000</v>
      </c>
      <c r="AB769" s="20"/>
      <c r="AC769" s="20"/>
      <c r="AD769" s="20"/>
      <c r="AE769" s="20"/>
      <c r="AF769" s="20"/>
      <c r="AG769" s="20"/>
      <c r="AH769" s="20"/>
      <c r="AI769" s="20"/>
      <c r="AJ769" s="20"/>
      <c r="AK769" s="20"/>
      <c r="AL769" s="20"/>
      <c r="AM769" s="20"/>
      <c r="AN769" s="20"/>
      <c r="AO769" s="20"/>
      <c r="AP769" s="20"/>
      <c r="AQ769" s="20"/>
      <c r="AR769" s="20"/>
      <c r="AS769" s="20"/>
      <c r="AT769" s="20"/>
    </row>
    <row r="770">
      <c r="A770" s="20">
        <v>768.0</v>
      </c>
      <c r="B770" s="29" t="s">
        <v>756</v>
      </c>
      <c r="C770" s="20"/>
      <c r="D770" s="20"/>
      <c r="E770" s="20"/>
      <c r="F770" s="20"/>
      <c r="G770" s="20"/>
      <c r="H770" s="33" t="s">
        <v>81</v>
      </c>
      <c r="I770" s="33" t="s">
        <v>81</v>
      </c>
      <c r="J770" s="21"/>
      <c r="K770" s="20" t="str">
        <f t="shared" si="1"/>
        <v>AGRICULTURE,LIVESTOCK AND PASTORAL ECONOMY</v>
      </c>
      <c r="L770" s="20" t="s">
        <v>100</v>
      </c>
      <c r="M770" s="20" t="str">
        <f t="shared" si="2"/>
        <v>AGRICULTURE,LIVESTOCK AND PASTORAL ECONOMY</v>
      </c>
      <c r="N770" s="22" t="s">
        <v>510</v>
      </c>
      <c r="O770" s="22" t="s">
        <v>511</v>
      </c>
      <c r="P770" s="20" t="s">
        <v>512</v>
      </c>
      <c r="Q770" s="20" t="s">
        <v>512</v>
      </c>
      <c r="R770" s="34">
        <v>300000.0</v>
      </c>
      <c r="S770" s="34">
        <v>300000.0</v>
      </c>
      <c r="T770" s="34">
        <v>300000.0</v>
      </c>
      <c r="U770" s="20" t="s">
        <v>71</v>
      </c>
      <c r="V770" s="20"/>
      <c r="W770" s="38">
        <f t="shared" si="6"/>
        <v>300000</v>
      </c>
      <c r="X770" s="20"/>
      <c r="Y770" s="38">
        <f t="shared" si="7"/>
        <v>300000</v>
      </c>
      <c r="Z770" s="24">
        <f t="shared" si="3"/>
        <v>1</v>
      </c>
      <c r="AA770" s="23">
        <f t="shared" si="5"/>
        <v>300000</v>
      </c>
      <c r="AB770" s="20"/>
      <c r="AC770" s="20"/>
      <c r="AD770" s="20"/>
      <c r="AE770" s="20"/>
      <c r="AF770" s="20"/>
      <c r="AG770" s="20"/>
      <c r="AH770" s="20"/>
      <c r="AI770" s="20"/>
      <c r="AJ770" s="20"/>
      <c r="AK770" s="20"/>
      <c r="AL770" s="20"/>
      <c r="AM770" s="20"/>
      <c r="AN770" s="20"/>
      <c r="AO770" s="20"/>
      <c r="AP770" s="20"/>
      <c r="AQ770" s="20"/>
      <c r="AR770" s="20"/>
      <c r="AS770" s="20"/>
      <c r="AT770" s="20"/>
    </row>
    <row r="771">
      <c r="A771" s="20">
        <v>769.0</v>
      </c>
      <c r="B771" s="29" t="s">
        <v>757</v>
      </c>
      <c r="C771" s="20"/>
      <c r="D771" s="20"/>
      <c r="E771" s="20"/>
      <c r="F771" s="20"/>
      <c r="G771" s="20"/>
      <c r="H771" s="33" t="s">
        <v>65</v>
      </c>
      <c r="I771" s="33" t="s">
        <v>66</v>
      </c>
      <c r="J771" s="21"/>
      <c r="K771" s="20" t="str">
        <f t="shared" si="1"/>
        <v>WATER,ENVIRONMENT,CLIMATE CHANGE AND NATURAL RESOURCES</v>
      </c>
      <c r="L771" s="20" t="s">
        <v>75</v>
      </c>
      <c r="M771" s="20" t="str">
        <f t="shared" si="2"/>
        <v>WATER,ENVIRONMENT,CLIMATE CHANGE AND NATURAL RESOURCES</v>
      </c>
      <c r="N771" s="22" t="s">
        <v>510</v>
      </c>
      <c r="O771" s="22" t="s">
        <v>511</v>
      </c>
      <c r="P771" s="20" t="s">
        <v>512</v>
      </c>
      <c r="Q771" s="20" t="s">
        <v>512</v>
      </c>
      <c r="R771" s="34">
        <v>500000.0</v>
      </c>
      <c r="S771" s="34">
        <v>500000.0</v>
      </c>
      <c r="T771" s="34">
        <v>500000.0</v>
      </c>
      <c r="U771" s="20" t="s">
        <v>71</v>
      </c>
      <c r="V771" s="20"/>
      <c r="W771" s="38">
        <f t="shared" si="6"/>
        <v>500000</v>
      </c>
      <c r="X771" s="20"/>
      <c r="Y771" s="38">
        <f t="shared" si="7"/>
        <v>500000</v>
      </c>
      <c r="Z771" s="24">
        <f t="shared" si="3"/>
        <v>1</v>
      </c>
      <c r="AA771" s="23">
        <f t="shared" si="5"/>
        <v>500000</v>
      </c>
      <c r="AB771" s="20"/>
      <c r="AC771" s="20"/>
      <c r="AD771" s="20"/>
      <c r="AE771" s="20"/>
      <c r="AF771" s="20"/>
      <c r="AG771" s="20"/>
      <c r="AH771" s="20"/>
      <c r="AI771" s="20"/>
      <c r="AJ771" s="20"/>
      <c r="AK771" s="20"/>
      <c r="AL771" s="20"/>
      <c r="AM771" s="20"/>
      <c r="AN771" s="20"/>
      <c r="AO771" s="20"/>
      <c r="AP771" s="20"/>
      <c r="AQ771" s="20"/>
      <c r="AR771" s="20"/>
      <c r="AS771" s="20"/>
      <c r="AT771" s="20"/>
    </row>
    <row r="772">
      <c r="A772" s="20">
        <v>770.0</v>
      </c>
      <c r="B772" s="29" t="s">
        <v>758</v>
      </c>
      <c r="C772" s="20"/>
      <c r="D772" s="20"/>
      <c r="E772" s="20"/>
      <c r="F772" s="20"/>
      <c r="G772" s="20"/>
      <c r="H772" s="33" t="s">
        <v>77</v>
      </c>
      <c r="I772" s="33" t="s">
        <v>66</v>
      </c>
      <c r="J772" s="21"/>
      <c r="K772" s="20" t="str">
        <f t="shared" si="1"/>
        <v>WATER,ENVIRONMENT,CLIMATE CHANGE AND NATURAL RESOURCES</v>
      </c>
      <c r="L772" s="20" t="s">
        <v>75</v>
      </c>
      <c r="M772" s="20" t="str">
        <f t="shared" si="2"/>
        <v>WATER,ENVIRONMENT,CLIMATE CHANGE AND NATURAL RESOURCES</v>
      </c>
      <c r="N772" s="22" t="s">
        <v>510</v>
      </c>
      <c r="O772" s="22" t="s">
        <v>511</v>
      </c>
      <c r="P772" s="20" t="s">
        <v>512</v>
      </c>
      <c r="Q772" s="20" t="s">
        <v>512</v>
      </c>
      <c r="R772" s="34">
        <v>500000.0</v>
      </c>
      <c r="S772" s="34">
        <v>500000.0</v>
      </c>
      <c r="T772" s="34">
        <v>500000.0</v>
      </c>
      <c r="U772" s="20" t="s">
        <v>71</v>
      </c>
      <c r="V772" s="20"/>
      <c r="W772" s="38">
        <f t="shared" si="6"/>
        <v>500000</v>
      </c>
      <c r="X772" s="20"/>
      <c r="Y772" s="38">
        <f t="shared" si="7"/>
        <v>500000</v>
      </c>
      <c r="Z772" s="24">
        <f t="shared" si="3"/>
        <v>1</v>
      </c>
      <c r="AA772" s="23">
        <f t="shared" si="5"/>
        <v>500000</v>
      </c>
      <c r="AB772" s="20"/>
      <c r="AC772" s="20"/>
      <c r="AD772" s="20"/>
      <c r="AE772" s="20"/>
      <c r="AF772" s="20"/>
      <c r="AG772" s="20"/>
      <c r="AH772" s="20"/>
      <c r="AI772" s="20"/>
      <c r="AJ772" s="20"/>
      <c r="AK772" s="20"/>
      <c r="AL772" s="20"/>
      <c r="AM772" s="20"/>
      <c r="AN772" s="20"/>
      <c r="AO772" s="20"/>
      <c r="AP772" s="20"/>
      <c r="AQ772" s="20"/>
      <c r="AR772" s="20"/>
      <c r="AS772" s="20"/>
      <c r="AT772" s="20"/>
    </row>
    <row r="773">
      <c r="A773" s="20">
        <v>771.0</v>
      </c>
      <c r="B773" s="29" t="s">
        <v>759</v>
      </c>
      <c r="C773" s="20"/>
      <c r="D773" s="20"/>
      <c r="E773" s="20"/>
      <c r="F773" s="20"/>
      <c r="G773" s="20"/>
      <c r="H773" s="33" t="s">
        <v>65</v>
      </c>
      <c r="I773" s="33" t="s">
        <v>66</v>
      </c>
      <c r="J773" s="21"/>
      <c r="K773" s="20" t="str">
        <f t="shared" si="1"/>
        <v>ROADS,TRANSPORT AND PUBLIC WORKS</v>
      </c>
      <c r="L773" s="20" t="s">
        <v>107</v>
      </c>
      <c r="M773" s="20" t="str">
        <f t="shared" si="2"/>
        <v>ROADS,TRANSPORT AND PUBLIC WORKS</v>
      </c>
      <c r="N773" s="22" t="s">
        <v>510</v>
      </c>
      <c r="O773" s="22" t="s">
        <v>511</v>
      </c>
      <c r="P773" s="20" t="s">
        <v>512</v>
      </c>
      <c r="Q773" s="20" t="s">
        <v>512</v>
      </c>
      <c r="R773" s="34">
        <v>500000.0</v>
      </c>
      <c r="S773" s="34">
        <v>500000.0</v>
      </c>
      <c r="T773" s="34">
        <v>500000.0</v>
      </c>
      <c r="U773" s="20" t="s">
        <v>71</v>
      </c>
      <c r="V773" s="20"/>
      <c r="W773" s="38">
        <f t="shared" si="6"/>
        <v>500000</v>
      </c>
      <c r="X773" s="20"/>
      <c r="Y773" s="38">
        <f t="shared" si="7"/>
        <v>500000</v>
      </c>
      <c r="Z773" s="24">
        <f t="shared" si="3"/>
        <v>1</v>
      </c>
      <c r="AA773" s="23">
        <f t="shared" si="5"/>
        <v>500000</v>
      </c>
      <c r="AB773" s="20"/>
      <c r="AC773" s="20"/>
      <c r="AD773" s="20"/>
      <c r="AE773" s="20"/>
      <c r="AF773" s="20"/>
      <c r="AG773" s="20"/>
      <c r="AH773" s="20"/>
      <c r="AI773" s="20"/>
      <c r="AJ773" s="20"/>
      <c r="AK773" s="20"/>
      <c r="AL773" s="20"/>
      <c r="AM773" s="20"/>
      <c r="AN773" s="20"/>
      <c r="AO773" s="20"/>
      <c r="AP773" s="20"/>
      <c r="AQ773" s="20"/>
      <c r="AR773" s="20"/>
      <c r="AS773" s="20"/>
      <c r="AT773" s="20"/>
    </row>
    <row r="774">
      <c r="A774" s="20">
        <v>772.0</v>
      </c>
      <c r="B774" s="29" t="s">
        <v>760</v>
      </c>
      <c r="C774" s="20"/>
      <c r="D774" s="20"/>
      <c r="E774" s="20"/>
      <c r="F774" s="20"/>
      <c r="G774" s="20"/>
      <c r="H774" s="33" t="s">
        <v>65</v>
      </c>
      <c r="I774" s="33" t="s">
        <v>66</v>
      </c>
      <c r="J774" s="21"/>
      <c r="K774" s="20" t="str">
        <f t="shared" si="1"/>
        <v>Health services</v>
      </c>
      <c r="L774" s="20" t="s">
        <v>67</v>
      </c>
      <c r="M774" s="20" t="str">
        <f t="shared" si="2"/>
        <v>Health services</v>
      </c>
      <c r="N774" s="22" t="s">
        <v>510</v>
      </c>
      <c r="O774" s="22" t="s">
        <v>511</v>
      </c>
      <c r="P774" s="20" t="s">
        <v>512</v>
      </c>
      <c r="Q774" s="20" t="s">
        <v>512</v>
      </c>
      <c r="R774" s="34">
        <v>1500000.0</v>
      </c>
      <c r="S774" s="34">
        <v>1500000.0</v>
      </c>
      <c r="T774" s="34">
        <v>1500000.0</v>
      </c>
      <c r="U774" s="20" t="s">
        <v>71</v>
      </c>
      <c r="V774" s="20"/>
      <c r="W774" s="38">
        <f t="shared" si="6"/>
        <v>1500000</v>
      </c>
      <c r="X774" s="20"/>
      <c r="Y774" s="38">
        <f t="shared" si="7"/>
        <v>1500000</v>
      </c>
      <c r="Z774" s="24">
        <f t="shared" si="3"/>
        <v>1</v>
      </c>
      <c r="AA774" s="23">
        <f t="shared" si="5"/>
        <v>1500000</v>
      </c>
      <c r="AB774" s="20"/>
      <c r="AC774" s="20"/>
      <c r="AD774" s="20"/>
      <c r="AE774" s="20"/>
      <c r="AF774" s="20"/>
      <c r="AG774" s="20"/>
      <c r="AH774" s="20"/>
      <c r="AI774" s="20"/>
      <c r="AJ774" s="20"/>
      <c r="AK774" s="20"/>
      <c r="AL774" s="20"/>
      <c r="AM774" s="20"/>
      <c r="AN774" s="20"/>
      <c r="AO774" s="20"/>
      <c r="AP774" s="20"/>
      <c r="AQ774" s="20"/>
      <c r="AR774" s="20"/>
      <c r="AS774" s="20"/>
      <c r="AT774" s="20"/>
    </row>
    <row r="775">
      <c r="A775" s="20">
        <v>773.0</v>
      </c>
      <c r="B775" s="29" t="s">
        <v>761</v>
      </c>
      <c r="C775" s="20"/>
      <c r="D775" s="20"/>
      <c r="E775" s="20"/>
      <c r="F775" s="20"/>
      <c r="G775" s="20"/>
      <c r="H775" s="33" t="s">
        <v>65</v>
      </c>
      <c r="I775" s="33" t="s">
        <v>66</v>
      </c>
      <c r="J775" s="21"/>
      <c r="K775" s="20" t="str">
        <f t="shared" si="1"/>
        <v>ROADS,TRANSPORT AND PUBLIC WORKS</v>
      </c>
      <c r="L775" s="20" t="s">
        <v>107</v>
      </c>
      <c r="M775" s="20" t="str">
        <f t="shared" si="2"/>
        <v>ROADS,TRANSPORT AND PUBLIC WORKS</v>
      </c>
      <c r="N775" s="22" t="s">
        <v>510</v>
      </c>
      <c r="O775" s="22" t="s">
        <v>511</v>
      </c>
      <c r="P775" s="20" t="s">
        <v>512</v>
      </c>
      <c r="Q775" s="20" t="s">
        <v>512</v>
      </c>
      <c r="R775" s="34">
        <v>300000.0</v>
      </c>
      <c r="S775" s="34">
        <v>300000.0</v>
      </c>
      <c r="T775" s="34">
        <v>300000.0</v>
      </c>
      <c r="U775" s="20" t="s">
        <v>71</v>
      </c>
      <c r="V775" s="20"/>
      <c r="W775" s="38">
        <f t="shared" si="6"/>
        <v>300000</v>
      </c>
      <c r="X775" s="20"/>
      <c r="Y775" s="38">
        <f t="shared" si="7"/>
        <v>300000</v>
      </c>
      <c r="Z775" s="24">
        <f t="shared" si="3"/>
        <v>1</v>
      </c>
      <c r="AA775" s="23">
        <f t="shared" si="5"/>
        <v>300000</v>
      </c>
      <c r="AB775" s="20"/>
      <c r="AC775" s="20"/>
      <c r="AD775" s="20"/>
      <c r="AE775" s="20"/>
      <c r="AF775" s="20"/>
      <c r="AG775" s="20"/>
      <c r="AH775" s="20"/>
      <c r="AI775" s="20"/>
      <c r="AJ775" s="20"/>
      <c r="AK775" s="20"/>
      <c r="AL775" s="20"/>
      <c r="AM775" s="20"/>
      <c r="AN775" s="20"/>
      <c r="AO775" s="20"/>
      <c r="AP775" s="20"/>
      <c r="AQ775" s="20"/>
      <c r="AR775" s="20"/>
      <c r="AS775" s="20"/>
      <c r="AT775" s="20"/>
    </row>
    <row r="776">
      <c r="A776" s="20">
        <v>774.0</v>
      </c>
      <c r="B776" s="29" t="s">
        <v>762</v>
      </c>
      <c r="C776" s="20"/>
      <c r="D776" s="20"/>
      <c r="E776" s="20"/>
      <c r="F776" s="20"/>
      <c r="G776" s="20"/>
      <c r="H776" s="33" t="s">
        <v>65</v>
      </c>
      <c r="I776" s="33" t="s">
        <v>66</v>
      </c>
      <c r="J776" s="21"/>
      <c r="K776" s="20" t="str">
        <f t="shared" si="1"/>
        <v>ROADS,TRANSPORT AND PUBLIC WORKS</v>
      </c>
      <c r="L776" s="20" t="s">
        <v>107</v>
      </c>
      <c r="M776" s="20" t="str">
        <f t="shared" si="2"/>
        <v>ROADS,TRANSPORT AND PUBLIC WORKS</v>
      </c>
      <c r="N776" s="22" t="s">
        <v>510</v>
      </c>
      <c r="O776" s="22" t="s">
        <v>511</v>
      </c>
      <c r="P776" s="20" t="s">
        <v>512</v>
      </c>
      <c r="Q776" s="20" t="s">
        <v>512</v>
      </c>
      <c r="R776" s="34">
        <v>500000.0</v>
      </c>
      <c r="S776" s="34">
        <v>500000.0</v>
      </c>
      <c r="T776" s="34">
        <v>500000.0</v>
      </c>
      <c r="U776" s="20" t="s">
        <v>71</v>
      </c>
      <c r="V776" s="20"/>
      <c r="W776" s="38">
        <f t="shared" si="6"/>
        <v>500000</v>
      </c>
      <c r="X776" s="20"/>
      <c r="Y776" s="38">
        <f t="shared" si="7"/>
        <v>500000</v>
      </c>
      <c r="Z776" s="24">
        <f t="shared" si="3"/>
        <v>1</v>
      </c>
      <c r="AA776" s="23">
        <f t="shared" si="5"/>
        <v>500000</v>
      </c>
      <c r="AB776" s="20"/>
      <c r="AC776" s="20"/>
      <c r="AD776" s="20"/>
      <c r="AE776" s="20"/>
      <c r="AF776" s="20"/>
      <c r="AG776" s="20"/>
      <c r="AH776" s="20"/>
      <c r="AI776" s="20"/>
      <c r="AJ776" s="20"/>
      <c r="AK776" s="20"/>
      <c r="AL776" s="20"/>
      <c r="AM776" s="20"/>
      <c r="AN776" s="20"/>
      <c r="AO776" s="20"/>
      <c r="AP776" s="20"/>
      <c r="AQ776" s="20"/>
      <c r="AR776" s="20"/>
      <c r="AS776" s="20"/>
      <c r="AT776" s="20"/>
    </row>
    <row r="777">
      <c r="A777" s="20">
        <v>775.0</v>
      </c>
      <c r="B777" s="29" t="s">
        <v>763</v>
      </c>
      <c r="C777" s="20"/>
      <c r="D777" s="20"/>
      <c r="E777" s="20"/>
      <c r="F777" s="20"/>
      <c r="G777" s="20"/>
      <c r="H777" s="33" t="s">
        <v>65</v>
      </c>
      <c r="I777" s="33" t="s">
        <v>66</v>
      </c>
      <c r="J777" s="21"/>
      <c r="K777" s="20" t="str">
        <f t="shared" si="1"/>
        <v>EDUCATION,INFORMATION AND ICT</v>
      </c>
      <c r="L777" s="20" t="s">
        <v>84</v>
      </c>
      <c r="M777" s="20" t="str">
        <f t="shared" si="2"/>
        <v>EDUCATION,INFORMATION AND ICT</v>
      </c>
      <c r="N777" s="22" t="s">
        <v>510</v>
      </c>
      <c r="O777" s="22" t="s">
        <v>511</v>
      </c>
      <c r="P777" s="20" t="s">
        <v>512</v>
      </c>
      <c r="Q777" s="20" t="s">
        <v>512</v>
      </c>
      <c r="R777" s="34">
        <v>500000.0</v>
      </c>
      <c r="S777" s="34">
        <v>500000.0</v>
      </c>
      <c r="T777" s="34">
        <v>500000.0</v>
      </c>
      <c r="U777" s="20" t="s">
        <v>71</v>
      </c>
      <c r="V777" s="20"/>
      <c r="W777" s="38">
        <f t="shared" si="6"/>
        <v>500000</v>
      </c>
      <c r="X777" s="20"/>
      <c r="Y777" s="38">
        <f t="shared" si="7"/>
        <v>500000</v>
      </c>
      <c r="Z777" s="24">
        <f t="shared" si="3"/>
        <v>1</v>
      </c>
      <c r="AA777" s="23">
        <f t="shared" si="5"/>
        <v>500000</v>
      </c>
      <c r="AB777" s="20"/>
      <c r="AC777" s="20"/>
      <c r="AD777" s="20"/>
      <c r="AE777" s="20"/>
      <c r="AF777" s="20"/>
      <c r="AG777" s="20"/>
      <c r="AH777" s="20"/>
      <c r="AI777" s="20"/>
      <c r="AJ777" s="20"/>
      <c r="AK777" s="20"/>
      <c r="AL777" s="20"/>
      <c r="AM777" s="20"/>
      <c r="AN777" s="20"/>
      <c r="AO777" s="20"/>
      <c r="AP777" s="20"/>
      <c r="AQ777" s="20"/>
      <c r="AR777" s="20"/>
      <c r="AS777" s="20"/>
      <c r="AT777" s="20"/>
    </row>
    <row r="778">
      <c r="A778" s="20">
        <v>776.0</v>
      </c>
      <c r="B778" s="29" t="s">
        <v>764</v>
      </c>
      <c r="C778" s="20"/>
      <c r="D778" s="20"/>
      <c r="E778" s="20"/>
      <c r="F778" s="20"/>
      <c r="G778" s="20"/>
      <c r="H778" s="33" t="s">
        <v>65</v>
      </c>
      <c r="I778" s="33" t="s">
        <v>66</v>
      </c>
      <c r="J778" s="21"/>
      <c r="K778" s="20" t="str">
        <f t="shared" si="1"/>
        <v>WATER,ENVIRONMENT,CLIMATE CHANGE AND NATURAL RESOURCES</v>
      </c>
      <c r="L778" s="20" t="s">
        <v>75</v>
      </c>
      <c r="M778" s="20" t="str">
        <f t="shared" si="2"/>
        <v>WATER,ENVIRONMENT,CLIMATE CHANGE AND NATURAL RESOURCES</v>
      </c>
      <c r="N778" s="22" t="s">
        <v>510</v>
      </c>
      <c r="O778" s="22" t="s">
        <v>511</v>
      </c>
      <c r="P778" s="20" t="s">
        <v>512</v>
      </c>
      <c r="Q778" s="20" t="s">
        <v>512</v>
      </c>
      <c r="R778" s="34">
        <v>1000000.0</v>
      </c>
      <c r="S778" s="34">
        <v>1000000.0</v>
      </c>
      <c r="T778" s="34">
        <v>1000000.0</v>
      </c>
      <c r="U778" s="20" t="s">
        <v>71</v>
      </c>
      <c r="V778" s="20"/>
      <c r="W778" s="38">
        <f t="shared" si="6"/>
        <v>1000000</v>
      </c>
      <c r="X778" s="20"/>
      <c r="Y778" s="38">
        <f t="shared" si="7"/>
        <v>1000000</v>
      </c>
      <c r="Z778" s="24">
        <f t="shared" si="3"/>
        <v>1</v>
      </c>
      <c r="AA778" s="23">
        <f t="shared" si="5"/>
        <v>1000000</v>
      </c>
      <c r="AB778" s="20"/>
      <c r="AC778" s="20"/>
      <c r="AD778" s="20"/>
      <c r="AE778" s="20"/>
      <c r="AF778" s="20"/>
      <c r="AG778" s="20"/>
      <c r="AH778" s="20"/>
      <c r="AI778" s="20"/>
      <c r="AJ778" s="20"/>
      <c r="AK778" s="20"/>
      <c r="AL778" s="20"/>
      <c r="AM778" s="20"/>
      <c r="AN778" s="20"/>
      <c r="AO778" s="20"/>
      <c r="AP778" s="20"/>
      <c r="AQ778" s="20"/>
      <c r="AR778" s="20"/>
      <c r="AS778" s="20"/>
      <c r="AT778" s="20"/>
    </row>
    <row r="779">
      <c r="A779" s="20">
        <v>777.0</v>
      </c>
      <c r="B779" s="29" t="s">
        <v>765</v>
      </c>
      <c r="C779" s="20"/>
      <c r="D779" s="20"/>
      <c r="E779" s="20"/>
      <c r="F779" s="20"/>
      <c r="G779" s="20"/>
      <c r="H779" s="33" t="s">
        <v>65</v>
      </c>
      <c r="I779" s="33" t="s">
        <v>66</v>
      </c>
      <c r="J779" s="21"/>
      <c r="K779" s="20" t="str">
        <f t="shared" si="1"/>
        <v>ROADS,TRANSPORT AND PUBLIC WORKS</v>
      </c>
      <c r="L779" s="20" t="s">
        <v>107</v>
      </c>
      <c r="M779" s="20" t="str">
        <f t="shared" si="2"/>
        <v>ROADS,TRANSPORT AND PUBLIC WORKS</v>
      </c>
      <c r="N779" s="22" t="s">
        <v>510</v>
      </c>
      <c r="O779" s="22" t="s">
        <v>511</v>
      </c>
      <c r="P779" s="20" t="s">
        <v>512</v>
      </c>
      <c r="Q779" s="20" t="s">
        <v>512</v>
      </c>
      <c r="R779" s="34">
        <v>300000.0</v>
      </c>
      <c r="S779" s="34">
        <v>300000.0</v>
      </c>
      <c r="T779" s="34">
        <v>300000.0</v>
      </c>
      <c r="U779" s="20" t="s">
        <v>71</v>
      </c>
      <c r="V779" s="20"/>
      <c r="W779" s="38">
        <f t="shared" si="6"/>
        <v>300000</v>
      </c>
      <c r="X779" s="20"/>
      <c r="Y779" s="38">
        <f t="shared" si="7"/>
        <v>300000</v>
      </c>
      <c r="Z779" s="24">
        <f t="shared" si="3"/>
        <v>1</v>
      </c>
      <c r="AA779" s="23">
        <f t="shared" si="5"/>
        <v>300000</v>
      </c>
      <c r="AB779" s="20"/>
      <c r="AC779" s="20"/>
      <c r="AD779" s="20"/>
      <c r="AE779" s="20"/>
      <c r="AF779" s="20"/>
      <c r="AG779" s="20"/>
      <c r="AH779" s="20"/>
      <c r="AI779" s="20"/>
      <c r="AJ779" s="20"/>
      <c r="AK779" s="20"/>
      <c r="AL779" s="20"/>
      <c r="AM779" s="20"/>
      <c r="AN779" s="20"/>
      <c r="AO779" s="20"/>
      <c r="AP779" s="20"/>
      <c r="AQ779" s="20"/>
      <c r="AR779" s="20"/>
      <c r="AS779" s="20"/>
      <c r="AT779" s="20"/>
    </row>
    <row r="780">
      <c r="A780" s="20">
        <v>778.0</v>
      </c>
      <c r="B780" s="29" t="s">
        <v>766</v>
      </c>
      <c r="C780" s="20"/>
      <c r="D780" s="20"/>
      <c r="E780" s="20"/>
      <c r="F780" s="20"/>
      <c r="G780" s="20"/>
      <c r="H780" s="33" t="s">
        <v>65</v>
      </c>
      <c r="I780" s="33" t="s">
        <v>66</v>
      </c>
      <c r="J780" s="21"/>
      <c r="K780" s="20" t="str">
        <f t="shared" si="1"/>
        <v>ROADS,TRANSPORT AND PUBLIC WORKS</v>
      </c>
      <c r="L780" s="20" t="s">
        <v>107</v>
      </c>
      <c r="M780" s="20" t="str">
        <f t="shared" si="2"/>
        <v>ROADS,TRANSPORT AND PUBLIC WORKS</v>
      </c>
      <c r="N780" s="22" t="s">
        <v>510</v>
      </c>
      <c r="O780" s="22" t="s">
        <v>511</v>
      </c>
      <c r="P780" s="20" t="s">
        <v>512</v>
      </c>
      <c r="Q780" s="20" t="s">
        <v>512</v>
      </c>
      <c r="R780" s="34">
        <v>300000.0</v>
      </c>
      <c r="S780" s="34">
        <v>300000.0</v>
      </c>
      <c r="T780" s="34">
        <v>300000.0</v>
      </c>
      <c r="U780" s="20" t="s">
        <v>71</v>
      </c>
      <c r="V780" s="20"/>
      <c r="W780" s="38">
        <f t="shared" si="6"/>
        <v>300000</v>
      </c>
      <c r="X780" s="20"/>
      <c r="Y780" s="38">
        <f t="shared" si="7"/>
        <v>300000</v>
      </c>
      <c r="Z780" s="24">
        <f t="shared" si="3"/>
        <v>1</v>
      </c>
      <c r="AA780" s="23">
        <f t="shared" si="5"/>
        <v>300000</v>
      </c>
      <c r="AB780" s="20"/>
      <c r="AC780" s="20"/>
      <c r="AD780" s="20"/>
      <c r="AE780" s="20"/>
      <c r="AF780" s="20"/>
      <c r="AG780" s="20"/>
      <c r="AH780" s="20"/>
      <c r="AI780" s="20"/>
      <c r="AJ780" s="20"/>
      <c r="AK780" s="20"/>
      <c r="AL780" s="20"/>
      <c r="AM780" s="20"/>
      <c r="AN780" s="20"/>
      <c r="AO780" s="20"/>
      <c r="AP780" s="20"/>
      <c r="AQ780" s="20"/>
      <c r="AR780" s="20"/>
      <c r="AS780" s="20"/>
      <c r="AT780" s="20"/>
    </row>
    <row r="781">
      <c r="A781" s="20">
        <v>779.0</v>
      </c>
      <c r="B781" s="29" t="s">
        <v>767</v>
      </c>
      <c r="C781" s="20"/>
      <c r="D781" s="20"/>
      <c r="E781" s="20"/>
      <c r="F781" s="20"/>
      <c r="G781" s="20"/>
      <c r="H781" s="33" t="s">
        <v>113</v>
      </c>
      <c r="I781" s="33" t="s">
        <v>348</v>
      </c>
      <c r="J781" s="21"/>
      <c r="K781" s="20" t="str">
        <f t="shared" si="1"/>
        <v>Health services</v>
      </c>
      <c r="L781" s="20" t="s">
        <v>67</v>
      </c>
      <c r="M781" s="20" t="str">
        <f t="shared" si="2"/>
        <v>Health services</v>
      </c>
      <c r="N781" s="22" t="s">
        <v>510</v>
      </c>
      <c r="O781" s="22" t="s">
        <v>511</v>
      </c>
      <c r="P781" s="20" t="s">
        <v>512</v>
      </c>
      <c r="Q781" s="20" t="s">
        <v>512</v>
      </c>
      <c r="R781" s="34">
        <v>300000.0</v>
      </c>
      <c r="S781" s="34">
        <v>300000.0</v>
      </c>
      <c r="T781" s="34">
        <v>300000.0</v>
      </c>
      <c r="U781" s="20" t="s">
        <v>71</v>
      </c>
      <c r="V781" s="20"/>
      <c r="W781" s="38">
        <f t="shared" si="6"/>
        <v>300000</v>
      </c>
      <c r="X781" s="20"/>
      <c r="Y781" s="38">
        <f t="shared" si="7"/>
        <v>300000</v>
      </c>
      <c r="Z781" s="24">
        <f t="shared" si="3"/>
        <v>1</v>
      </c>
      <c r="AA781" s="23">
        <f t="shared" si="5"/>
        <v>300000</v>
      </c>
      <c r="AB781" s="20"/>
      <c r="AC781" s="20"/>
      <c r="AD781" s="20"/>
      <c r="AE781" s="20"/>
      <c r="AF781" s="20"/>
      <c r="AG781" s="20"/>
      <c r="AH781" s="20"/>
      <c r="AI781" s="20"/>
      <c r="AJ781" s="20"/>
      <c r="AK781" s="20"/>
      <c r="AL781" s="20"/>
      <c r="AM781" s="20"/>
      <c r="AN781" s="20"/>
      <c r="AO781" s="20"/>
      <c r="AP781" s="20"/>
      <c r="AQ781" s="20"/>
      <c r="AR781" s="20"/>
      <c r="AS781" s="20"/>
      <c r="AT781" s="20"/>
    </row>
    <row r="782">
      <c r="A782" s="20">
        <v>780.0</v>
      </c>
      <c r="B782" s="29" t="s">
        <v>767</v>
      </c>
      <c r="C782" s="20"/>
      <c r="D782" s="20"/>
      <c r="E782" s="20"/>
      <c r="F782" s="20"/>
      <c r="G782" s="20"/>
      <c r="H782" s="33" t="s">
        <v>113</v>
      </c>
      <c r="I782" s="33" t="s">
        <v>348</v>
      </c>
      <c r="J782" s="21"/>
      <c r="K782" s="20" t="str">
        <f t="shared" si="1"/>
        <v>Health services</v>
      </c>
      <c r="L782" s="20" t="s">
        <v>67</v>
      </c>
      <c r="M782" s="20" t="str">
        <f t="shared" si="2"/>
        <v>Health services</v>
      </c>
      <c r="N782" s="22" t="s">
        <v>510</v>
      </c>
      <c r="O782" s="22" t="s">
        <v>511</v>
      </c>
      <c r="P782" s="20" t="s">
        <v>512</v>
      </c>
      <c r="Q782" s="20" t="s">
        <v>512</v>
      </c>
      <c r="R782" s="34">
        <v>330000.0</v>
      </c>
      <c r="S782" s="34">
        <v>330000.0</v>
      </c>
      <c r="T782" s="34">
        <v>330000.0</v>
      </c>
      <c r="U782" s="20" t="s">
        <v>71</v>
      </c>
      <c r="V782" s="20"/>
      <c r="W782" s="38">
        <f t="shared" si="6"/>
        <v>330000</v>
      </c>
      <c r="X782" s="20"/>
      <c r="Y782" s="38">
        <f t="shared" si="7"/>
        <v>330000</v>
      </c>
      <c r="Z782" s="24">
        <f t="shared" si="3"/>
        <v>1</v>
      </c>
      <c r="AA782" s="23">
        <f t="shared" si="5"/>
        <v>330000</v>
      </c>
      <c r="AB782" s="20"/>
      <c r="AC782" s="20"/>
      <c r="AD782" s="20"/>
      <c r="AE782" s="20"/>
      <c r="AF782" s="20"/>
      <c r="AG782" s="20"/>
      <c r="AH782" s="20"/>
      <c r="AI782" s="20"/>
      <c r="AJ782" s="20"/>
      <c r="AK782" s="20"/>
      <c r="AL782" s="20"/>
      <c r="AM782" s="20"/>
      <c r="AN782" s="20"/>
      <c r="AO782" s="20"/>
      <c r="AP782" s="20"/>
      <c r="AQ782" s="20"/>
      <c r="AR782" s="20"/>
      <c r="AS782" s="20"/>
      <c r="AT782" s="20"/>
    </row>
    <row r="783">
      <c r="A783" s="20">
        <v>781.0</v>
      </c>
      <c r="B783" s="29" t="s">
        <v>768</v>
      </c>
      <c r="C783" s="20"/>
      <c r="D783" s="20"/>
      <c r="E783" s="20"/>
      <c r="F783" s="20"/>
      <c r="G783" s="20"/>
      <c r="H783" s="33" t="s">
        <v>65</v>
      </c>
      <c r="I783" s="33" t="s">
        <v>66</v>
      </c>
      <c r="J783" s="21"/>
      <c r="K783" s="20" t="str">
        <f t="shared" si="1"/>
        <v>ROADS,TRANSPORT AND PUBLIC WORKS</v>
      </c>
      <c r="L783" s="20" t="s">
        <v>107</v>
      </c>
      <c r="M783" s="20" t="str">
        <f t="shared" si="2"/>
        <v>ROADS,TRANSPORT AND PUBLIC WORKS</v>
      </c>
      <c r="N783" s="22" t="s">
        <v>510</v>
      </c>
      <c r="O783" s="22" t="s">
        <v>511</v>
      </c>
      <c r="P783" s="20" t="s">
        <v>512</v>
      </c>
      <c r="Q783" s="20" t="s">
        <v>512</v>
      </c>
      <c r="R783" s="34">
        <v>300000.0</v>
      </c>
      <c r="S783" s="34">
        <v>300000.0</v>
      </c>
      <c r="T783" s="34">
        <v>300000.0</v>
      </c>
      <c r="U783" s="20" t="s">
        <v>71</v>
      </c>
      <c r="V783" s="20"/>
      <c r="W783" s="38">
        <f t="shared" si="6"/>
        <v>300000</v>
      </c>
      <c r="X783" s="20"/>
      <c r="Y783" s="38">
        <f t="shared" si="7"/>
        <v>300000</v>
      </c>
      <c r="Z783" s="24">
        <f t="shared" si="3"/>
        <v>1</v>
      </c>
      <c r="AA783" s="23">
        <f t="shared" si="5"/>
        <v>300000</v>
      </c>
      <c r="AB783" s="20"/>
      <c r="AC783" s="20"/>
      <c r="AD783" s="20"/>
      <c r="AE783" s="20"/>
      <c r="AF783" s="20"/>
      <c r="AG783" s="20"/>
      <c r="AH783" s="20"/>
      <c r="AI783" s="20"/>
      <c r="AJ783" s="20"/>
      <c r="AK783" s="20"/>
      <c r="AL783" s="20"/>
      <c r="AM783" s="20"/>
      <c r="AN783" s="20"/>
      <c r="AO783" s="20"/>
      <c r="AP783" s="20"/>
      <c r="AQ783" s="20"/>
      <c r="AR783" s="20"/>
      <c r="AS783" s="20"/>
      <c r="AT783" s="20"/>
    </row>
    <row r="784">
      <c r="A784" s="20">
        <v>782.0</v>
      </c>
      <c r="B784" s="29" t="s">
        <v>769</v>
      </c>
      <c r="C784" s="20"/>
      <c r="D784" s="20"/>
      <c r="E784" s="20"/>
      <c r="F784" s="20"/>
      <c r="G784" s="20"/>
      <c r="H784" s="33" t="s">
        <v>77</v>
      </c>
      <c r="I784" s="33" t="s">
        <v>157</v>
      </c>
      <c r="J784" s="21"/>
      <c r="K784" s="20" t="str">
        <f t="shared" si="1"/>
        <v>ROADS,TRANSPORT AND PUBLIC WORKS</v>
      </c>
      <c r="L784" s="20" t="s">
        <v>107</v>
      </c>
      <c r="M784" s="20" t="str">
        <f t="shared" si="2"/>
        <v>ROADS,TRANSPORT AND PUBLIC WORKS</v>
      </c>
      <c r="N784" s="22" t="s">
        <v>510</v>
      </c>
      <c r="O784" s="22" t="s">
        <v>511</v>
      </c>
      <c r="P784" s="20" t="s">
        <v>512</v>
      </c>
      <c r="Q784" s="20" t="s">
        <v>512</v>
      </c>
      <c r="R784" s="34">
        <v>500000.0</v>
      </c>
      <c r="S784" s="34">
        <v>500000.0</v>
      </c>
      <c r="T784" s="34">
        <v>500000.0</v>
      </c>
      <c r="U784" s="20" t="s">
        <v>71</v>
      </c>
      <c r="V784" s="20"/>
      <c r="W784" s="38">
        <f t="shared" si="6"/>
        <v>500000</v>
      </c>
      <c r="X784" s="20"/>
      <c r="Y784" s="38">
        <f t="shared" si="7"/>
        <v>500000</v>
      </c>
      <c r="Z784" s="24">
        <f t="shared" si="3"/>
        <v>1</v>
      </c>
      <c r="AA784" s="23">
        <f t="shared" si="5"/>
        <v>500000</v>
      </c>
      <c r="AB784" s="20"/>
      <c r="AC784" s="20"/>
      <c r="AD784" s="20"/>
      <c r="AE784" s="20"/>
      <c r="AF784" s="20"/>
      <c r="AG784" s="20"/>
      <c r="AH784" s="20"/>
      <c r="AI784" s="20"/>
      <c r="AJ784" s="20"/>
      <c r="AK784" s="20"/>
      <c r="AL784" s="20"/>
      <c r="AM784" s="20"/>
      <c r="AN784" s="20"/>
      <c r="AO784" s="20"/>
      <c r="AP784" s="20"/>
      <c r="AQ784" s="20"/>
      <c r="AR784" s="20"/>
      <c r="AS784" s="20"/>
      <c r="AT784" s="20"/>
    </row>
    <row r="785">
      <c r="A785" s="20">
        <v>783.0</v>
      </c>
      <c r="B785" s="29" t="s">
        <v>770</v>
      </c>
      <c r="C785" s="20"/>
      <c r="D785" s="20"/>
      <c r="E785" s="20"/>
      <c r="F785" s="20"/>
      <c r="G785" s="20"/>
      <c r="H785" s="33" t="s">
        <v>65</v>
      </c>
      <c r="I785" s="33" t="s">
        <v>66</v>
      </c>
      <c r="J785" s="21"/>
      <c r="K785" s="20" t="str">
        <f t="shared" si="1"/>
        <v>WATER,ENVIRONMENT,CLIMATE CHANGE AND NATURAL RESOURCES</v>
      </c>
      <c r="L785" s="20" t="s">
        <v>75</v>
      </c>
      <c r="M785" s="20" t="str">
        <f t="shared" si="2"/>
        <v>WATER,ENVIRONMENT,CLIMATE CHANGE AND NATURAL RESOURCES</v>
      </c>
      <c r="N785" s="22" t="s">
        <v>510</v>
      </c>
      <c r="O785" s="22" t="s">
        <v>511</v>
      </c>
      <c r="P785" s="20" t="s">
        <v>512</v>
      </c>
      <c r="Q785" s="20" t="s">
        <v>512</v>
      </c>
      <c r="R785" s="34">
        <v>500000.0</v>
      </c>
      <c r="S785" s="34">
        <v>500000.0</v>
      </c>
      <c r="T785" s="34">
        <v>500000.0</v>
      </c>
      <c r="U785" s="20" t="s">
        <v>71</v>
      </c>
      <c r="V785" s="20"/>
      <c r="W785" s="38">
        <f t="shared" si="6"/>
        <v>500000</v>
      </c>
      <c r="X785" s="20"/>
      <c r="Y785" s="38">
        <f t="shared" si="7"/>
        <v>500000</v>
      </c>
      <c r="Z785" s="24">
        <f t="shared" si="3"/>
        <v>1</v>
      </c>
      <c r="AA785" s="23">
        <f t="shared" si="5"/>
        <v>500000</v>
      </c>
      <c r="AB785" s="20"/>
      <c r="AC785" s="20"/>
      <c r="AD785" s="20"/>
      <c r="AE785" s="20"/>
      <c r="AF785" s="20"/>
      <c r="AG785" s="20"/>
      <c r="AH785" s="20"/>
      <c r="AI785" s="20"/>
      <c r="AJ785" s="20"/>
      <c r="AK785" s="20"/>
      <c r="AL785" s="20"/>
      <c r="AM785" s="20"/>
      <c r="AN785" s="20"/>
      <c r="AO785" s="20"/>
      <c r="AP785" s="20"/>
      <c r="AQ785" s="20"/>
      <c r="AR785" s="20"/>
      <c r="AS785" s="20"/>
      <c r="AT785" s="20"/>
    </row>
    <row r="786">
      <c r="A786" s="20">
        <v>784.0</v>
      </c>
      <c r="B786" s="29" t="s">
        <v>771</v>
      </c>
      <c r="C786" s="20"/>
      <c r="D786" s="20"/>
      <c r="E786" s="20"/>
      <c r="F786" s="20"/>
      <c r="G786" s="20"/>
      <c r="H786" s="33" t="s">
        <v>65</v>
      </c>
      <c r="I786" s="33" t="s">
        <v>66</v>
      </c>
      <c r="J786" s="21"/>
      <c r="K786" s="20" t="str">
        <f t="shared" si="1"/>
        <v>ROADS,TRANSPORT AND PUBLIC WORKS</v>
      </c>
      <c r="L786" s="20" t="s">
        <v>107</v>
      </c>
      <c r="M786" s="20" t="str">
        <f t="shared" si="2"/>
        <v>ROADS,TRANSPORT AND PUBLIC WORKS</v>
      </c>
      <c r="N786" s="22" t="s">
        <v>510</v>
      </c>
      <c r="O786" s="22" t="s">
        <v>511</v>
      </c>
      <c r="P786" s="20" t="s">
        <v>512</v>
      </c>
      <c r="Q786" s="20" t="s">
        <v>512</v>
      </c>
      <c r="R786" s="34">
        <v>8000000.0</v>
      </c>
      <c r="S786" s="34">
        <v>8000000.0</v>
      </c>
      <c r="T786" s="34">
        <v>8000000.0</v>
      </c>
      <c r="U786" s="20" t="s">
        <v>71</v>
      </c>
      <c r="V786" s="20"/>
      <c r="W786" s="38">
        <f t="shared" si="6"/>
        <v>8000000</v>
      </c>
      <c r="X786" s="20"/>
      <c r="Y786" s="38">
        <f t="shared" si="7"/>
        <v>8000000</v>
      </c>
      <c r="Z786" s="24">
        <f t="shared" si="3"/>
        <v>1</v>
      </c>
      <c r="AA786" s="23">
        <f t="shared" si="5"/>
        <v>8000000</v>
      </c>
      <c r="AB786" s="20"/>
      <c r="AC786" s="20"/>
      <c r="AD786" s="20"/>
      <c r="AE786" s="20"/>
      <c r="AF786" s="20"/>
      <c r="AG786" s="20"/>
      <c r="AH786" s="20"/>
      <c r="AI786" s="20"/>
      <c r="AJ786" s="20"/>
      <c r="AK786" s="20"/>
      <c r="AL786" s="20"/>
      <c r="AM786" s="20"/>
      <c r="AN786" s="20"/>
      <c r="AO786" s="20"/>
      <c r="AP786" s="20"/>
      <c r="AQ786" s="20"/>
      <c r="AR786" s="20"/>
      <c r="AS786" s="20"/>
      <c r="AT786" s="20"/>
    </row>
    <row r="787">
      <c r="A787" s="20">
        <v>785.0</v>
      </c>
      <c r="B787" s="29" t="s">
        <v>772</v>
      </c>
      <c r="C787" s="20"/>
      <c r="D787" s="20"/>
      <c r="E787" s="20"/>
      <c r="F787" s="20"/>
      <c r="G787" s="20"/>
      <c r="H787" s="33" t="s">
        <v>65</v>
      </c>
      <c r="I787" s="33" t="s">
        <v>66</v>
      </c>
      <c r="J787" s="21"/>
      <c r="K787" s="20" t="str">
        <f t="shared" si="1"/>
        <v>ROADS,TRANSPORT AND PUBLIC WORKS</v>
      </c>
      <c r="L787" s="20" t="s">
        <v>107</v>
      </c>
      <c r="M787" s="20" t="str">
        <f t="shared" si="2"/>
        <v>ROADS,TRANSPORT AND PUBLIC WORKS</v>
      </c>
      <c r="N787" s="22" t="s">
        <v>510</v>
      </c>
      <c r="O787" s="22" t="s">
        <v>511</v>
      </c>
      <c r="P787" s="20" t="s">
        <v>512</v>
      </c>
      <c r="Q787" s="20" t="s">
        <v>512</v>
      </c>
      <c r="R787" s="34">
        <v>500000.0</v>
      </c>
      <c r="S787" s="34">
        <v>500000.0</v>
      </c>
      <c r="T787" s="34">
        <v>500000.0</v>
      </c>
      <c r="U787" s="20" t="s">
        <v>71</v>
      </c>
      <c r="V787" s="20"/>
      <c r="W787" s="38">
        <f t="shared" si="6"/>
        <v>500000</v>
      </c>
      <c r="X787" s="20"/>
      <c r="Y787" s="38">
        <f t="shared" si="7"/>
        <v>500000</v>
      </c>
      <c r="Z787" s="24">
        <f t="shared" si="3"/>
        <v>1</v>
      </c>
      <c r="AA787" s="23">
        <f t="shared" si="5"/>
        <v>500000</v>
      </c>
      <c r="AB787" s="20"/>
      <c r="AC787" s="20"/>
      <c r="AD787" s="20"/>
      <c r="AE787" s="20"/>
      <c r="AF787" s="20"/>
      <c r="AG787" s="20"/>
      <c r="AH787" s="20"/>
      <c r="AI787" s="20"/>
      <c r="AJ787" s="20"/>
      <c r="AK787" s="20"/>
      <c r="AL787" s="20"/>
      <c r="AM787" s="20"/>
      <c r="AN787" s="20"/>
      <c r="AO787" s="20"/>
      <c r="AP787" s="20"/>
      <c r="AQ787" s="20"/>
      <c r="AR787" s="20"/>
      <c r="AS787" s="20"/>
      <c r="AT787" s="20"/>
    </row>
    <row r="788">
      <c r="A788" s="20">
        <v>786.0</v>
      </c>
      <c r="B788" s="29" t="s">
        <v>773</v>
      </c>
      <c r="C788" s="20"/>
      <c r="D788" s="20"/>
      <c r="E788" s="20"/>
      <c r="F788" s="20"/>
      <c r="G788" s="20"/>
      <c r="H788" s="33" t="s">
        <v>65</v>
      </c>
      <c r="I788" s="33" t="s">
        <v>66</v>
      </c>
      <c r="J788" s="21"/>
      <c r="K788" s="20" t="str">
        <f t="shared" si="1"/>
        <v>ROADS,TRANSPORT AND PUBLIC WORKS</v>
      </c>
      <c r="L788" s="20" t="s">
        <v>107</v>
      </c>
      <c r="M788" s="20" t="str">
        <f t="shared" si="2"/>
        <v>ROADS,TRANSPORT AND PUBLIC WORKS</v>
      </c>
      <c r="N788" s="22" t="s">
        <v>510</v>
      </c>
      <c r="O788" s="22" t="s">
        <v>511</v>
      </c>
      <c r="P788" s="20" t="s">
        <v>512</v>
      </c>
      <c r="Q788" s="20" t="s">
        <v>512</v>
      </c>
      <c r="R788" s="34">
        <v>500000.0</v>
      </c>
      <c r="S788" s="34">
        <v>500000.0</v>
      </c>
      <c r="T788" s="34">
        <v>500000.0</v>
      </c>
      <c r="U788" s="20" t="s">
        <v>71</v>
      </c>
      <c r="V788" s="20"/>
      <c r="W788" s="38">
        <f t="shared" si="6"/>
        <v>500000</v>
      </c>
      <c r="X788" s="20"/>
      <c r="Y788" s="38">
        <f t="shared" si="7"/>
        <v>500000</v>
      </c>
      <c r="Z788" s="24">
        <f t="shared" si="3"/>
        <v>1</v>
      </c>
      <c r="AA788" s="23">
        <f t="shared" si="5"/>
        <v>500000</v>
      </c>
      <c r="AB788" s="20"/>
      <c r="AC788" s="20"/>
      <c r="AD788" s="20"/>
      <c r="AE788" s="20"/>
      <c r="AF788" s="20"/>
      <c r="AG788" s="20"/>
      <c r="AH788" s="20"/>
      <c r="AI788" s="20"/>
      <c r="AJ788" s="20"/>
      <c r="AK788" s="20"/>
      <c r="AL788" s="20"/>
      <c r="AM788" s="20"/>
      <c r="AN788" s="20"/>
      <c r="AO788" s="20"/>
      <c r="AP788" s="20"/>
      <c r="AQ788" s="20"/>
      <c r="AR788" s="20"/>
      <c r="AS788" s="20"/>
      <c r="AT788" s="20"/>
    </row>
    <row r="789">
      <c r="A789" s="20">
        <v>787.0</v>
      </c>
      <c r="B789" s="29" t="s">
        <v>774</v>
      </c>
      <c r="C789" s="20"/>
      <c r="D789" s="20"/>
      <c r="E789" s="20"/>
      <c r="F789" s="20"/>
      <c r="G789" s="20"/>
      <c r="H789" s="33" t="s">
        <v>81</v>
      </c>
      <c r="I789" s="33" t="s">
        <v>151</v>
      </c>
      <c r="J789" s="21"/>
      <c r="K789" s="20" t="str">
        <f t="shared" si="1"/>
        <v>WATER,ENVIRONMENT,CLIMATE CHANGE AND NATURAL RESOURCES</v>
      </c>
      <c r="L789" s="20" t="s">
        <v>75</v>
      </c>
      <c r="M789" s="20" t="str">
        <f t="shared" si="2"/>
        <v>WATER,ENVIRONMENT,CLIMATE CHANGE AND NATURAL RESOURCES</v>
      </c>
      <c r="N789" s="22" t="s">
        <v>510</v>
      </c>
      <c r="O789" s="22" t="s">
        <v>511</v>
      </c>
      <c r="P789" s="20" t="s">
        <v>512</v>
      </c>
      <c r="Q789" s="20" t="s">
        <v>512</v>
      </c>
      <c r="R789" s="34">
        <v>500000.0</v>
      </c>
      <c r="S789" s="34">
        <v>500000.0</v>
      </c>
      <c r="T789" s="34">
        <v>500000.0</v>
      </c>
      <c r="U789" s="20" t="s">
        <v>71</v>
      </c>
      <c r="V789" s="20"/>
      <c r="W789" s="38">
        <f t="shared" si="6"/>
        <v>500000</v>
      </c>
      <c r="X789" s="20"/>
      <c r="Y789" s="38">
        <f t="shared" si="7"/>
        <v>500000</v>
      </c>
      <c r="Z789" s="24">
        <f t="shared" si="3"/>
        <v>1</v>
      </c>
      <c r="AA789" s="23">
        <f t="shared" si="5"/>
        <v>500000</v>
      </c>
      <c r="AB789" s="20"/>
      <c r="AC789" s="20"/>
      <c r="AD789" s="20"/>
      <c r="AE789" s="20"/>
      <c r="AF789" s="20"/>
      <c r="AG789" s="20"/>
      <c r="AH789" s="20"/>
      <c r="AI789" s="20"/>
      <c r="AJ789" s="20"/>
      <c r="AK789" s="20"/>
      <c r="AL789" s="20"/>
      <c r="AM789" s="20"/>
      <c r="AN789" s="20"/>
      <c r="AO789" s="20"/>
      <c r="AP789" s="20"/>
      <c r="AQ789" s="20"/>
      <c r="AR789" s="20"/>
      <c r="AS789" s="20"/>
      <c r="AT789" s="20"/>
    </row>
    <row r="790">
      <c r="A790" s="20">
        <v>788.0</v>
      </c>
      <c r="B790" s="29" t="s">
        <v>775</v>
      </c>
      <c r="C790" s="20"/>
      <c r="D790" s="20"/>
      <c r="E790" s="20"/>
      <c r="F790" s="20"/>
      <c r="G790" s="20"/>
      <c r="H790" s="33" t="s">
        <v>65</v>
      </c>
      <c r="I790" s="33" t="s">
        <v>66</v>
      </c>
      <c r="J790" s="21"/>
      <c r="K790" s="20" t="str">
        <f t="shared" si="1"/>
        <v>ROADS,TRANSPORT AND PUBLIC WORKS</v>
      </c>
      <c r="L790" s="20" t="s">
        <v>107</v>
      </c>
      <c r="M790" s="20" t="str">
        <f t="shared" si="2"/>
        <v>ROADS,TRANSPORT AND PUBLIC WORKS</v>
      </c>
      <c r="N790" s="22" t="s">
        <v>510</v>
      </c>
      <c r="O790" s="22" t="s">
        <v>511</v>
      </c>
      <c r="P790" s="20" t="s">
        <v>512</v>
      </c>
      <c r="Q790" s="20" t="s">
        <v>512</v>
      </c>
      <c r="R790" s="34">
        <v>1200000.0</v>
      </c>
      <c r="S790" s="34">
        <v>1200000.0</v>
      </c>
      <c r="T790" s="34">
        <v>1200000.0</v>
      </c>
      <c r="U790" s="20" t="s">
        <v>71</v>
      </c>
      <c r="V790" s="20"/>
      <c r="W790" s="38">
        <f t="shared" si="6"/>
        <v>1200000</v>
      </c>
      <c r="X790" s="20"/>
      <c r="Y790" s="38">
        <f t="shared" si="7"/>
        <v>1200000</v>
      </c>
      <c r="Z790" s="24">
        <f t="shared" si="3"/>
        <v>1</v>
      </c>
      <c r="AA790" s="23">
        <f t="shared" si="5"/>
        <v>1200000</v>
      </c>
      <c r="AB790" s="20"/>
      <c r="AC790" s="20"/>
      <c r="AD790" s="20"/>
      <c r="AE790" s="20"/>
      <c r="AF790" s="20"/>
      <c r="AG790" s="20"/>
      <c r="AH790" s="20"/>
      <c r="AI790" s="20"/>
      <c r="AJ790" s="20"/>
      <c r="AK790" s="20"/>
      <c r="AL790" s="20"/>
      <c r="AM790" s="20"/>
      <c r="AN790" s="20"/>
      <c r="AO790" s="20"/>
      <c r="AP790" s="20"/>
      <c r="AQ790" s="20"/>
      <c r="AR790" s="20"/>
      <c r="AS790" s="20"/>
      <c r="AT790" s="20"/>
    </row>
    <row r="791">
      <c r="A791" s="20">
        <v>789.0</v>
      </c>
      <c r="B791" s="29" t="s">
        <v>776</v>
      </c>
      <c r="C791" s="20"/>
      <c r="D791" s="20"/>
      <c r="E791" s="20"/>
      <c r="F791" s="20"/>
      <c r="G791" s="20"/>
      <c r="H791" s="33" t="s">
        <v>77</v>
      </c>
      <c r="I791" s="33" t="s">
        <v>77</v>
      </c>
      <c r="J791" s="21"/>
      <c r="K791" s="20" t="str">
        <f t="shared" si="1"/>
        <v>WATER,ENVIRONMENT,CLIMATE CHANGE AND NATURAL RESOURCES</v>
      </c>
      <c r="L791" s="20" t="s">
        <v>75</v>
      </c>
      <c r="M791" s="20" t="str">
        <f t="shared" si="2"/>
        <v>WATER,ENVIRONMENT,CLIMATE CHANGE AND NATURAL RESOURCES</v>
      </c>
      <c r="N791" s="22" t="s">
        <v>510</v>
      </c>
      <c r="O791" s="22" t="s">
        <v>511</v>
      </c>
      <c r="P791" s="20" t="s">
        <v>512</v>
      </c>
      <c r="Q791" s="20" t="s">
        <v>512</v>
      </c>
      <c r="R791" s="34">
        <v>350000.0</v>
      </c>
      <c r="S791" s="34">
        <v>350000.0</v>
      </c>
      <c r="T791" s="34">
        <v>350000.0</v>
      </c>
      <c r="U791" s="20" t="s">
        <v>71</v>
      </c>
      <c r="V791" s="20"/>
      <c r="W791" s="38">
        <f t="shared" si="6"/>
        <v>350000</v>
      </c>
      <c r="X791" s="20"/>
      <c r="Y791" s="38">
        <f t="shared" si="7"/>
        <v>350000</v>
      </c>
      <c r="Z791" s="24">
        <f t="shared" si="3"/>
        <v>1</v>
      </c>
      <c r="AA791" s="23">
        <f t="shared" si="5"/>
        <v>350000</v>
      </c>
      <c r="AB791" s="20"/>
      <c r="AC791" s="20"/>
      <c r="AD791" s="20"/>
      <c r="AE791" s="20"/>
      <c r="AF791" s="20"/>
      <c r="AG791" s="20"/>
      <c r="AH791" s="20"/>
      <c r="AI791" s="20"/>
      <c r="AJ791" s="20"/>
      <c r="AK791" s="20"/>
      <c r="AL791" s="20"/>
      <c r="AM791" s="20"/>
      <c r="AN791" s="20"/>
      <c r="AO791" s="20"/>
      <c r="AP791" s="20"/>
      <c r="AQ791" s="20"/>
      <c r="AR791" s="20"/>
      <c r="AS791" s="20"/>
      <c r="AT791" s="20"/>
    </row>
    <row r="792">
      <c r="A792" s="20">
        <v>790.0</v>
      </c>
      <c r="B792" s="29" t="s">
        <v>777</v>
      </c>
      <c r="C792" s="20"/>
      <c r="D792" s="20"/>
      <c r="E792" s="20"/>
      <c r="F792" s="20"/>
      <c r="G792" s="20"/>
      <c r="H792" s="33" t="s">
        <v>65</v>
      </c>
      <c r="I792" s="33" t="s">
        <v>66</v>
      </c>
      <c r="J792" s="21"/>
      <c r="K792" s="20" t="str">
        <f t="shared" si="1"/>
        <v>EDUCATION,INFORMATION AND ICT</v>
      </c>
      <c r="L792" s="20" t="s">
        <v>84</v>
      </c>
      <c r="M792" s="20" t="str">
        <f t="shared" si="2"/>
        <v>EDUCATION,INFORMATION AND ICT</v>
      </c>
      <c r="N792" s="22" t="s">
        <v>510</v>
      </c>
      <c r="O792" s="22" t="s">
        <v>511</v>
      </c>
      <c r="P792" s="20" t="s">
        <v>512</v>
      </c>
      <c r="Q792" s="20" t="s">
        <v>512</v>
      </c>
      <c r="R792" s="34">
        <v>500000.0</v>
      </c>
      <c r="S792" s="34">
        <v>500000.0</v>
      </c>
      <c r="T792" s="34">
        <v>500000.0</v>
      </c>
      <c r="U792" s="20" t="s">
        <v>71</v>
      </c>
      <c r="V792" s="20"/>
      <c r="W792" s="38">
        <f t="shared" si="6"/>
        <v>500000</v>
      </c>
      <c r="X792" s="20"/>
      <c r="Y792" s="38">
        <f t="shared" si="7"/>
        <v>500000</v>
      </c>
      <c r="Z792" s="24">
        <f t="shared" si="3"/>
        <v>1</v>
      </c>
      <c r="AA792" s="23">
        <f t="shared" si="5"/>
        <v>500000</v>
      </c>
      <c r="AB792" s="20"/>
      <c r="AC792" s="20"/>
      <c r="AD792" s="20"/>
      <c r="AE792" s="20"/>
      <c r="AF792" s="20"/>
      <c r="AG792" s="20"/>
      <c r="AH792" s="20"/>
      <c r="AI792" s="20"/>
      <c r="AJ792" s="20"/>
      <c r="AK792" s="20"/>
      <c r="AL792" s="20"/>
      <c r="AM792" s="20"/>
      <c r="AN792" s="20"/>
      <c r="AO792" s="20"/>
      <c r="AP792" s="20"/>
      <c r="AQ792" s="20"/>
      <c r="AR792" s="20"/>
      <c r="AS792" s="20"/>
      <c r="AT792" s="20"/>
    </row>
    <row r="793">
      <c r="A793" s="20">
        <v>791.0</v>
      </c>
      <c r="B793" s="29" t="s">
        <v>778</v>
      </c>
      <c r="C793" s="20"/>
      <c r="D793" s="20"/>
      <c r="E793" s="20"/>
      <c r="F793" s="20"/>
      <c r="G793" s="20"/>
      <c r="H793" s="33" t="s">
        <v>65</v>
      </c>
      <c r="I793" s="33" t="s">
        <v>66</v>
      </c>
      <c r="J793" s="21"/>
      <c r="K793" s="20" t="str">
        <f t="shared" si="1"/>
        <v>WATER,ENVIRONMENT,CLIMATE CHANGE AND NATURAL RESOURCES</v>
      </c>
      <c r="L793" s="20" t="s">
        <v>75</v>
      </c>
      <c r="M793" s="20" t="str">
        <f t="shared" si="2"/>
        <v>WATER,ENVIRONMENT,CLIMATE CHANGE AND NATURAL RESOURCES</v>
      </c>
      <c r="N793" s="22" t="s">
        <v>510</v>
      </c>
      <c r="O793" s="22" t="s">
        <v>511</v>
      </c>
      <c r="P793" s="20" t="s">
        <v>512</v>
      </c>
      <c r="Q793" s="20" t="s">
        <v>512</v>
      </c>
      <c r="R793" s="34">
        <v>250000.0</v>
      </c>
      <c r="S793" s="34">
        <v>250000.0</v>
      </c>
      <c r="T793" s="34">
        <v>250000.0</v>
      </c>
      <c r="U793" s="20" t="s">
        <v>71</v>
      </c>
      <c r="V793" s="20"/>
      <c r="W793" s="38">
        <f t="shared" si="6"/>
        <v>250000</v>
      </c>
      <c r="X793" s="20"/>
      <c r="Y793" s="38">
        <f t="shared" si="7"/>
        <v>250000</v>
      </c>
      <c r="Z793" s="24">
        <f t="shared" si="3"/>
        <v>1</v>
      </c>
      <c r="AA793" s="23">
        <f t="shared" si="5"/>
        <v>250000</v>
      </c>
      <c r="AB793" s="20"/>
      <c r="AC793" s="20"/>
      <c r="AD793" s="20"/>
      <c r="AE793" s="20"/>
      <c r="AF793" s="20"/>
      <c r="AG793" s="20"/>
      <c r="AH793" s="20"/>
      <c r="AI793" s="20"/>
      <c r="AJ793" s="20"/>
      <c r="AK793" s="20"/>
      <c r="AL793" s="20"/>
      <c r="AM793" s="20"/>
      <c r="AN793" s="20"/>
      <c r="AO793" s="20"/>
      <c r="AP793" s="20"/>
      <c r="AQ793" s="20"/>
      <c r="AR793" s="20"/>
      <c r="AS793" s="20"/>
      <c r="AT793" s="20"/>
    </row>
    <row r="794">
      <c r="A794" s="20">
        <v>792.0</v>
      </c>
      <c r="B794" s="29" t="s">
        <v>779</v>
      </c>
      <c r="C794" s="20"/>
      <c r="D794" s="20"/>
      <c r="E794" s="20"/>
      <c r="F794" s="20"/>
      <c r="G794" s="20"/>
      <c r="H794" s="33" t="s">
        <v>65</v>
      </c>
      <c r="I794" s="33" t="s">
        <v>66</v>
      </c>
      <c r="J794" s="21"/>
      <c r="K794" s="20" t="str">
        <f t="shared" si="1"/>
        <v>ROADS,TRANSPORT AND PUBLIC WORKS</v>
      </c>
      <c r="L794" s="20" t="s">
        <v>107</v>
      </c>
      <c r="M794" s="20" t="str">
        <f t="shared" si="2"/>
        <v>ROADS,TRANSPORT AND PUBLIC WORKS</v>
      </c>
      <c r="N794" s="22" t="s">
        <v>510</v>
      </c>
      <c r="O794" s="22" t="s">
        <v>511</v>
      </c>
      <c r="P794" s="20" t="s">
        <v>512</v>
      </c>
      <c r="Q794" s="20" t="s">
        <v>512</v>
      </c>
      <c r="R794" s="34">
        <v>350000.0</v>
      </c>
      <c r="S794" s="34">
        <v>350000.0</v>
      </c>
      <c r="T794" s="34">
        <v>350000.0</v>
      </c>
      <c r="U794" s="20" t="s">
        <v>71</v>
      </c>
      <c r="V794" s="20"/>
      <c r="W794" s="38">
        <f t="shared" si="6"/>
        <v>350000</v>
      </c>
      <c r="X794" s="20"/>
      <c r="Y794" s="38">
        <f t="shared" si="7"/>
        <v>350000</v>
      </c>
      <c r="Z794" s="24">
        <f t="shared" si="3"/>
        <v>1</v>
      </c>
      <c r="AA794" s="23">
        <f t="shared" si="5"/>
        <v>350000</v>
      </c>
      <c r="AB794" s="20"/>
      <c r="AC794" s="20"/>
      <c r="AD794" s="20"/>
      <c r="AE794" s="20"/>
      <c r="AF794" s="20"/>
      <c r="AG794" s="20"/>
      <c r="AH794" s="20"/>
      <c r="AI794" s="20"/>
      <c r="AJ794" s="20"/>
      <c r="AK794" s="20"/>
      <c r="AL794" s="20"/>
      <c r="AM794" s="20"/>
      <c r="AN794" s="20"/>
      <c r="AO794" s="20"/>
      <c r="AP794" s="20"/>
      <c r="AQ794" s="20"/>
      <c r="AR794" s="20"/>
      <c r="AS794" s="20"/>
      <c r="AT794" s="20"/>
    </row>
    <row r="795">
      <c r="A795" s="20">
        <v>793.0</v>
      </c>
      <c r="B795" s="29" t="s">
        <v>780</v>
      </c>
      <c r="C795" s="20"/>
      <c r="D795" s="20"/>
      <c r="E795" s="20"/>
      <c r="F795" s="20"/>
      <c r="G795" s="20"/>
      <c r="H795" s="33" t="s">
        <v>65</v>
      </c>
      <c r="I795" s="33" t="s">
        <v>66</v>
      </c>
      <c r="J795" s="21"/>
      <c r="K795" s="20" t="str">
        <f t="shared" si="1"/>
        <v>ROADS,TRANSPORT AND PUBLIC WORKS</v>
      </c>
      <c r="L795" s="20" t="s">
        <v>107</v>
      </c>
      <c r="M795" s="20" t="str">
        <f t="shared" si="2"/>
        <v>ROADS,TRANSPORT AND PUBLIC WORKS</v>
      </c>
      <c r="N795" s="22" t="s">
        <v>510</v>
      </c>
      <c r="O795" s="22" t="s">
        <v>511</v>
      </c>
      <c r="P795" s="20" t="s">
        <v>512</v>
      </c>
      <c r="Q795" s="20" t="s">
        <v>512</v>
      </c>
      <c r="R795" s="34">
        <v>250000.0</v>
      </c>
      <c r="S795" s="34">
        <v>250000.0</v>
      </c>
      <c r="T795" s="34">
        <v>250000.0</v>
      </c>
      <c r="U795" s="20" t="s">
        <v>71</v>
      </c>
      <c r="V795" s="20"/>
      <c r="W795" s="38">
        <f t="shared" si="6"/>
        <v>250000</v>
      </c>
      <c r="X795" s="20"/>
      <c r="Y795" s="38">
        <f t="shared" si="7"/>
        <v>250000</v>
      </c>
      <c r="Z795" s="24">
        <f t="shared" si="3"/>
        <v>1</v>
      </c>
      <c r="AA795" s="23">
        <f t="shared" si="5"/>
        <v>250000</v>
      </c>
      <c r="AB795" s="20"/>
      <c r="AC795" s="20"/>
      <c r="AD795" s="20"/>
      <c r="AE795" s="20"/>
      <c r="AF795" s="20"/>
      <c r="AG795" s="20"/>
      <c r="AH795" s="20"/>
      <c r="AI795" s="20"/>
      <c r="AJ795" s="20"/>
      <c r="AK795" s="20"/>
      <c r="AL795" s="20"/>
      <c r="AM795" s="20"/>
      <c r="AN795" s="20"/>
      <c r="AO795" s="20"/>
      <c r="AP795" s="20"/>
      <c r="AQ795" s="20"/>
      <c r="AR795" s="20"/>
      <c r="AS795" s="20"/>
      <c r="AT795" s="20"/>
    </row>
    <row r="796">
      <c r="A796" s="20">
        <v>794.0</v>
      </c>
      <c r="B796" s="29" t="s">
        <v>781</v>
      </c>
      <c r="C796" s="20"/>
      <c r="D796" s="20"/>
      <c r="E796" s="20"/>
      <c r="F796" s="20"/>
      <c r="G796" s="20"/>
      <c r="H796" s="33" t="s">
        <v>65</v>
      </c>
      <c r="I796" s="33" t="s">
        <v>66</v>
      </c>
      <c r="J796" s="21"/>
      <c r="K796" s="20" t="str">
        <f t="shared" si="1"/>
        <v>ROADS,TRANSPORT AND PUBLIC WORKS</v>
      </c>
      <c r="L796" s="20" t="s">
        <v>107</v>
      </c>
      <c r="M796" s="20" t="str">
        <f t="shared" si="2"/>
        <v>ROADS,TRANSPORT AND PUBLIC WORKS</v>
      </c>
      <c r="N796" s="22" t="s">
        <v>510</v>
      </c>
      <c r="O796" s="22" t="s">
        <v>511</v>
      </c>
      <c r="P796" s="20" t="s">
        <v>512</v>
      </c>
      <c r="Q796" s="20" t="s">
        <v>512</v>
      </c>
      <c r="R796" s="34">
        <v>300000.0</v>
      </c>
      <c r="S796" s="34">
        <v>300000.0</v>
      </c>
      <c r="T796" s="34">
        <v>300000.0</v>
      </c>
      <c r="U796" s="20" t="s">
        <v>71</v>
      </c>
      <c r="V796" s="20"/>
      <c r="W796" s="38">
        <f t="shared" si="6"/>
        <v>300000</v>
      </c>
      <c r="X796" s="20"/>
      <c r="Y796" s="38">
        <f t="shared" si="7"/>
        <v>300000</v>
      </c>
      <c r="Z796" s="24">
        <f t="shared" si="3"/>
        <v>1</v>
      </c>
      <c r="AA796" s="23">
        <f t="shared" si="5"/>
        <v>300000</v>
      </c>
      <c r="AB796" s="20"/>
      <c r="AC796" s="20"/>
      <c r="AD796" s="20"/>
      <c r="AE796" s="20"/>
      <c r="AF796" s="20"/>
      <c r="AG796" s="20"/>
      <c r="AH796" s="20"/>
      <c r="AI796" s="20"/>
      <c r="AJ796" s="20"/>
      <c r="AK796" s="20"/>
      <c r="AL796" s="20"/>
      <c r="AM796" s="20"/>
      <c r="AN796" s="20"/>
      <c r="AO796" s="20"/>
      <c r="AP796" s="20"/>
      <c r="AQ796" s="20"/>
      <c r="AR796" s="20"/>
      <c r="AS796" s="20"/>
      <c r="AT796" s="20"/>
    </row>
    <row r="797">
      <c r="A797" s="20">
        <v>795.0</v>
      </c>
      <c r="B797" s="29" t="s">
        <v>782</v>
      </c>
      <c r="C797" s="20"/>
      <c r="D797" s="20"/>
      <c r="E797" s="20"/>
      <c r="F797" s="20"/>
      <c r="G797" s="20"/>
      <c r="H797" s="33" t="s">
        <v>81</v>
      </c>
      <c r="I797" s="33" t="s">
        <v>81</v>
      </c>
      <c r="J797" s="21"/>
      <c r="K797" s="20" t="str">
        <f t="shared" si="1"/>
        <v>ROADS,TRANSPORT AND PUBLIC WORKS</v>
      </c>
      <c r="L797" s="20" t="s">
        <v>107</v>
      </c>
      <c r="M797" s="20" t="str">
        <f t="shared" si="2"/>
        <v>ROADS,TRANSPORT AND PUBLIC WORKS</v>
      </c>
      <c r="N797" s="22" t="s">
        <v>510</v>
      </c>
      <c r="O797" s="22" t="s">
        <v>511</v>
      </c>
      <c r="P797" s="20" t="s">
        <v>512</v>
      </c>
      <c r="Q797" s="20" t="s">
        <v>512</v>
      </c>
      <c r="R797" s="34">
        <v>250000.0</v>
      </c>
      <c r="S797" s="34">
        <v>250000.0</v>
      </c>
      <c r="T797" s="34">
        <v>250000.0</v>
      </c>
      <c r="U797" s="20" t="s">
        <v>71</v>
      </c>
      <c r="V797" s="20"/>
      <c r="W797" s="38">
        <f t="shared" si="6"/>
        <v>250000</v>
      </c>
      <c r="X797" s="20"/>
      <c r="Y797" s="38">
        <f t="shared" si="7"/>
        <v>250000</v>
      </c>
      <c r="Z797" s="24">
        <f t="shared" si="3"/>
        <v>1</v>
      </c>
      <c r="AA797" s="23">
        <f t="shared" si="5"/>
        <v>250000</v>
      </c>
      <c r="AB797" s="20"/>
      <c r="AC797" s="20"/>
      <c r="AD797" s="20"/>
      <c r="AE797" s="20"/>
      <c r="AF797" s="20"/>
      <c r="AG797" s="20"/>
      <c r="AH797" s="20"/>
      <c r="AI797" s="20"/>
      <c r="AJ797" s="20"/>
      <c r="AK797" s="20"/>
      <c r="AL797" s="20"/>
      <c r="AM797" s="20"/>
      <c r="AN797" s="20"/>
      <c r="AO797" s="20"/>
      <c r="AP797" s="20"/>
      <c r="AQ797" s="20"/>
      <c r="AR797" s="20"/>
      <c r="AS797" s="20"/>
      <c r="AT797" s="20"/>
    </row>
    <row r="798">
      <c r="A798" s="20">
        <v>796.0</v>
      </c>
      <c r="B798" s="29" t="s">
        <v>783</v>
      </c>
      <c r="C798" s="20"/>
      <c r="D798" s="20"/>
      <c r="E798" s="20"/>
      <c r="F798" s="20"/>
      <c r="G798" s="20"/>
      <c r="H798" s="33" t="s">
        <v>113</v>
      </c>
      <c r="I798" s="33" t="s">
        <v>348</v>
      </c>
      <c r="J798" s="21"/>
      <c r="K798" s="20" t="str">
        <f t="shared" si="1"/>
        <v>Health services</v>
      </c>
      <c r="L798" s="20" t="s">
        <v>67</v>
      </c>
      <c r="M798" s="20" t="str">
        <f t="shared" si="2"/>
        <v>Health services</v>
      </c>
      <c r="N798" s="22" t="s">
        <v>510</v>
      </c>
      <c r="O798" s="22" t="s">
        <v>511</v>
      </c>
      <c r="P798" s="20" t="s">
        <v>512</v>
      </c>
      <c r="Q798" s="20" t="s">
        <v>512</v>
      </c>
      <c r="R798" s="34">
        <v>300000.0</v>
      </c>
      <c r="S798" s="34">
        <v>300000.0</v>
      </c>
      <c r="T798" s="34">
        <v>300000.0</v>
      </c>
      <c r="U798" s="20" t="s">
        <v>71</v>
      </c>
      <c r="V798" s="20"/>
      <c r="W798" s="38">
        <f t="shared" si="6"/>
        <v>300000</v>
      </c>
      <c r="X798" s="20"/>
      <c r="Y798" s="38">
        <f t="shared" si="7"/>
        <v>300000</v>
      </c>
      <c r="Z798" s="24">
        <f t="shared" si="3"/>
        <v>1</v>
      </c>
      <c r="AA798" s="23">
        <f t="shared" si="5"/>
        <v>300000</v>
      </c>
      <c r="AB798" s="20"/>
      <c r="AC798" s="20"/>
      <c r="AD798" s="20"/>
      <c r="AE798" s="20"/>
      <c r="AF798" s="20"/>
      <c r="AG798" s="20"/>
      <c r="AH798" s="20"/>
      <c r="AI798" s="20"/>
      <c r="AJ798" s="20"/>
      <c r="AK798" s="20"/>
      <c r="AL798" s="20"/>
      <c r="AM798" s="20"/>
      <c r="AN798" s="20"/>
      <c r="AO798" s="20"/>
      <c r="AP798" s="20"/>
      <c r="AQ798" s="20"/>
      <c r="AR798" s="20"/>
      <c r="AS798" s="20"/>
      <c r="AT798" s="20"/>
    </row>
    <row r="799">
      <c r="A799" s="20">
        <v>797.0</v>
      </c>
      <c r="B799" s="29" t="s">
        <v>784</v>
      </c>
      <c r="C799" s="20"/>
      <c r="D799" s="20"/>
      <c r="E799" s="20"/>
      <c r="F799" s="20"/>
      <c r="G799" s="20"/>
      <c r="H799" s="33" t="s">
        <v>81</v>
      </c>
      <c r="I799" s="33" t="s">
        <v>81</v>
      </c>
      <c r="J799" s="21"/>
      <c r="K799" s="20" t="str">
        <f t="shared" si="1"/>
        <v>ROADS,TRANSPORT AND PUBLIC WORKS</v>
      </c>
      <c r="L799" s="20" t="s">
        <v>107</v>
      </c>
      <c r="M799" s="20" t="str">
        <f t="shared" si="2"/>
        <v>ROADS,TRANSPORT AND PUBLIC WORKS</v>
      </c>
      <c r="N799" s="22" t="s">
        <v>510</v>
      </c>
      <c r="O799" s="22" t="s">
        <v>511</v>
      </c>
      <c r="P799" s="20" t="s">
        <v>512</v>
      </c>
      <c r="Q799" s="20" t="s">
        <v>512</v>
      </c>
      <c r="R799" s="34">
        <v>250000.0</v>
      </c>
      <c r="S799" s="34">
        <v>250000.0</v>
      </c>
      <c r="T799" s="34">
        <v>250000.0</v>
      </c>
      <c r="U799" s="20" t="s">
        <v>71</v>
      </c>
      <c r="V799" s="20"/>
      <c r="W799" s="38">
        <f t="shared" si="6"/>
        <v>250000</v>
      </c>
      <c r="X799" s="20"/>
      <c r="Y799" s="38">
        <f t="shared" si="7"/>
        <v>250000</v>
      </c>
      <c r="Z799" s="24">
        <f t="shared" si="3"/>
        <v>1</v>
      </c>
      <c r="AA799" s="23">
        <f t="shared" si="5"/>
        <v>250000</v>
      </c>
      <c r="AB799" s="20"/>
      <c r="AC799" s="20"/>
      <c r="AD799" s="20"/>
      <c r="AE799" s="20"/>
      <c r="AF799" s="20"/>
      <c r="AG799" s="20"/>
      <c r="AH799" s="20"/>
      <c r="AI799" s="20"/>
      <c r="AJ799" s="20"/>
      <c r="AK799" s="20"/>
      <c r="AL799" s="20"/>
      <c r="AM799" s="20"/>
      <c r="AN799" s="20"/>
      <c r="AO799" s="20"/>
      <c r="AP799" s="20"/>
      <c r="AQ799" s="20"/>
      <c r="AR799" s="20"/>
      <c r="AS799" s="20"/>
      <c r="AT799" s="20"/>
    </row>
    <row r="800">
      <c r="A800" s="20">
        <v>798.0</v>
      </c>
      <c r="B800" s="29" t="s">
        <v>785</v>
      </c>
      <c r="C800" s="20"/>
      <c r="D800" s="20"/>
      <c r="E800" s="20"/>
      <c r="F800" s="20"/>
      <c r="G800" s="20"/>
      <c r="H800" s="33" t="s">
        <v>65</v>
      </c>
      <c r="I800" s="33" t="s">
        <v>66</v>
      </c>
      <c r="J800" s="21"/>
      <c r="K800" s="20" t="str">
        <f t="shared" si="1"/>
        <v>ROADS,TRANSPORT AND PUBLIC WORKS</v>
      </c>
      <c r="L800" s="20" t="s">
        <v>107</v>
      </c>
      <c r="M800" s="20" t="str">
        <f t="shared" si="2"/>
        <v>ROADS,TRANSPORT AND PUBLIC WORKS</v>
      </c>
      <c r="N800" s="22" t="s">
        <v>510</v>
      </c>
      <c r="O800" s="22" t="s">
        <v>511</v>
      </c>
      <c r="P800" s="20" t="s">
        <v>512</v>
      </c>
      <c r="Q800" s="20" t="s">
        <v>512</v>
      </c>
      <c r="R800" s="34">
        <v>250000.0</v>
      </c>
      <c r="S800" s="34">
        <v>250000.0</v>
      </c>
      <c r="T800" s="34">
        <v>250000.0</v>
      </c>
      <c r="U800" s="20" t="s">
        <v>71</v>
      </c>
      <c r="V800" s="20"/>
      <c r="W800" s="38">
        <f t="shared" si="6"/>
        <v>250000</v>
      </c>
      <c r="X800" s="20"/>
      <c r="Y800" s="38">
        <f t="shared" si="7"/>
        <v>250000</v>
      </c>
      <c r="Z800" s="24">
        <f t="shared" si="3"/>
        <v>1</v>
      </c>
      <c r="AA800" s="23">
        <f t="shared" si="5"/>
        <v>250000</v>
      </c>
      <c r="AB800" s="20"/>
      <c r="AC800" s="20"/>
      <c r="AD800" s="20"/>
      <c r="AE800" s="20"/>
      <c r="AF800" s="20"/>
      <c r="AG800" s="20"/>
      <c r="AH800" s="20"/>
      <c r="AI800" s="20"/>
      <c r="AJ800" s="20"/>
      <c r="AK800" s="20"/>
      <c r="AL800" s="20"/>
      <c r="AM800" s="20"/>
      <c r="AN800" s="20"/>
      <c r="AO800" s="20"/>
      <c r="AP800" s="20"/>
      <c r="AQ800" s="20"/>
      <c r="AR800" s="20"/>
      <c r="AS800" s="20"/>
      <c r="AT800" s="20"/>
    </row>
    <row r="801">
      <c r="A801" s="20">
        <v>799.0</v>
      </c>
      <c r="B801" s="29" t="s">
        <v>354</v>
      </c>
      <c r="C801" s="20"/>
      <c r="D801" s="20"/>
      <c r="E801" s="20"/>
      <c r="F801" s="20"/>
      <c r="G801" s="20"/>
      <c r="H801" s="33" t="s">
        <v>104</v>
      </c>
      <c r="I801" s="33" t="s">
        <v>199</v>
      </c>
      <c r="J801" s="21"/>
      <c r="K801" s="20" t="str">
        <f t="shared" si="1"/>
        <v>ROADS,TRANSPORT AND PUBLIC WORKS</v>
      </c>
      <c r="L801" s="20" t="s">
        <v>107</v>
      </c>
      <c r="M801" s="20" t="str">
        <f t="shared" si="2"/>
        <v>ROADS,TRANSPORT AND PUBLIC WORKS</v>
      </c>
      <c r="N801" s="22" t="s">
        <v>510</v>
      </c>
      <c r="O801" s="22" t="s">
        <v>511</v>
      </c>
      <c r="P801" s="20" t="s">
        <v>512</v>
      </c>
      <c r="Q801" s="20" t="s">
        <v>512</v>
      </c>
      <c r="R801" s="34">
        <v>1462441.5</v>
      </c>
      <c r="S801" s="34">
        <v>1462441.5</v>
      </c>
      <c r="T801" s="34">
        <v>1462441.5</v>
      </c>
      <c r="U801" s="20" t="s">
        <v>71</v>
      </c>
      <c r="V801" s="20"/>
      <c r="W801" s="38">
        <f t="shared" si="6"/>
        <v>1462441.5</v>
      </c>
      <c r="X801" s="20"/>
      <c r="Y801" s="38">
        <f t="shared" si="7"/>
        <v>1462441.5</v>
      </c>
      <c r="Z801" s="24">
        <f t="shared" si="3"/>
        <v>1</v>
      </c>
      <c r="AA801" s="23">
        <f t="shared" si="5"/>
        <v>1462441.5</v>
      </c>
      <c r="AB801" s="20"/>
      <c r="AC801" s="20"/>
      <c r="AD801" s="20"/>
      <c r="AE801" s="20"/>
      <c r="AF801" s="20"/>
      <c r="AG801" s="20"/>
      <c r="AH801" s="20"/>
      <c r="AI801" s="20"/>
      <c r="AJ801" s="20"/>
      <c r="AK801" s="20"/>
      <c r="AL801" s="20"/>
      <c r="AM801" s="20"/>
      <c r="AN801" s="20"/>
      <c r="AO801" s="20"/>
      <c r="AP801" s="20"/>
      <c r="AQ801" s="20"/>
      <c r="AR801" s="20"/>
      <c r="AS801" s="20"/>
      <c r="AT801" s="20"/>
    </row>
    <row r="802">
      <c r="A802" s="20">
        <v>800.0</v>
      </c>
      <c r="B802" s="29" t="s">
        <v>786</v>
      </c>
      <c r="C802" s="20"/>
      <c r="D802" s="20"/>
      <c r="E802" s="20"/>
      <c r="F802" s="20"/>
      <c r="G802" s="20"/>
      <c r="H802" s="33" t="s">
        <v>104</v>
      </c>
      <c r="I802" s="33" t="s">
        <v>104</v>
      </c>
      <c r="J802" s="21"/>
      <c r="K802" s="20" t="str">
        <f t="shared" si="1"/>
        <v>ROADS,TRANSPORT AND PUBLIC WORKS</v>
      </c>
      <c r="L802" s="20" t="s">
        <v>107</v>
      </c>
      <c r="M802" s="20" t="str">
        <f t="shared" si="2"/>
        <v>ROADS,TRANSPORT AND PUBLIC WORKS</v>
      </c>
      <c r="N802" s="22" t="s">
        <v>510</v>
      </c>
      <c r="O802" s="22" t="s">
        <v>511</v>
      </c>
      <c r="P802" s="20" t="s">
        <v>512</v>
      </c>
      <c r="Q802" s="20" t="s">
        <v>512</v>
      </c>
      <c r="R802" s="34">
        <v>1060245.0</v>
      </c>
      <c r="S802" s="34">
        <v>1060245.0</v>
      </c>
      <c r="T802" s="34">
        <v>1060245.0</v>
      </c>
      <c r="U802" s="20" t="s">
        <v>71</v>
      </c>
      <c r="V802" s="20"/>
      <c r="W802" s="38">
        <f t="shared" si="6"/>
        <v>1060245</v>
      </c>
      <c r="X802" s="20"/>
      <c r="Y802" s="38">
        <f t="shared" si="7"/>
        <v>1060245</v>
      </c>
      <c r="Z802" s="24">
        <f t="shared" si="3"/>
        <v>1</v>
      </c>
      <c r="AA802" s="23">
        <f t="shared" si="5"/>
        <v>1060245</v>
      </c>
      <c r="AB802" s="20"/>
      <c r="AC802" s="20"/>
      <c r="AD802" s="20"/>
      <c r="AE802" s="20"/>
      <c r="AF802" s="20"/>
      <c r="AG802" s="20"/>
      <c r="AH802" s="20"/>
      <c r="AI802" s="20"/>
      <c r="AJ802" s="20"/>
      <c r="AK802" s="20"/>
      <c r="AL802" s="20"/>
      <c r="AM802" s="20"/>
      <c r="AN802" s="20"/>
      <c r="AO802" s="20"/>
      <c r="AP802" s="20"/>
      <c r="AQ802" s="20"/>
      <c r="AR802" s="20"/>
      <c r="AS802" s="20"/>
      <c r="AT802" s="20"/>
    </row>
    <row r="803">
      <c r="A803" s="20">
        <v>801.0</v>
      </c>
      <c r="B803" s="29" t="s">
        <v>787</v>
      </c>
      <c r="C803" s="20"/>
      <c r="D803" s="20"/>
      <c r="E803" s="20"/>
      <c r="F803" s="20"/>
      <c r="G803" s="20"/>
      <c r="H803" s="33" t="s">
        <v>65</v>
      </c>
      <c r="I803" s="33" t="s">
        <v>66</v>
      </c>
      <c r="J803" s="21"/>
      <c r="K803" s="20" t="str">
        <f t="shared" si="1"/>
        <v>ROADS,TRANSPORT AND PUBLIC WORKS</v>
      </c>
      <c r="L803" s="20" t="s">
        <v>107</v>
      </c>
      <c r="M803" s="20" t="str">
        <f t="shared" si="2"/>
        <v>ROADS,TRANSPORT AND PUBLIC WORKS</v>
      </c>
      <c r="N803" s="22" t="s">
        <v>510</v>
      </c>
      <c r="O803" s="22" t="s">
        <v>511</v>
      </c>
      <c r="P803" s="20" t="s">
        <v>512</v>
      </c>
      <c r="Q803" s="20" t="s">
        <v>512</v>
      </c>
      <c r="R803" s="34">
        <v>500000.0</v>
      </c>
      <c r="S803" s="34">
        <v>500000.0</v>
      </c>
      <c r="T803" s="34">
        <v>500000.0</v>
      </c>
      <c r="U803" s="20" t="s">
        <v>71</v>
      </c>
      <c r="V803" s="20"/>
      <c r="W803" s="38">
        <f t="shared" si="6"/>
        <v>500000</v>
      </c>
      <c r="X803" s="20"/>
      <c r="Y803" s="38">
        <f t="shared" si="7"/>
        <v>500000</v>
      </c>
      <c r="Z803" s="24">
        <f t="shared" si="3"/>
        <v>1</v>
      </c>
      <c r="AA803" s="23">
        <f t="shared" si="5"/>
        <v>500000</v>
      </c>
      <c r="AB803" s="20"/>
      <c r="AC803" s="20"/>
      <c r="AD803" s="20"/>
      <c r="AE803" s="20"/>
      <c r="AF803" s="20"/>
      <c r="AG803" s="20"/>
      <c r="AH803" s="20"/>
      <c r="AI803" s="20"/>
      <c r="AJ803" s="20"/>
      <c r="AK803" s="20"/>
      <c r="AL803" s="20"/>
      <c r="AM803" s="20"/>
      <c r="AN803" s="20"/>
      <c r="AO803" s="20"/>
      <c r="AP803" s="20"/>
      <c r="AQ803" s="20"/>
      <c r="AR803" s="20"/>
      <c r="AS803" s="20"/>
      <c r="AT803" s="20"/>
    </row>
    <row r="804">
      <c r="A804" s="20">
        <v>802.0</v>
      </c>
      <c r="B804" s="29" t="s">
        <v>788</v>
      </c>
      <c r="C804" s="20"/>
      <c r="D804" s="20"/>
      <c r="E804" s="20"/>
      <c r="F804" s="20"/>
      <c r="G804" s="20"/>
      <c r="H804" s="33" t="s">
        <v>77</v>
      </c>
      <c r="I804" s="33" t="s">
        <v>77</v>
      </c>
      <c r="J804" s="21"/>
      <c r="K804" s="20" t="str">
        <f t="shared" si="1"/>
        <v>WATER,ENVIRONMENT,CLIMATE CHANGE AND NATURAL RESOURCES</v>
      </c>
      <c r="L804" s="20" t="s">
        <v>75</v>
      </c>
      <c r="M804" s="20" t="str">
        <f t="shared" si="2"/>
        <v>WATER,ENVIRONMENT,CLIMATE CHANGE AND NATURAL RESOURCES</v>
      </c>
      <c r="N804" s="22" t="s">
        <v>510</v>
      </c>
      <c r="O804" s="22" t="s">
        <v>511</v>
      </c>
      <c r="P804" s="20" t="s">
        <v>512</v>
      </c>
      <c r="Q804" s="20" t="s">
        <v>512</v>
      </c>
      <c r="R804" s="34">
        <v>500000.0</v>
      </c>
      <c r="S804" s="34">
        <v>500000.0</v>
      </c>
      <c r="T804" s="34">
        <v>500000.0</v>
      </c>
      <c r="U804" s="20" t="s">
        <v>71</v>
      </c>
      <c r="V804" s="20"/>
      <c r="W804" s="38">
        <f t="shared" si="6"/>
        <v>500000</v>
      </c>
      <c r="X804" s="20"/>
      <c r="Y804" s="38">
        <f t="shared" si="7"/>
        <v>500000</v>
      </c>
      <c r="Z804" s="24">
        <f t="shared" si="3"/>
        <v>1</v>
      </c>
      <c r="AA804" s="23">
        <f t="shared" si="5"/>
        <v>500000</v>
      </c>
      <c r="AB804" s="20"/>
      <c r="AC804" s="20"/>
      <c r="AD804" s="20"/>
      <c r="AE804" s="20"/>
      <c r="AF804" s="20"/>
      <c r="AG804" s="20"/>
      <c r="AH804" s="20"/>
      <c r="AI804" s="20"/>
      <c r="AJ804" s="20"/>
      <c r="AK804" s="20"/>
      <c r="AL804" s="20"/>
      <c r="AM804" s="20"/>
      <c r="AN804" s="20"/>
      <c r="AO804" s="20"/>
      <c r="AP804" s="20"/>
      <c r="AQ804" s="20"/>
      <c r="AR804" s="20"/>
      <c r="AS804" s="20"/>
      <c r="AT804" s="20"/>
    </row>
    <row r="805">
      <c r="A805" s="20">
        <v>803.0</v>
      </c>
      <c r="B805" s="29" t="s">
        <v>789</v>
      </c>
      <c r="C805" s="20"/>
      <c r="D805" s="20"/>
      <c r="E805" s="20"/>
      <c r="F805" s="20"/>
      <c r="G805" s="20"/>
      <c r="H805" s="33" t="s">
        <v>160</v>
      </c>
      <c r="I805" s="33" t="s">
        <v>160</v>
      </c>
      <c r="J805" s="21"/>
      <c r="K805" s="20" t="str">
        <f t="shared" si="1"/>
        <v>ROADS,TRANSPORT AND PUBLIC WORKS</v>
      </c>
      <c r="L805" s="20" t="s">
        <v>107</v>
      </c>
      <c r="M805" s="20" t="str">
        <f t="shared" si="2"/>
        <v>ROADS,TRANSPORT AND PUBLIC WORKS</v>
      </c>
      <c r="N805" s="22" t="s">
        <v>510</v>
      </c>
      <c r="O805" s="22" t="s">
        <v>511</v>
      </c>
      <c r="P805" s="20" t="s">
        <v>512</v>
      </c>
      <c r="Q805" s="20" t="s">
        <v>512</v>
      </c>
      <c r="R805" s="34">
        <v>4000000.0</v>
      </c>
      <c r="S805" s="34">
        <v>4000000.0</v>
      </c>
      <c r="T805" s="34">
        <v>4000000.0</v>
      </c>
      <c r="U805" s="20" t="s">
        <v>71</v>
      </c>
      <c r="V805" s="20"/>
      <c r="W805" s="38">
        <f t="shared" si="6"/>
        <v>4000000</v>
      </c>
      <c r="X805" s="20"/>
      <c r="Y805" s="38">
        <f t="shared" si="7"/>
        <v>4000000</v>
      </c>
      <c r="Z805" s="24">
        <f t="shared" si="3"/>
        <v>1</v>
      </c>
      <c r="AA805" s="23">
        <f t="shared" si="5"/>
        <v>4000000</v>
      </c>
      <c r="AB805" s="20"/>
      <c r="AC805" s="20"/>
      <c r="AD805" s="20"/>
      <c r="AE805" s="20"/>
      <c r="AF805" s="20"/>
      <c r="AG805" s="20"/>
      <c r="AH805" s="20"/>
      <c r="AI805" s="20"/>
      <c r="AJ805" s="20"/>
      <c r="AK805" s="20"/>
      <c r="AL805" s="20"/>
      <c r="AM805" s="20"/>
      <c r="AN805" s="20"/>
      <c r="AO805" s="20"/>
      <c r="AP805" s="20"/>
      <c r="AQ805" s="20"/>
      <c r="AR805" s="20"/>
      <c r="AS805" s="20"/>
      <c r="AT805" s="20"/>
    </row>
    <row r="806">
      <c r="A806" s="20">
        <v>804.0</v>
      </c>
      <c r="B806" s="29" t="s">
        <v>790</v>
      </c>
      <c r="C806" s="20"/>
      <c r="D806" s="20"/>
      <c r="E806" s="20"/>
      <c r="F806" s="20"/>
      <c r="G806" s="20"/>
      <c r="H806" s="33" t="s">
        <v>65</v>
      </c>
      <c r="I806" s="33" t="s">
        <v>66</v>
      </c>
      <c r="J806" s="21"/>
      <c r="K806" s="20" t="str">
        <f t="shared" si="1"/>
        <v>ROADS,TRANSPORT AND PUBLIC WORKS</v>
      </c>
      <c r="L806" s="20" t="s">
        <v>107</v>
      </c>
      <c r="M806" s="20" t="str">
        <f t="shared" si="2"/>
        <v>ROADS,TRANSPORT AND PUBLIC WORKS</v>
      </c>
      <c r="N806" s="22" t="s">
        <v>510</v>
      </c>
      <c r="O806" s="22" t="s">
        <v>511</v>
      </c>
      <c r="P806" s="20" t="s">
        <v>512</v>
      </c>
      <c r="Q806" s="20" t="s">
        <v>512</v>
      </c>
      <c r="R806" s="34">
        <v>500000.0</v>
      </c>
      <c r="S806" s="34">
        <v>500000.0</v>
      </c>
      <c r="T806" s="34">
        <v>500000.0</v>
      </c>
      <c r="U806" s="20" t="s">
        <v>71</v>
      </c>
      <c r="V806" s="20"/>
      <c r="W806" s="38">
        <f t="shared" si="6"/>
        <v>500000</v>
      </c>
      <c r="X806" s="20"/>
      <c r="Y806" s="38">
        <f t="shared" si="7"/>
        <v>500000</v>
      </c>
      <c r="Z806" s="24">
        <f t="shared" si="3"/>
        <v>1</v>
      </c>
      <c r="AA806" s="23">
        <f t="shared" si="5"/>
        <v>500000</v>
      </c>
      <c r="AB806" s="20"/>
      <c r="AC806" s="20"/>
      <c r="AD806" s="20"/>
      <c r="AE806" s="20"/>
      <c r="AF806" s="20"/>
      <c r="AG806" s="20"/>
      <c r="AH806" s="20"/>
      <c r="AI806" s="20"/>
      <c r="AJ806" s="20"/>
      <c r="AK806" s="20"/>
      <c r="AL806" s="20"/>
      <c r="AM806" s="20"/>
      <c r="AN806" s="20"/>
      <c r="AO806" s="20"/>
      <c r="AP806" s="20"/>
      <c r="AQ806" s="20"/>
      <c r="AR806" s="20"/>
      <c r="AS806" s="20"/>
      <c r="AT806" s="20"/>
    </row>
    <row r="807">
      <c r="A807" s="20">
        <v>805.0</v>
      </c>
      <c r="B807" s="29" t="s">
        <v>791</v>
      </c>
      <c r="C807" s="20"/>
      <c r="D807" s="20"/>
      <c r="E807" s="20"/>
      <c r="F807" s="20"/>
      <c r="G807" s="20"/>
      <c r="H807" s="33" t="s">
        <v>81</v>
      </c>
      <c r="I807" s="33" t="s">
        <v>81</v>
      </c>
      <c r="J807" s="21"/>
      <c r="K807" s="20" t="str">
        <f t="shared" si="1"/>
        <v>ROADS,TRANSPORT AND PUBLIC WORKS</v>
      </c>
      <c r="L807" s="20" t="s">
        <v>107</v>
      </c>
      <c r="M807" s="20" t="str">
        <f t="shared" si="2"/>
        <v>ROADS,TRANSPORT AND PUBLIC WORKS</v>
      </c>
      <c r="N807" s="22" t="s">
        <v>510</v>
      </c>
      <c r="O807" s="22" t="s">
        <v>511</v>
      </c>
      <c r="P807" s="20" t="s">
        <v>512</v>
      </c>
      <c r="Q807" s="20" t="s">
        <v>512</v>
      </c>
      <c r="R807" s="34">
        <v>1013425.0</v>
      </c>
      <c r="S807" s="34">
        <v>1013425.0</v>
      </c>
      <c r="T807" s="34">
        <v>1013425.0</v>
      </c>
      <c r="U807" s="20" t="s">
        <v>71</v>
      </c>
      <c r="V807" s="20"/>
      <c r="W807" s="38">
        <f t="shared" si="6"/>
        <v>1013425</v>
      </c>
      <c r="X807" s="20"/>
      <c r="Y807" s="38">
        <f t="shared" si="7"/>
        <v>1013425</v>
      </c>
      <c r="Z807" s="24">
        <f t="shared" si="3"/>
        <v>1</v>
      </c>
      <c r="AA807" s="23">
        <f t="shared" si="5"/>
        <v>1013425</v>
      </c>
      <c r="AB807" s="20"/>
      <c r="AC807" s="20"/>
      <c r="AD807" s="20"/>
      <c r="AE807" s="20"/>
      <c r="AF807" s="20"/>
      <c r="AG807" s="20"/>
      <c r="AH807" s="20"/>
      <c r="AI807" s="20"/>
      <c r="AJ807" s="20"/>
      <c r="AK807" s="20"/>
      <c r="AL807" s="20"/>
      <c r="AM807" s="20"/>
      <c r="AN807" s="20"/>
      <c r="AO807" s="20"/>
      <c r="AP807" s="20"/>
      <c r="AQ807" s="20"/>
      <c r="AR807" s="20"/>
      <c r="AS807" s="20"/>
      <c r="AT807" s="20"/>
    </row>
    <row r="808">
      <c r="A808" s="20">
        <v>806.0</v>
      </c>
      <c r="B808" s="29" t="s">
        <v>792</v>
      </c>
      <c r="C808" s="20"/>
      <c r="D808" s="20"/>
      <c r="E808" s="20"/>
      <c r="F808" s="20"/>
      <c r="G808" s="20"/>
      <c r="H808" s="33" t="s">
        <v>81</v>
      </c>
      <c r="I808" s="33" t="s">
        <v>81</v>
      </c>
      <c r="J808" s="21"/>
      <c r="K808" s="20" t="str">
        <f t="shared" si="1"/>
        <v>ROADS,TRANSPORT AND PUBLIC WORKS</v>
      </c>
      <c r="L808" s="20" t="s">
        <v>107</v>
      </c>
      <c r="M808" s="20" t="str">
        <f t="shared" si="2"/>
        <v>ROADS,TRANSPORT AND PUBLIC WORKS</v>
      </c>
      <c r="N808" s="22" t="s">
        <v>510</v>
      </c>
      <c r="O808" s="22" t="s">
        <v>511</v>
      </c>
      <c r="P808" s="20" t="s">
        <v>512</v>
      </c>
      <c r="Q808" s="20" t="s">
        <v>512</v>
      </c>
      <c r="R808" s="34">
        <v>1422500.0</v>
      </c>
      <c r="S808" s="34">
        <v>1422500.0</v>
      </c>
      <c r="T808" s="34">
        <v>1422500.0</v>
      </c>
      <c r="U808" s="20" t="s">
        <v>71</v>
      </c>
      <c r="V808" s="20"/>
      <c r="W808" s="38">
        <f t="shared" si="6"/>
        <v>1422500</v>
      </c>
      <c r="X808" s="20"/>
      <c r="Y808" s="38">
        <f t="shared" si="7"/>
        <v>1422500</v>
      </c>
      <c r="Z808" s="24">
        <f t="shared" si="3"/>
        <v>1</v>
      </c>
      <c r="AA808" s="23">
        <f t="shared" si="5"/>
        <v>1422500</v>
      </c>
      <c r="AB808" s="20"/>
      <c r="AC808" s="20"/>
      <c r="AD808" s="20"/>
      <c r="AE808" s="20"/>
      <c r="AF808" s="20"/>
      <c r="AG808" s="20"/>
      <c r="AH808" s="20"/>
      <c r="AI808" s="20"/>
      <c r="AJ808" s="20"/>
      <c r="AK808" s="20"/>
      <c r="AL808" s="20"/>
      <c r="AM808" s="20"/>
      <c r="AN808" s="20"/>
      <c r="AO808" s="20"/>
      <c r="AP808" s="20"/>
      <c r="AQ808" s="20"/>
      <c r="AR808" s="20"/>
      <c r="AS808" s="20"/>
      <c r="AT808" s="20"/>
    </row>
    <row r="809">
      <c r="A809" s="20">
        <v>807.0</v>
      </c>
      <c r="B809" s="29" t="s">
        <v>793</v>
      </c>
      <c r="C809" s="20"/>
      <c r="D809" s="20"/>
      <c r="E809" s="20"/>
      <c r="F809" s="20"/>
      <c r="G809" s="20"/>
      <c r="H809" s="33" t="s">
        <v>160</v>
      </c>
      <c r="I809" s="33" t="s">
        <v>160</v>
      </c>
      <c r="J809" s="21"/>
      <c r="K809" s="20" t="str">
        <f t="shared" si="1"/>
        <v>ROADS,TRANSPORT AND PUBLIC WORKS</v>
      </c>
      <c r="L809" s="20" t="s">
        <v>107</v>
      </c>
      <c r="M809" s="20" t="str">
        <f t="shared" si="2"/>
        <v>ROADS,TRANSPORT AND PUBLIC WORKS</v>
      </c>
      <c r="N809" s="22" t="s">
        <v>510</v>
      </c>
      <c r="O809" s="22" t="s">
        <v>511</v>
      </c>
      <c r="P809" s="20" t="s">
        <v>512</v>
      </c>
      <c r="Q809" s="20" t="s">
        <v>512</v>
      </c>
      <c r="R809" s="34">
        <v>1116113.0</v>
      </c>
      <c r="S809" s="34">
        <v>1116113.0</v>
      </c>
      <c r="T809" s="34">
        <v>1116113.0</v>
      </c>
      <c r="U809" s="20" t="s">
        <v>71</v>
      </c>
      <c r="V809" s="20"/>
      <c r="W809" s="38">
        <f t="shared" si="6"/>
        <v>1116113</v>
      </c>
      <c r="X809" s="20"/>
      <c r="Y809" s="38">
        <f t="shared" si="7"/>
        <v>1116113</v>
      </c>
      <c r="Z809" s="24">
        <f t="shared" si="3"/>
        <v>1</v>
      </c>
      <c r="AA809" s="23">
        <f t="shared" si="5"/>
        <v>1116113</v>
      </c>
      <c r="AB809" s="20"/>
      <c r="AC809" s="20"/>
      <c r="AD809" s="20"/>
      <c r="AE809" s="20"/>
      <c r="AF809" s="20"/>
      <c r="AG809" s="20"/>
      <c r="AH809" s="20"/>
      <c r="AI809" s="20"/>
      <c r="AJ809" s="20"/>
      <c r="AK809" s="20"/>
      <c r="AL809" s="20"/>
      <c r="AM809" s="20"/>
      <c r="AN809" s="20"/>
      <c r="AO809" s="20"/>
      <c r="AP809" s="20"/>
      <c r="AQ809" s="20"/>
      <c r="AR809" s="20"/>
      <c r="AS809" s="20"/>
      <c r="AT809" s="20"/>
    </row>
    <row r="810">
      <c r="A810" s="20">
        <v>808.0</v>
      </c>
      <c r="B810" s="29" t="s">
        <v>794</v>
      </c>
      <c r="C810" s="20"/>
      <c r="D810" s="20"/>
      <c r="E810" s="20"/>
      <c r="F810" s="20"/>
      <c r="G810" s="20"/>
      <c r="H810" s="33" t="s">
        <v>104</v>
      </c>
      <c r="I810" s="33" t="s">
        <v>104</v>
      </c>
      <c r="J810" s="21"/>
      <c r="K810" s="20" t="str">
        <f t="shared" si="1"/>
        <v>ROADS,TRANSPORT AND PUBLIC WORKS</v>
      </c>
      <c r="L810" s="20" t="s">
        <v>107</v>
      </c>
      <c r="M810" s="20" t="str">
        <f t="shared" si="2"/>
        <v>ROADS,TRANSPORT AND PUBLIC WORKS</v>
      </c>
      <c r="N810" s="22" t="s">
        <v>510</v>
      </c>
      <c r="O810" s="22" t="s">
        <v>511</v>
      </c>
      <c r="P810" s="20" t="s">
        <v>512</v>
      </c>
      <c r="Q810" s="20" t="s">
        <v>512</v>
      </c>
      <c r="R810" s="34">
        <v>7125000.0</v>
      </c>
      <c r="S810" s="34">
        <v>7125000.0</v>
      </c>
      <c r="T810" s="34">
        <v>7125000.0</v>
      </c>
      <c r="U810" s="20" t="s">
        <v>71</v>
      </c>
      <c r="V810" s="20"/>
      <c r="W810" s="38">
        <f t="shared" si="6"/>
        <v>7125000</v>
      </c>
      <c r="X810" s="20"/>
      <c r="Y810" s="38">
        <f t="shared" si="7"/>
        <v>7125000</v>
      </c>
      <c r="Z810" s="24">
        <f t="shared" si="3"/>
        <v>1</v>
      </c>
      <c r="AA810" s="23">
        <f t="shared" si="5"/>
        <v>7125000</v>
      </c>
      <c r="AB810" s="20"/>
      <c r="AC810" s="20"/>
      <c r="AD810" s="20"/>
      <c r="AE810" s="20"/>
      <c r="AF810" s="20"/>
      <c r="AG810" s="20"/>
      <c r="AH810" s="20"/>
      <c r="AI810" s="20"/>
      <c r="AJ810" s="20"/>
      <c r="AK810" s="20"/>
      <c r="AL810" s="20"/>
      <c r="AM810" s="20"/>
      <c r="AN810" s="20"/>
      <c r="AO810" s="20"/>
      <c r="AP810" s="20"/>
      <c r="AQ810" s="20"/>
      <c r="AR810" s="20"/>
      <c r="AS810" s="20"/>
      <c r="AT810" s="20"/>
    </row>
    <row r="811">
      <c r="A811" s="20">
        <v>809.0</v>
      </c>
      <c r="B811" s="29" t="s">
        <v>782</v>
      </c>
      <c r="C811" s="20"/>
      <c r="D811" s="20"/>
      <c r="E811" s="20"/>
      <c r="F811" s="20"/>
      <c r="G811" s="20"/>
      <c r="H811" s="33" t="s">
        <v>81</v>
      </c>
      <c r="I811" s="33" t="s">
        <v>81</v>
      </c>
      <c r="J811" s="21"/>
      <c r="K811" s="20" t="str">
        <f t="shared" si="1"/>
        <v>ROADS,TRANSPORT AND PUBLIC WORKS</v>
      </c>
      <c r="L811" s="20" t="s">
        <v>107</v>
      </c>
      <c r="M811" s="20" t="str">
        <f t="shared" si="2"/>
        <v>ROADS,TRANSPORT AND PUBLIC WORKS</v>
      </c>
      <c r="N811" s="22" t="s">
        <v>510</v>
      </c>
      <c r="O811" s="22" t="s">
        <v>511</v>
      </c>
      <c r="P811" s="20" t="s">
        <v>512</v>
      </c>
      <c r="Q811" s="20" t="s">
        <v>512</v>
      </c>
      <c r="R811" s="34">
        <v>250000.0</v>
      </c>
      <c r="S811" s="34">
        <v>250000.0</v>
      </c>
      <c r="T811" s="34">
        <v>250000.0</v>
      </c>
      <c r="U811" s="20" t="s">
        <v>71</v>
      </c>
      <c r="V811" s="20"/>
      <c r="W811" s="38">
        <f t="shared" si="6"/>
        <v>250000</v>
      </c>
      <c r="X811" s="20"/>
      <c r="Y811" s="38">
        <f t="shared" si="7"/>
        <v>250000</v>
      </c>
      <c r="Z811" s="24">
        <f t="shared" si="3"/>
        <v>1</v>
      </c>
      <c r="AA811" s="23">
        <f t="shared" si="5"/>
        <v>250000</v>
      </c>
      <c r="AB811" s="20"/>
      <c r="AC811" s="20"/>
      <c r="AD811" s="20"/>
      <c r="AE811" s="20"/>
      <c r="AF811" s="20"/>
      <c r="AG811" s="20"/>
      <c r="AH811" s="20"/>
      <c r="AI811" s="20"/>
      <c r="AJ811" s="20"/>
      <c r="AK811" s="20"/>
      <c r="AL811" s="20"/>
      <c r="AM811" s="20"/>
      <c r="AN811" s="20"/>
      <c r="AO811" s="20"/>
      <c r="AP811" s="20"/>
      <c r="AQ811" s="20"/>
      <c r="AR811" s="20"/>
      <c r="AS811" s="20"/>
      <c r="AT811" s="20"/>
    </row>
    <row r="812">
      <c r="A812" s="20">
        <v>810.0</v>
      </c>
      <c r="B812" s="29" t="s">
        <v>795</v>
      </c>
      <c r="C812" s="20"/>
      <c r="D812" s="20"/>
      <c r="E812" s="20"/>
      <c r="F812" s="20"/>
      <c r="G812" s="20"/>
      <c r="H812" s="33" t="s">
        <v>160</v>
      </c>
      <c r="I812" s="33" t="s">
        <v>160</v>
      </c>
      <c r="J812" s="21"/>
      <c r="K812" s="20" t="str">
        <f t="shared" si="1"/>
        <v>ROADS,TRANSPORT AND PUBLIC WORKS</v>
      </c>
      <c r="L812" s="20" t="s">
        <v>107</v>
      </c>
      <c r="M812" s="20" t="str">
        <f t="shared" si="2"/>
        <v>ROADS,TRANSPORT AND PUBLIC WORKS</v>
      </c>
      <c r="N812" s="22" t="s">
        <v>510</v>
      </c>
      <c r="O812" s="22" t="s">
        <v>511</v>
      </c>
      <c r="P812" s="20" t="s">
        <v>512</v>
      </c>
      <c r="Q812" s="20" t="s">
        <v>512</v>
      </c>
      <c r="R812" s="34">
        <v>1052928.3</v>
      </c>
      <c r="S812" s="34">
        <v>1052928.3</v>
      </c>
      <c r="T812" s="34">
        <v>1052928.3</v>
      </c>
      <c r="U812" s="20" t="s">
        <v>71</v>
      </c>
      <c r="V812" s="20"/>
      <c r="W812" s="38">
        <f t="shared" si="6"/>
        <v>1052928.3</v>
      </c>
      <c r="X812" s="20"/>
      <c r="Y812" s="38">
        <f t="shared" si="7"/>
        <v>1052928.3</v>
      </c>
      <c r="Z812" s="24">
        <f t="shared" si="3"/>
        <v>1</v>
      </c>
      <c r="AA812" s="23">
        <f t="shared" si="5"/>
        <v>1052928.3</v>
      </c>
      <c r="AB812" s="20"/>
      <c r="AC812" s="20"/>
      <c r="AD812" s="20"/>
      <c r="AE812" s="20"/>
      <c r="AF812" s="20"/>
      <c r="AG812" s="20"/>
      <c r="AH812" s="20"/>
      <c r="AI812" s="20"/>
      <c r="AJ812" s="20"/>
      <c r="AK812" s="20"/>
      <c r="AL812" s="20"/>
      <c r="AM812" s="20"/>
      <c r="AN812" s="20"/>
      <c r="AO812" s="20"/>
      <c r="AP812" s="20"/>
      <c r="AQ812" s="20"/>
      <c r="AR812" s="20"/>
      <c r="AS812" s="20"/>
      <c r="AT812" s="20"/>
    </row>
    <row r="813">
      <c r="A813" s="20">
        <v>811.0</v>
      </c>
      <c r="B813" s="29" t="s">
        <v>796</v>
      </c>
      <c r="C813" s="20"/>
      <c r="D813" s="20"/>
      <c r="E813" s="20"/>
      <c r="F813" s="20"/>
      <c r="G813" s="20"/>
      <c r="H813" s="33" t="s">
        <v>160</v>
      </c>
      <c r="I813" s="33" t="s">
        <v>160</v>
      </c>
      <c r="J813" s="21"/>
      <c r="K813" s="20" t="str">
        <f t="shared" si="1"/>
        <v>ROADS,TRANSPORT AND PUBLIC WORKS</v>
      </c>
      <c r="L813" s="20" t="s">
        <v>107</v>
      </c>
      <c r="M813" s="20" t="str">
        <f t="shared" si="2"/>
        <v>ROADS,TRANSPORT AND PUBLIC WORKS</v>
      </c>
      <c r="N813" s="22" t="s">
        <v>510</v>
      </c>
      <c r="O813" s="22" t="s">
        <v>511</v>
      </c>
      <c r="P813" s="20" t="s">
        <v>512</v>
      </c>
      <c r="Q813" s="20" t="s">
        <v>512</v>
      </c>
      <c r="R813" s="34">
        <v>978001.6</v>
      </c>
      <c r="S813" s="34">
        <v>978001.6</v>
      </c>
      <c r="T813" s="34">
        <v>978001.6</v>
      </c>
      <c r="U813" s="20" t="s">
        <v>71</v>
      </c>
      <c r="V813" s="20"/>
      <c r="W813" s="38">
        <f t="shared" si="6"/>
        <v>978001.6</v>
      </c>
      <c r="X813" s="20"/>
      <c r="Y813" s="38">
        <f t="shared" si="7"/>
        <v>978001.6</v>
      </c>
      <c r="Z813" s="24">
        <f t="shared" si="3"/>
        <v>1</v>
      </c>
      <c r="AA813" s="23">
        <f t="shared" si="5"/>
        <v>978001.6</v>
      </c>
      <c r="AB813" s="20"/>
      <c r="AC813" s="20"/>
      <c r="AD813" s="20"/>
      <c r="AE813" s="20"/>
      <c r="AF813" s="20"/>
      <c r="AG813" s="20"/>
      <c r="AH813" s="20"/>
      <c r="AI813" s="20"/>
      <c r="AJ813" s="20"/>
      <c r="AK813" s="20"/>
      <c r="AL813" s="20"/>
      <c r="AM813" s="20"/>
      <c r="AN813" s="20"/>
      <c r="AO813" s="20"/>
      <c r="AP813" s="20"/>
      <c r="AQ813" s="20"/>
      <c r="AR813" s="20"/>
      <c r="AS813" s="20"/>
      <c r="AT813" s="20"/>
    </row>
    <row r="814">
      <c r="A814" s="20">
        <v>812.0</v>
      </c>
      <c r="B814" s="29" t="s">
        <v>363</v>
      </c>
      <c r="C814" s="20"/>
      <c r="D814" s="20"/>
      <c r="E814" s="20"/>
      <c r="F814" s="20"/>
      <c r="G814" s="20"/>
      <c r="H814" s="33" t="s">
        <v>77</v>
      </c>
      <c r="I814" s="33" t="s">
        <v>77</v>
      </c>
      <c r="J814" s="21"/>
      <c r="K814" s="20" t="str">
        <f t="shared" si="1"/>
        <v>ROADS,TRANSPORT AND PUBLIC WORKS</v>
      </c>
      <c r="L814" s="20" t="s">
        <v>107</v>
      </c>
      <c r="M814" s="20" t="str">
        <f t="shared" si="2"/>
        <v>ROADS,TRANSPORT AND PUBLIC WORKS</v>
      </c>
      <c r="N814" s="22" t="s">
        <v>510</v>
      </c>
      <c r="O814" s="22" t="s">
        <v>511</v>
      </c>
      <c r="P814" s="20" t="s">
        <v>512</v>
      </c>
      <c r="Q814" s="20" t="s">
        <v>512</v>
      </c>
      <c r="R814" s="34">
        <v>1557766.0</v>
      </c>
      <c r="S814" s="34">
        <v>1557766.0</v>
      </c>
      <c r="T814" s="34">
        <v>1557766.0</v>
      </c>
      <c r="U814" s="20" t="s">
        <v>71</v>
      </c>
      <c r="V814" s="20"/>
      <c r="W814" s="38">
        <f t="shared" si="6"/>
        <v>1557766</v>
      </c>
      <c r="X814" s="20"/>
      <c r="Y814" s="38">
        <f t="shared" si="7"/>
        <v>1557766</v>
      </c>
      <c r="Z814" s="24">
        <f t="shared" si="3"/>
        <v>1</v>
      </c>
      <c r="AA814" s="23">
        <f t="shared" si="5"/>
        <v>1557766</v>
      </c>
      <c r="AB814" s="20"/>
      <c r="AC814" s="20"/>
      <c r="AD814" s="20"/>
      <c r="AE814" s="20"/>
      <c r="AF814" s="20"/>
      <c r="AG814" s="20"/>
      <c r="AH814" s="20"/>
      <c r="AI814" s="20"/>
      <c r="AJ814" s="20"/>
      <c r="AK814" s="20"/>
      <c r="AL814" s="20"/>
      <c r="AM814" s="20"/>
      <c r="AN814" s="20"/>
      <c r="AO814" s="20"/>
      <c r="AP814" s="20"/>
      <c r="AQ814" s="20"/>
      <c r="AR814" s="20"/>
      <c r="AS814" s="20"/>
      <c r="AT814" s="20"/>
    </row>
    <row r="815">
      <c r="A815" s="20">
        <v>813.0</v>
      </c>
      <c r="B815" s="29" t="s">
        <v>797</v>
      </c>
      <c r="C815" s="20"/>
      <c r="D815" s="20"/>
      <c r="E815" s="20"/>
      <c r="F815" s="20"/>
      <c r="G815" s="20"/>
      <c r="H815" s="33" t="s">
        <v>65</v>
      </c>
      <c r="I815" s="33" t="s">
        <v>66</v>
      </c>
      <c r="J815" s="21"/>
      <c r="K815" s="20" t="str">
        <f t="shared" si="1"/>
        <v>ROADS,TRANSPORT AND PUBLIC WORKS</v>
      </c>
      <c r="L815" s="20" t="s">
        <v>107</v>
      </c>
      <c r="M815" s="20" t="str">
        <f t="shared" si="2"/>
        <v>ROADS,TRANSPORT AND PUBLIC WORKS</v>
      </c>
      <c r="N815" s="22" t="s">
        <v>510</v>
      </c>
      <c r="O815" s="22" t="s">
        <v>511</v>
      </c>
      <c r="P815" s="20" t="s">
        <v>512</v>
      </c>
      <c r="Q815" s="20" t="s">
        <v>512</v>
      </c>
      <c r="R815" s="34">
        <v>1000000.0</v>
      </c>
      <c r="S815" s="34">
        <v>1000000.0</v>
      </c>
      <c r="T815" s="34">
        <v>1000000.0</v>
      </c>
      <c r="U815" s="20" t="s">
        <v>71</v>
      </c>
      <c r="V815" s="20"/>
      <c r="W815" s="38">
        <f t="shared" si="6"/>
        <v>1000000</v>
      </c>
      <c r="X815" s="20"/>
      <c r="Y815" s="38">
        <f t="shared" si="7"/>
        <v>1000000</v>
      </c>
      <c r="Z815" s="24">
        <f t="shared" si="3"/>
        <v>1</v>
      </c>
      <c r="AA815" s="23">
        <f t="shared" si="5"/>
        <v>1000000</v>
      </c>
      <c r="AB815" s="20"/>
      <c r="AC815" s="20"/>
      <c r="AD815" s="20"/>
      <c r="AE815" s="20"/>
      <c r="AF815" s="20"/>
      <c r="AG815" s="20"/>
      <c r="AH815" s="20"/>
      <c r="AI815" s="20"/>
      <c r="AJ815" s="20"/>
      <c r="AK815" s="20"/>
      <c r="AL815" s="20"/>
      <c r="AM815" s="20"/>
      <c r="AN815" s="20"/>
      <c r="AO815" s="20"/>
      <c r="AP815" s="20"/>
      <c r="AQ815" s="20"/>
      <c r="AR815" s="20"/>
      <c r="AS815" s="20"/>
      <c r="AT815" s="20"/>
    </row>
    <row r="816">
      <c r="A816" s="20">
        <v>814.0</v>
      </c>
      <c r="B816" s="29" t="s">
        <v>798</v>
      </c>
      <c r="C816" s="20"/>
      <c r="D816" s="20"/>
      <c r="E816" s="20"/>
      <c r="F816" s="20"/>
      <c r="G816" s="20"/>
      <c r="H816" s="33" t="s">
        <v>65</v>
      </c>
      <c r="I816" s="33" t="s">
        <v>66</v>
      </c>
      <c r="J816" s="21"/>
      <c r="K816" s="20" t="str">
        <f t="shared" si="1"/>
        <v>ROADS,TRANSPORT AND PUBLIC WORKS</v>
      </c>
      <c r="L816" s="20" t="s">
        <v>107</v>
      </c>
      <c r="M816" s="20" t="str">
        <f t="shared" si="2"/>
        <v>ROADS,TRANSPORT AND PUBLIC WORKS</v>
      </c>
      <c r="N816" s="22" t="s">
        <v>510</v>
      </c>
      <c r="O816" s="22" t="s">
        <v>511</v>
      </c>
      <c r="P816" s="20" t="s">
        <v>512</v>
      </c>
      <c r="Q816" s="20" t="s">
        <v>512</v>
      </c>
      <c r="R816" s="34">
        <v>300000.0</v>
      </c>
      <c r="S816" s="34">
        <v>300000.0</v>
      </c>
      <c r="T816" s="34">
        <v>300000.0</v>
      </c>
      <c r="U816" s="20" t="s">
        <v>71</v>
      </c>
      <c r="V816" s="20"/>
      <c r="W816" s="38">
        <f t="shared" si="6"/>
        <v>300000</v>
      </c>
      <c r="X816" s="20"/>
      <c r="Y816" s="38">
        <f t="shared" si="7"/>
        <v>300000</v>
      </c>
      <c r="Z816" s="24">
        <f t="shared" si="3"/>
        <v>1</v>
      </c>
      <c r="AA816" s="23">
        <f t="shared" si="5"/>
        <v>300000</v>
      </c>
      <c r="AB816" s="20"/>
      <c r="AC816" s="20"/>
      <c r="AD816" s="20"/>
      <c r="AE816" s="20"/>
      <c r="AF816" s="20"/>
      <c r="AG816" s="20"/>
      <c r="AH816" s="20"/>
      <c r="AI816" s="20"/>
      <c r="AJ816" s="20"/>
      <c r="AK816" s="20"/>
      <c r="AL816" s="20"/>
      <c r="AM816" s="20"/>
      <c r="AN816" s="20"/>
      <c r="AO816" s="20"/>
      <c r="AP816" s="20"/>
      <c r="AQ816" s="20"/>
      <c r="AR816" s="20"/>
      <c r="AS816" s="20"/>
      <c r="AT816" s="20"/>
    </row>
    <row r="817">
      <c r="A817" s="20">
        <v>815.0</v>
      </c>
      <c r="B817" s="29" t="s">
        <v>747</v>
      </c>
      <c r="C817" s="20"/>
      <c r="D817" s="20"/>
      <c r="E817" s="20"/>
      <c r="F817" s="20"/>
      <c r="G817" s="20"/>
      <c r="H817" s="33" t="s">
        <v>77</v>
      </c>
      <c r="I817" s="33" t="s">
        <v>77</v>
      </c>
      <c r="J817" s="21"/>
      <c r="K817" s="20" t="str">
        <f t="shared" si="1"/>
        <v>ROADS,TRANSPORT AND PUBLIC WORKS</v>
      </c>
      <c r="L817" s="20" t="s">
        <v>107</v>
      </c>
      <c r="M817" s="20" t="str">
        <f t="shared" si="2"/>
        <v>ROADS,TRANSPORT AND PUBLIC WORKS</v>
      </c>
      <c r="N817" s="22" t="s">
        <v>510</v>
      </c>
      <c r="O817" s="22" t="s">
        <v>511</v>
      </c>
      <c r="P817" s="20" t="s">
        <v>512</v>
      </c>
      <c r="Q817" s="20" t="s">
        <v>512</v>
      </c>
      <c r="R817" s="34">
        <v>5000000.0</v>
      </c>
      <c r="S817" s="34">
        <v>5000000.0</v>
      </c>
      <c r="T817" s="34">
        <v>5000000.0</v>
      </c>
      <c r="U817" s="20" t="s">
        <v>71</v>
      </c>
      <c r="V817" s="20"/>
      <c r="W817" s="38">
        <f t="shared" si="6"/>
        <v>5000000</v>
      </c>
      <c r="X817" s="20"/>
      <c r="Y817" s="38">
        <f t="shared" si="7"/>
        <v>5000000</v>
      </c>
      <c r="Z817" s="24">
        <f t="shared" si="3"/>
        <v>1</v>
      </c>
      <c r="AA817" s="23">
        <f t="shared" si="5"/>
        <v>5000000</v>
      </c>
      <c r="AB817" s="20"/>
      <c r="AC817" s="20"/>
      <c r="AD817" s="20"/>
      <c r="AE817" s="20"/>
      <c r="AF817" s="20"/>
      <c r="AG817" s="20"/>
      <c r="AH817" s="20"/>
      <c r="AI817" s="20"/>
      <c r="AJ817" s="20"/>
      <c r="AK817" s="20"/>
      <c r="AL817" s="20"/>
      <c r="AM817" s="20"/>
      <c r="AN817" s="20"/>
      <c r="AO817" s="20"/>
      <c r="AP817" s="20"/>
      <c r="AQ817" s="20"/>
      <c r="AR817" s="20"/>
      <c r="AS817" s="20"/>
      <c r="AT817" s="20"/>
    </row>
    <row r="818">
      <c r="A818" s="20">
        <v>816.0</v>
      </c>
      <c r="B818" s="29" t="s">
        <v>358</v>
      </c>
      <c r="C818" s="20"/>
      <c r="D818" s="20"/>
      <c r="E818" s="20"/>
      <c r="F818" s="20"/>
      <c r="G818" s="20"/>
      <c r="H818" s="33" t="s">
        <v>104</v>
      </c>
      <c r="I818" s="33" t="s">
        <v>104</v>
      </c>
      <c r="J818" s="21"/>
      <c r="K818" s="20" t="str">
        <f t="shared" si="1"/>
        <v>ROADS,TRANSPORT AND PUBLIC WORKS</v>
      </c>
      <c r="L818" s="20" t="s">
        <v>107</v>
      </c>
      <c r="M818" s="20" t="str">
        <f t="shared" si="2"/>
        <v>ROADS,TRANSPORT AND PUBLIC WORKS</v>
      </c>
      <c r="N818" s="22" t="s">
        <v>510</v>
      </c>
      <c r="O818" s="22" t="s">
        <v>511</v>
      </c>
      <c r="P818" s="20" t="s">
        <v>512</v>
      </c>
      <c r="Q818" s="20" t="s">
        <v>512</v>
      </c>
      <c r="R818" s="34">
        <v>1119405.7</v>
      </c>
      <c r="S818" s="34">
        <v>1119405.7</v>
      </c>
      <c r="T818" s="34">
        <v>1119405.7</v>
      </c>
      <c r="U818" s="20" t="s">
        <v>71</v>
      </c>
      <c r="V818" s="20"/>
      <c r="W818" s="38">
        <f t="shared" si="6"/>
        <v>1119405.7</v>
      </c>
      <c r="X818" s="20"/>
      <c r="Y818" s="38">
        <f t="shared" si="7"/>
        <v>1119405.7</v>
      </c>
      <c r="Z818" s="24">
        <f t="shared" si="3"/>
        <v>1</v>
      </c>
      <c r="AA818" s="23">
        <f t="shared" si="5"/>
        <v>1119405.7</v>
      </c>
      <c r="AB818" s="20"/>
      <c r="AC818" s="20"/>
      <c r="AD818" s="20"/>
      <c r="AE818" s="20"/>
      <c r="AF818" s="20"/>
      <c r="AG818" s="20"/>
      <c r="AH818" s="20"/>
      <c r="AI818" s="20"/>
      <c r="AJ818" s="20"/>
      <c r="AK818" s="20"/>
      <c r="AL818" s="20"/>
      <c r="AM818" s="20"/>
      <c r="AN818" s="20"/>
      <c r="AO818" s="20"/>
      <c r="AP818" s="20"/>
      <c r="AQ818" s="20"/>
      <c r="AR818" s="20"/>
      <c r="AS818" s="20"/>
      <c r="AT818" s="20"/>
    </row>
    <row r="819">
      <c r="A819" s="20">
        <v>817.0</v>
      </c>
      <c r="B819" s="29" t="s">
        <v>596</v>
      </c>
      <c r="C819" s="20"/>
      <c r="D819" s="20"/>
      <c r="E819" s="20"/>
      <c r="F819" s="20"/>
      <c r="G819" s="20"/>
      <c r="H819" s="33" t="s">
        <v>81</v>
      </c>
      <c r="I819" s="33" t="s">
        <v>151</v>
      </c>
      <c r="J819" s="21"/>
      <c r="K819" s="20" t="str">
        <f t="shared" si="1"/>
        <v>ROADS,TRANSPORT AND PUBLIC WORKS</v>
      </c>
      <c r="L819" s="20" t="s">
        <v>107</v>
      </c>
      <c r="M819" s="20" t="str">
        <f t="shared" si="2"/>
        <v>ROADS,TRANSPORT AND PUBLIC WORKS</v>
      </c>
      <c r="N819" s="22" t="s">
        <v>510</v>
      </c>
      <c r="O819" s="22" t="s">
        <v>511</v>
      </c>
      <c r="P819" s="20" t="s">
        <v>512</v>
      </c>
      <c r="Q819" s="20" t="s">
        <v>512</v>
      </c>
      <c r="R819" s="34">
        <v>2700000.0</v>
      </c>
      <c r="S819" s="34">
        <v>2700000.0</v>
      </c>
      <c r="T819" s="34">
        <v>2700000.0</v>
      </c>
      <c r="U819" s="20" t="s">
        <v>71</v>
      </c>
      <c r="V819" s="20"/>
      <c r="W819" s="38">
        <f t="shared" si="6"/>
        <v>2700000</v>
      </c>
      <c r="X819" s="20"/>
      <c r="Y819" s="38">
        <f t="shared" si="7"/>
        <v>2700000</v>
      </c>
      <c r="Z819" s="24">
        <f t="shared" si="3"/>
        <v>1</v>
      </c>
      <c r="AA819" s="23">
        <f t="shared" si="5"/>
        <v>2700000</v>
      </c>
      <c r="AB819" s="20"/>
      <c r="AC819" s="20"/>
      <c r="AD819" s="20"/>
      <c r="AE819" s="20"/>
      <c r="AF819" s="20"/>
      <c r="AG819" s="20"/>
      <c r="AH819" s="20"/>
      <c r="AI819" s="20"/>
      <c r="AJ819" s="20"/>
      <c r="AK819" s="20"/>
      <c r="AL819" s="20"/>
      <c r="AM819" s="20"/>
      <c r="AN819" s="20"/>
      <c r="AO819" s="20"/>
      <c r="AP819" s="20"/>
      <c r="AQ819" s="20"/>
      <c r="AR819" s="20"/>
      <c r="AS819" s="20"/>
      <c r="AT819" s="20"/>
    </row>
    <row r="820">
      <c r="A820" s="20">
        <v>818.0</v>
      </c>
      <c r="B820" s="29" t="s">
        <v>799</v>
      </c>
      <c r="C820" s="20"/>
      <c r="D820" s="20"/>
      <c r="E820" s="20"/>
      <c r="F820" s="20"/>
      <c r="G820" s="20"/>
      <c r="H820" s="33" t="s">
        <v>81</v>
      </c>
      <c r="I820" s="33" t="s">
        <v>151</v>
      </c>
      <c r="J820" s="21"/>
      <c r="K820" s="20" t="str">
        <f t="shared" si="1"/>
        <v>ROADS,TRANSPORT AND PUBLIC WORKS</v>
      </c>
      <c r="L820" s="20" t="s">
        <v>107</v>
      </c>
      <c r="M820" s="20" t="str">
        <f t="shared" si="2"/>
        <v>ROADS,TRANSPORT AND PUBLIC WORKS</v>
      </c>
      <c r="N820" s="22" t="s">
        <v>510</v>
      </c>
      <c r="O820" s="22" t="s">
        <v>511</v>
      </c>
      <c r="P820" s="20" t="s">
        <v>512</v>
      </c>
      <c r="Q820" s="20" t="s">
        <v>512</v>
      </c>
      <c r="R820" s="34">
        <v>300000.0</v>
      </c>
      <c r="S820" s="34">
        <v>300000.0</v>
      </c>
      <c r="T820" s="34">
        <v>300000.0</v>
      </c>
      <c r="U820" s="20" t="s">
        <v>71</v>
      </c>
      <c r="V820" s="20"/>
      <c r="W820" s="38">
        <f t="shared" si="6"/>
        <v>300000</v>
      </c>
      <c r="X820" s="20"/>
      <c r="Y820" s="38">
        <f t="shared" si="7"/>
        <v>300000</v>
      </c>
      <c r="Z820" s="24">
        <f t="shared" si="3"/>
        <v>1</v>
      </c>
      <c r="AA820" s="23">
        <f t="shared" si="5"/>
        <v>300000</v>
      </c>
      <c r="AB820" s="20"/>
      <c r="AC820" s="20"/>
      <c r="AD820" s="20"/>
      <c r="AE820" s="20"/>
      <c r="AF820" s="20"/>
      <c r="AG820" s="20"/>
      <c r="AH820" s="20"/>
      <c r="AI820" s="20"/>
      <c r="AJ820" s="20"/>
      <c r="AK820" s="20"/>
      <c r="AL820" s="20"/>
      <c r="AM820" s="20"/>
      <c r="AN820" s="20"/>
      <c r="AO820" s="20"/>
      <c r="AP820" s="20"/>
      <c r="AQ820" s="20"/>
      <c r="AR820" s="20"/>
      <c r="AS820" s="20"/>
      <c r="AT820" s="20"/>
    </row>
    <row r="821">
      <c r="A821" s="20">
        <v>819.0</v>
      </c>
      <c r="B821" s="29" t="s">
        <v>800</v>
      </c>
      <c r="C821" s="20"/>
      <c r="D821" s="20"/>
      <c r="E821" s="20"/>
      <c r="F821" s="20"/>
      <c r="G821" s="20"/>
      <c r="H821" s="33" t="s">
        <v>81</v>
      </c>
      <c r="I821" s="33" t="s">
        <v>151</v>
      </c>
      <c r="J821" s="21"/>
      <c r="K821" s="20" t="str">
        <f t="shared" si="1"/>
        <v>ROADS,TRANSPORT AND PUBLIC WORKS</v>
      </c>
      <c r="L821" s="20" t="s">
        <v>107</v>
      </c>
      <c r="M821" s="20" t="str">
        <f t="shared" si="2"/>
        <v>ROADS,TRANSPORT AND PUBLIC WORKS</v>
      </c>
      <c r="N821" s="22" t="s">
        <v>510</v>
      </c>
      <c r="O821" s="22" t="s">
        <v>511</v>
      </c>
      <c r="P821" s="20" t="s">
        <v>512</v>
      </c>
      <c r="Q821" s="20" t="s">
        <v>512</v>
      </c>
      <c r="R821" s="34">
        <v>1058304.5</v>
      </c>
      <c r="S821" s="34">
        <v>1058304.5</v>
      </c>
      <c r="T821" s="34">
        <v>1058304.5</v>
      </c>
      <c r="U821" s="20" t="s">
        <v>71</v>
      </c>
      <c r="V821" s="20"/>
      <c r="W821" s="38">
        <f t="shared" si="6"/>
        <v>1058304.5</v>
      </c>
      <c r="X821" s="20"/>
      <c r="Y821" s="38">
        <f t="shared" si="7"/>
        <v>1058304.5</v>
      </c>
      <c r="Z821" s="24">
        <f t="shared" si="3"/>
        <v>1</v>
      </c>
      <c r="AA821" s="23">
        <f t="shared" si="5"/>
        <v>1058304.5</v>
      </c>
      <c r="AB821" s="20"/>
      <c r="AC821" s="20"/>
      <c r="AD821" s="20"/>
      <c r="AE821" s="20"/>
      <c r="AF821" s="20"/>
      <c r="AG821" s="20"/>
      <c r="AH821" s="20"/>
      <c r="AI821" s="20"/>
      <c r="AJ821" s="20"/>
      <c r="AK821" s="20"/>
      <c r="AL821" s="20"/>
      <c r="AM821" s="20"/>
      <c r="AN821" s="20"/>
      <c r="AO821" s="20"/>
      <c r="AP821" s="20"/>
      <c r="AQ821" s="20"/>
      <c r="AR821" s="20"/>
      <c r="AS821" s="20"/>
      <c r="AT821" s="20"/>
    </row>
    <row r="822">
      <c r="A822" s="20">
        <v>820.0</v>
      </c>
      <c r="B822" s="29" t="s">
        <v>801</v>
      </c>
      <c r="C822" s="20"/>
      <c r="D822" s="20"/>
      <c r="E822" s="20"/>
      <c r="F822" s="20"/>
      <c r="G822" s="20"/>
      <c r="H822" s="33" t="s">
        <v>81</v>
      </c>
      <c r="I822" s="33" t="s">
        <v>151</v>
      </c>
      <c r="J822" s="21"/>
      <c r="K822" s="20" t="str">
        <f t="shared" si="1"/>
        <v>ROADS,TRANSPORT AND PUBLIC WORKS</v>
      </c>
      <c r="L822" s="20" t="s">
        <v>107</v>
      </c>
      <c r="M822" s="20" t="str">
        <f t="shared" si="2"/>
        <v>ROADS,TRANSPORT AND PUBLIC WORKS</v>
      </c>
      <c r="N822" s="22" t="s">
        <v>510</v>
      </c>
      <c r="O822" s="22" t="s">
        <v>511</v>
      </c>
      <c r="P822" s="20" t="s">
        <v>512</v>
      </c>
      <c r="Q822" s="20" t="s">
        <v>512</v>
      </c>
      <c r="R822" s="34">
        <v>4275000.0</v>
      </c>
      <c r="S822" s="34">
        <v>4275000.0</v>
      </c>
      <c r="T822" s="34">
        <v>4275000.0</v>
      </c>
      <c r="U822" s="20" t="s">
        <v>71</v>
      </c>
      <c r="V822" s="20"/>
      <c r="W822" s="38">
        <f t="shared" si="6"/>
        <v>4275000</v>
      </c>
      <c r="X822" s="20"/>
      <c r="Y822" s="38">
        <f t="shared" si="7"/>
        <v>4275000</v>
      </c>
      <c r="Z822" s="24">
        <f t="shared" si="3"/>
        <v>1</v>
      </c>
      <c r="AA822" s="23">
        <f t="shared" si="5"/>
        <v>4275000</v>
      </c>
      <c r="AB822" s="20"/>
      <c r="AC822" s="20"/>
      <c r="AD822" s="20"/>
      <c r="AE822" s="20"/>
      <c r="AF822" s="20"/>
      <c r="AG822" s="20"/>
      <c r="AH822" s="20"/>
      <c r="AI822" s="20"/>
      <c r="AJ822" s="20"/>
      <c r="AK822" s="20"/>
      <c r="AL822" s="20"/>
      <c r="AM822" s="20"/>
      <c r="AN822" s="20"/>
      <c r="AO822" s="20"/>
      <c r="AP822" s="20"/>
      <c r="AQ822" s="20"/>
      <c r="AR822" s="20"/>
      <c r="AS822" s="20"/>
      <c r="AT822" s="20"/>
    </row>
    <row r="823">
      <c r="A823" s="20">
        <v>821.0</v>
      </c>
      <c r="B823" s="29" t="s">
        <v>802</v>
      </c>
      <c r="C823" s="20"/>
      <c r="D823" s="20"/>
      <c r="E823" s="20"/>
      <c r="F823" s="20"/>
      <c r="G823" s="20"/>
      <c r="H823" s="33" t="s">
        <v>160</v>
      </c>
      <c r="I823" s="33" t="s">
        <v>160</v>
      </c>
      <c r="J823" s="21"/>
      <c r="K823" s="20" t="str">
        <f t="shared" si="1"/>
        <v>ROADS,TRANSPORT AND PUBLIC WORKS</v>
      </c>
      <c r="L823" s="20" t="s">
        <v>107</v>
      </c>
      <c r="M823" s="20" t="str">
        <f t="shared" si="2"/>
        <v>ROADS,TRANSPORT AND PUBLIC WORKS</v>
      </c>
      <c r="N823" s="22" t="s">
        <v>510</v>
      </c>
      <c r="O823" s="22" t="s">
        <v>511</v>
      </c>
      <c r="P823" s="20" t="s">
        <v>512</v>
      </c>
      <c r="Q823" s="20" t="s">
        <v>512</v>
      </c>
      <c r="R823" s="34">
        <v>3128565.95</v>
      </c>
      <c r="S823" s="34">
        <v>3128565.95</v>
      </c>
      <c r="T823" s="34">
        <v>3128565.95</v>
      </c>
      <c r="U823" s="20" t="s">
        <v>71</v>
      </c>
      <c r="V823" s="20"/>
      <c r="W823" s="38">
        <f t="shared" si="6"/>
        <v>3128565.95</v>
      </c>
      <c r="X823" s="20"/>
      <c r="Y823" s="38">
        <f t="shared" si="7"/>
        <v>3128565.95</v>
      </c>
      <c r="Z823" s="24">
        <f t="shared" si="3"/>
        <v>1</v>
      </c>
      <c r="AA823" s="23">
        <f t="shared" si="5"/>
        <v>3128565.95</v>
      </c>
      <c r="AB823" s="20"/>
      <c r="AC823" s="20"/>
      <c r="AD823" s="20"/>
      <c r="AE823" s="20"/>
      <c r="AF823" s="20"/>
      <c r="AG823" s="20"/>
      <c r="AH823" s="20"/>
      <c r="AI823" s="20"/>
      <c r="AJ823" s="20"/>
      <c r="AK823" s="20"/>
      <c r="AL823" s="20"/>
      <c r="AM823" s="20"/>
      <c r="AN823" s="20"/>
      <c r="AO823" s="20"/>
      <c r="AP823" s="20"/>
      <c r="AQ823" s="20"/>
      <c r="AR823" s="20"/>
      <c r="AS823" s="20"/>
      <c r="AT823" s="20"/>
    </row>
    <row r="824">
      <c r="A824" s="20">
        <v>822.0</v>
      </c>
      <c r="B824" s="29" t="s">
        <v>650</v>
      </c>
      <c r="C824" s="20"/>
      <c r="D824" s="20"/>
      <c r="E824" s="20"/>
      <c r="F824" s="20"/>
      <c r="G824" s="20"/>
      <c r="H824" s="33" t="s">
        <v>113</v>
      </c>
      <c r="I824" s="33" t="s">
        <v>114</v>
      </c>
      <c r="J824" s="21"/>
      <c r="K824" s="20" t="str">
        <f t="shared" si="1"/>
        <v>WATER,ENVIRONMENT,CLIMATE CHANGE AND NATURAL RESOURCES</v>
      </c>
      <c r="L824" s="20" t="s">
        <v>75</v>
      </c>
      <c r="M824" s="20" t="str">
        <f t="shared" si="2"/>
        <v>WATER,ENVIRONMENT,CLIMATE CHANGE AND NATURAL RESOURCES</v>
      </c>
      <c r="N824" s="22" t="s">
        <v>510</v>
      </c>
      <c r="O824" s="22" t="s">
        <v>511</v>
      </c>
      <c r="P824" s="20" t="s">
        <v>512</v>
      </c>
      <c r="Q824" s="20" t="s">
        <v>512</v>
      </c>
      <c r="R824" s="34">
        <v>1200000.0</v>
      </c>
      <c r="S824" s="34">
        <v>1200000.0</v>
      </c>
      <c r="T824" s="34">
        <v>1200000.0</v>
      </c>
      <c r="U824" s="20" t="s">
        <v>71</v>
      </c>
      <c r="V824" s="20"/>
      <c r="W824" s="38">
        <f t="shared" si="6"/>
        <v>1200000</v>
      </c>
      <c r="X824" s="20"/>
      <c r="Y824" s="38">
        <f t="shared" si="7"/>
        <v>1200000</v>
      </c>
      <c r="Z824" s="24">
        <f t="shared" si="3"/>
        <v>1</v>
      </c>
      <c r="AA824" s="23">
        <f t="shared" si="5"/>
        <v>1200000</v>
      </c>
      <c r="AB824" s="20"/>
      <c r="AC824" s="20"/>
      <c r="AD824" s="20"/>
      <c r="AE824" s="20"/>
      <c r="AF824" s="20"/>
      <c r="AG824" s="20"/>
      <c r="AH824" s="20"/>
      <c r="AI824" s="20"/>
      <c r="AJ824" s="20"/>
      <c r="AK824" s="20"/>
      <c r="AL824" s="20"/>
      <c r="AM824" s="20"/>
      <c r="AN824" s="20"/>
      <c r="AO824" s="20"/>
      <c r="AP824" s="20"/>
      <c r="AQ824" s="20"/>
      <c r="AR824" s="20"/>
      <c r="AS824" s="20"/>
      <c r="AT824" s="20"/>
    </row>
    <row r="825">
      <c r="A825" s="20">
        <v>823.0</v>
      </c>
      <c r="B825" s="29" t="s">
        <v>803</v>
      </c>
      <c r="C825" s="20"/>
      <c r="D825" s="20"/>
      <c r="E825" s="20"/>
      <c r="F825" s="20"/>
      <c r="G825" s="20"/>
      <c r="H825" s="33" t="s">
        <v>113</v>
      </c>
      <c r="I825" s="33" t="s">
        <v>114</v>
      </c>
      <c r="J825" s="21"/>
      <c r="K825" s="20" t="str">
        <f t="shared" si="1"/>
        <v>ROADS,TRANSPORT AND PUBLIC WORKS</v>
      </c>
      <c r="L825" s="20" t="s">
        <v>107</v>
      </c>
      <c r="M825" s="20" t="str">
        <f t="shared" si="2"/>
        <v>ROADS,TRANSPORT AND PUBLIC WORKS</v>
      </c>
      <c r="N825" s="22" t="s">
        <v>510</v>
      </c>
      <c r="O825" s="22" t="s">
        <v>511</v>
      </c>
      <c r="P825" s="20" t="s">
        <v>512</v>
      </c>
      <c r="Q825" s="20" t="s">
        <v>512</v>
      </c>
      <c r="R825" s="34">
        <v>300000.0</v>
      </c>
      <c r="S825" s="34">
        <v>300000.0</v>
      </c>
      <c r="T825" s="34">
        <v>300000.0</v>
      </c>
      <c r="U825" s="20" t="s">
        <v>71</v>
      </c>
      <c r="V825" s="20"/>
      <c r="W825" s="38">
        <f t="shared" si="6"/>
        <v>300000</v>
      </c>
      <c r="X825" s="20"/>
      <c r="Y825" s="38">
        <f t="shared" si="7"/>
        <v>300000</v>
      </c>
      <c r="Z825" s="24">
        <f t="shared" si="3"/>
        <v>1</v>
      </c>
      <c r="AA825" s="23">
        <f t="shared" si="5"/>
        <v>300000</v>
      </c>
      <c r="AB825" s="20"/>
      <c r="AC825" s="20"/>
      <c r="AD825" s="20"/>
      <c r="AE825" s="20"/>
      <c r="AF825" s="20"/>
      <c r="AG825" s="20"/>
      <c r="AH825" s="20"/>
      <c r="AI825" s="20"/>
      <c r="AJ825" s="20"/>
      <c r="AK825" s="20"/>
      <c r="AL825" s="20"/>
      <c r="AM825" s="20"/>
      <c r="AN825" s="20"/>
      <c r="AO825" s="20"/>
      <c r="AP825" s="20"/>
      <c r="AQ825" s="20"/>
      <c r="AR825" s="20"/>
      <c r="AS825" s="20"/>
      <c r="AT825" s="20"/>
    </row>
    <row r="826">
      <c r="A826" s="20">
        <v>824.0</v>
      </c>
      <c r="B826" s="29" t="s">
        <v>804</v>
      </c>
      <c r="C826" s="20"/>
      <c r="D826" s="20"/>
      <c r="E826" s="20"/>
      <c r="F826" s="20"/>
      <c r="G826" s="20"/>
      <c r="H826" s="33" t="s">
        <v>65</v>
      </c>
      <c r="I826" s="33" t="s">
        <v>66</v>
      </c>
      <c r="J826" s="21"/>
      <c r="K826" s="20" t="str">
        <f t="shared" si="1"/>
        <v>WATER,ENVIRONMENT,CLIMATE CHANGE AND NATURAL RESOURCES</v>
      </c>
      <c r="L826" s="20" t="s">
        <v>75</v>
      </c>
      <c r="M826" s="20" t="str">
        <f t="shared" si="2"/>
        <v>WATER,ENVIRONMENT,CLIMATE CHANGE AND NATURAL RESOURCES</v>
      </c>
      <c r="N826" s="22" t="s">
        <v>510</v>
      </c>
      <c r="O826" s="22" t="s">
        <v>511</v>
      </c>
      <c r="P826" s="20" t="s">
        <v>512</v>
      </c>
      <c r="Q826" s="20" t="s">
        <v>512</v>
      </c>
      <c r="R826" s="34">
        <v>300000.0</v>
      </c>
      <c r="S826" s="34">
        <v>300000.0</v>
      </c>
      <c r="T826" s="34">
        <v>300000.0</v>
      </c>
      <c r="U826" s="20" t="s">
        <v>71</v>
      </c>
      <c r="V826" s="20"/>
      <c r="W826" s="38">
        <f t="shared" si="6"/>
        <v>300000</v>
      </c>
      <c r="X826" s="20"/>
      <c r="Y826" s="38">
        <f t="shared" si="7"/>
        <v>300000</v>
      </c>
      <c r="Z826" s="24">
        <f t="shared" si="3"/>
        <v>1</v>
      </c>
      <c r="AA826" s="23">
        <f t="shared" si="5"/>
        <v>300000</v>
      </c>
      <c r="AB826" s="20"/>
      <c r="AC826" s="20"/>
      <c r="AD826" s="20"/>
      <c r="AE826" s="20"/>
      <c r="AF826" s="20"/>
      <c r="AG826" s="20"/>
      <c r="AH826" s="20"/>
      <c r="AI826" s="20"/>
      <c r="AJ826" s="20"/>
      <c r="AK826" s="20"/>
      <c r="AL826" s="20"/>
      <c r="AM826" s="20"/>
      <c r="AN826" s="20"/>
      <c r="AO826" s="20"/>
      <c r="AP826" s="20"/>
      <c r="AQ826" s="20"/>
      <c r="AR826" s="20"/>
      <c r="AS826" s="20"/>
      <c r="AT826" s="20"/>
    </row>
    <row r="827">
      <c r="A827" s="20">
        <v>825.0</v>
      </c>
      <c r="B827" s="29" t="s">
        <v>805</v>
      </c>
      <c r="C827" s="20"/>
      <c r="D827" s="20"/>
      <c r="E827" s="20"/>
      <c r="F827" s="20"/>
      <c r="G827" s="20"/>
      <c r="H827" s="33" t="s">
        <v>81</v>
      </c>
      <c r="I827" s="33" t="s">
        <v>81</v>
      </c>
      <c r="J827" s="21"/>
      <c r="K827" s="20" t="str">
        <f t="shared" si="1"/>
        <v>ROADS,TRANSPORT AND PUBLIC WORKS</v>
      </c>
      <c r="L827" s="20" t="s">
        <v>107</v>
      </c>
      <c r="M827" s="20" t="str">
        <f t="shared" si="2"/>
        <v>ROADS,TRANSPORT AND PUBLIC WORKS</v>
      </c>
      <c r="N827" s="22" t="s">
        <v>510</v>
      </c>
      <c r="O827" s="22" t="s">
        <v>511</v>
      </c>
      <c r="P827" s="20" t="s">
        <v>512</v>
      </c>
      <c r="Q827" s="20" t="s">
        <v>512</v>
      </c>
      <c r="R827" s="34">
        <v>300000.0</v>
      </c>
      <c r="S827" s="34">
        <v>300000.0</v>
      </c>
      <c r="T827" s="34">
        <v>300000.0</v>
      </c>
      <c r="U827" s="20" t="s">
        <v>71</v>
      </c>
      <c r="V827" s="20"/>
      <c r="W827" s="38">
        <f t="shared" si="6"/>
        <v>300000</v>
      </c>
      <c r="X827" s="20"/>
      <c r="Y827" s="38">
        <f t="shared" si="7"/>
        <v>300000</v>
      </c>
      <c r="Z827" s="24">
        <f t="shared" si="3"/>
        <v>1</v>
      </c>
      <c r="AA827" s="23">
        <f t="shared" si="5"/>
        <v>300000</v>
      </c>
      <c r="AB827" s="20"/>
      <c r="AC827" s="20"/>
      <c r="AD827" s="20"/>
      <c r="AE827" s="20"/>
      <c r="AF827" s="20"/>
      <c r="AG827" s="20"/>
      <c r="AH827" s="20"/>
      <c r="AI827" s="20"/>
      <c r="AJ827" s="20"/>
      <c r="AK827" s="20"/>
      <c r="AL827" s="20"/>
      <c r="AM827" s="20"/>
      <c r="AN827" s="20"/>
      <c r="AO827" s="20"/>
      <c r="AP827" s="20"/>
      <c r="AQ827" s="20"/>
      <c r="AR827" s="20"/>
      <c r="AS827" s="20"/>
      <c r="AT827" s="20"/>
    </row>
    <row r="828">
      <c r="A828" s="20">
        <v>826.0</v>
      </c>
      <c r="B828" s="29" t="s">
        <v>806</v>
      </c>
      <c r="C828" s="20"/>
      <c r="D828" s="20"/>
      <c r="E828" s="20"/>
      <c r="F828" s="20"/>
      <c r="G828" s="20"/>
      <c r="H828" s="33" t="s">
        <v>113</v>
      </c>
      <c r="I828" s="33" t="s">
        <v>114</v>
      </c>
      <c r="J828" s="21"/>
      <c r="K828" s="20" t="str">
        <f t="shared" si="1"/>
        <v>ROADS,TRANSPORT AND PUBLIC WORKS</v>
      </c>
      <c r="L828" s="20" t="s">
        <v>107</v>
      </c>
      <c r="M828" s="20" t="str">
        <f t="shared" si="2"/>
        <v>ROADS,TRANSPORT AND PUBLIC WORKS</v>
      </c>
      <c r="N828" s="22" t="s">
        <v>510</v>
      </c>
      <c r="O828" s="22" t="s">
        <v>511</v>
      </c>
      <c r="P828" s="20" t="s">
        <v>512</v>
      </c>
      <c r="Q828" s="20" t="s">
        <v>512</v>
      </c>
      <c r="R828" s="34">
        <v>500000.0</v>
      </c>
      <c r="S828" s="34">
        <v>500000.0</v>
      </c>
      <c r="T828" s="34">
        <v>500000.0</v>
      </c>
      <c r="U828" s="20" t="s">
        <v>71</v>
      </c>
      <c r="V828" s="20"/>
      <c r="W828" s="38">
        <f t="shared" si="6"/>
        <v>500000</v>
      </c>
      <c r="X828" s="20"/>
      <c r="Y828" s="38">
        <f t="shared" si="7"/>
        <v>500000</v>
      </c>
      <c r="Z828" s="24">
        <f t="shared" si="3"/>
        <v>1</v>
      </c>
      <c r="AA828" s="23">
        <f t="shared" si="5"/>
        <v>500000</v>
      </c>
      <c r="AB828" s="20"/>
      <c r="AC828" s="20"/>
      <c r="AD828" s="20"/>
      <c r="AE828" s="20"/>
      <c r="AF828" s="20"/>
      <c r="AG828" s="20"/>
      <c r="AH828" s="20"/>
      <c r="AI828" s="20"/>
      <c r="AJ828" s="20"/>
      <c r="AK828" s="20"/>
      <c r="AL828" s="20"/>
      <c r="AM828" s="20"/>
      <c r="AN828" s="20"/>
      <c r="AO828" s="20"/>
      <c r="AP828" s="20"/>
      <c r="AQ828" s="20"/>
      <c r="AR828" s="20"/>
      <c r="AS828" s="20"/>
      <c r="AT828" s="20"/>
    </row>
    <row r="829">
      <c r="A829" s="20">
        <v>827.0</v>
      </c>
      <c r="B829" s="29" t="s">
        <v>403</v>
      </c>
      <c r="C829" s="20"/>
      <c r="D829" s="20"/>
      <c r="E829" s="20"/>
      <c r="F829" s="20"/>
      <c r="G829" s="20"/>
      <c r="H829" s="33" t="s">
        <v>65</v>
      </c>
      <c r="I829" s="33" t="s">
        <v>66</v>
      </c>
      <c r="J829" s="21"/>
      <c r="K829" s="20" t="str">
        <f t="shared" si="1"/>
        <v>WATER,ENVIRONMENT,CLIMATE CHANGE AND NATURAL RESOURCES</v>
      </c>
      <c r="L829" s="20" t="s">
        <v>75</v>
      </c>
      <c r="M829" s="20" t="str">
        <f t="shared" si="2"/>
        <v>WATER,ENVIRONMENT,CLIMATE CHANGE AND NATURAL RESOURCES</v>
      </c>
      <c r="N829" s="22" t="s">
        <v>510</v>
      </c>
      <c r="O829" s="22" t="s">
        <v>511</v>
      </c>
      <c r="P829" s="20" t="s">
        <v>512</v>
      </c>
      <c r="Q829" s="20" t="s">
        <v>512</v>
      </c>
      <c r="R829" s="34">
        <v>500000.0</v>
      </c>
      <c r="S829" s="34">
        <v>500000.0</v>
      </c>
      <c r="T829" s="34">
        <v>500000.0</v>
      </c>
      <c r="U829" s="20" t="s">
        <v>71</v>
      </c>
      <c r="V829" s="20"/>
      <c r="W829" s="38">
        <f t="shared" si="6"/>
        <v>500000</v>
      </c>
      <c r="X829" s="20"/>
      <c r="Y829" s="38">
        <f t="shared" si="7"/>
        <v>500000</v>
      </c>
      <c r="Z829" s="24">
        <f t="shared" si="3"/>
        <v>1</v>
      </c>
      <c r="AA829" s="23">
        <f t="shared" si="5"/>
        <v>500000</v>
      </c>
      <c r="AB829" s="20"/>
      <c r="AC829" s="20"/>
      <c r="AD829" s="20"/>
      <c r="AE829" s="20"/>
      <c r="AF829" s="20"/>
      <c r="AG829" s="20"/>
      <c r="AH829" s="20"/>
      <c r="AI829" s="20"/>
      <c r="AJ829" s="20"/>
      <c r="AK829" s="20"/>
      <c r="AL829" s="20"/>
      <c r="AM829" s="20"/>
      <c r="AN829" s="20"/>
      <c r="AO829" s="20"/>
      <c r="AP829" s="20"/>
      <c r="AQ829" s="20"/>
      <c r="AR829" s="20"/>
      <c r="AS829" s="20"/>
      <c r="AT829" s="20"/>
    </row>
    <row r="830">
      <c r="A830" s="20">
        <v>828.0</v>
      </c>
      <c r="B830" s="29" t="s">
        <v>807</v>
      </c>
      <c r="C830" s="20"/>
      <c r="D830" s="20"/>
      <c r="E830" s="20"/>
      <c r="F830" s="20"/>
      <c r="G830" s="20"/>
      <c r="H830" s="33" t="s">
        <v>77</v>
      </c>
      <c r="I830" s="33" t="s">
        <v>77</v>
      </c>
      <c r="J830" s="21"/>
      <c r="K830" s="20" t="str">
        <f t="shared" si="1"/>
        <v>ROADS,TRANSPORT AND PUBLIC WORKS</v>
      </c>
      <c r="L830" s="20" t="s">
        <v>107</v>
      </c>
      <c r="M830" s="20" t="str">
        <f t="shared" si="2"/>
        <v>ROADS,TRANSPORT AND PUBLIC WORKS</v>
      </c>
      <c r="N830" s="22" t="s">
        <v>510</v>
      </c>
      <c r="O830" s="22" t="s">
        <v>511</v>
      </c>
      <c r="P830" s="20" t="s">
        <v>512</v>
      </c>
      <c r="Q830" s="20" t="s">
        <v>512</v>
      </c>
      <c r="R830" s="34">
        <v>1000000.0</v>
      </c>
      <c r="S830" s="34">
        <v>1000000.0</v>
      </c>
      <c r="T830" s="34">
        <v>1000000.0</v>
      </c>
      <c r="U830" s="20" t="s">
        <v>71</v>
      </c>
      <c r="V830" s="20"/>
      <c r="W830" s="38">
        <f t="shared" si="6"/>
        <v>1000000</v>
      </c>
      <c r="X830" s="20"/>
      <c r="Y830" s="38">
        <f t="shared" si="7"/>
        <v>1000000</v>
      </c>
      <c r="Z830" s="24">
        <f t="shared" si="3"/>
        <v>1</v>
      </c>
      <c r="AA830" s="23">
        <f t="shared" si="5"/>
        <v>1000000</v>
      </c>
      <c r="AB830" s="20"/>
      <c r="AC830" s="20"/>
      <c r="AD830" s="20"/>
      <c r="AE830" s="20"/>
      <c r="AF830" s="20"/>
      <c r="AG830" s="20"/>
      <c r="AH830" s="20"/>
      <c r="AI830" s="20"/>
      <c r="AJ830" s="20"/>
      <c r="AK830" s="20"/>
      <c r="AL830" s="20"/>
      <c r="AM830" s="20"/>
      <c r="AN830" s="20"/>
      <c r="AO830" s="20"/>
      <c r="AP830" s="20"/>
      <c r="AQ830" s="20"/>
      <c r="AR830" s="20"/>
      <c r="AS830" s="20"/>
      <c r="AT830" s="20"/>
    </row>
    <row r="831">
      <c r="A831" s="20">
        <v>829.0</v>
      </c>
      <c r="B831" s="29" t="s">
        <v>808</v>
      </c>
      <c r="C831" s="20"/>
      <c r="D831" s="20"/>
      <c r="E831" s="20"/>
      <c r="F831" s="20"/>
      <c r="G831" s="20"/>
      <c r="H831" s="33" t="s">
        <v>65</v>
      </c>
      <c r="I831" s="33" t="s">
        <v>66</v>
      </c>
      <c r="J831" s="21"/>
      <c r="K831" s="20" t="str">
        <f t="shared" si="1"/>
        <v>Health services</v>
      </c>
      <c r="L831" s="20" t="s">
        <v>67</v>
      </c>
      <c r="M831" s="20" t="str">
        <f t="shared" si="2"/>
        <v>Health services</v>
      </c>
      <c r="N831" s="22" t="s">
        <v>510</v>
      </c>
      <c r="O831" s="22" t="s">
        <v>511</v>
      </c>
      <c r="P831" s="20" t="s">
        <v>512</v>
      </c>
      <c r="Q831" s="20" t="s">
        <v>512</v>
      </c>
      <c r="R831" s="34">
        <v>3335398.6</v>
      </c>
      <c r="S831" s="34">
        <v>3335398.6</v>
      </c>
      <c r="T831" s="34">
        <v>3335398.6</v>
      </c>
      <c r="U831" s="20" t="s">
        <v>71</v>
      </c>
      <c r="V831" s="20"/>
      <c r="W831" s="38">
        <f t="shared" si="6"/>
        <v>3335398.6</v>
      </c>
      <c r="X831" s="20"/>
      <c r="Y831" s="38">
        <f t="shared" si="7"/>
        <v>3335398.6</v>
      </c>
      <c r="Z831" s="24">
        <f t="shared" si="3"/>
        <v>1</v>
      </c>
      <c r="AA831" s="23">
        <f t="shared" si="5"/>
        <v>3335398.6</v>
      </c>
      <c r="AB831" s="20"/>
      <c r="AC831" s="20"/>
      <c r="AD831" s="20"/>
      <c r="AE831" s="20"/>
      <c r="AF831" s="20"/>
      <c r="AG831" s="20"/>
      <c r="AH831" s="20"/>
      <c r="AI831" s="20"/>
      <c r="AJ831" s="20"/>
      <c r="AK831" s="20"/>
      <c r="AL831" s="20"/>
      <c r="AM831" s="20"/>
      <c r="AN831" s="20"/>
      <c r="AO831" s="20"/>
      <c r="AP831" s="20"/>
      <c r="AQ831" s="20"/>
      <c r="AR831" s="20"/>
      <c r="AS831" s="20"/>
      <c r="AT831" s="20"/>
    </row>
    <row r="832">
      <c r="A832" s="20">
        <v>830.0</v>
      </c>
      <c r="B832" s="29" t="s">
        <v>809</v>
      </c>
      <c r="C832" s="20"/>
      <c r="D832" s="20"/>
      <c r="E832" s="20"/>
      <c r="F832" s="20"/>
      <c r="G832" s="20"/>
      <c r="H832" s="33" t="s">
        <v>81</v>
      </c>
      <c r="I832" s="33" t="s">
        <v>151</v>
      </c>
      <c r="J832" s="21"/>
      <c r="K832" s="20" t="str">
        <f t="shared" si="1"/>
        <v>WATER,ENVIRONMENT,CLIMATE CHANGE AND NATURAL RESOURCES</v>
      </c>
      <c r="L832" s="20" t="s">
        <v>75</v>
      </c>
      <c r="M832" s="20" t="str">
        <f t="shared" si="2"/>
        <v>WATER,ENVIRONMENT,CLIMATE CHANGE AND NATURAL RESOURCES</v>
      </c>
      <c r="N832" s="22" t="s">
        <v>510</v>
      </c>
      <c r="O832" s="22" t="s">
        <v>511</v>
      </c>
      <c r="P832" s="20" t="s">
        <v>512</v>
      </c>
      <c r="Q832" s="20" t="s">
        <v>512</v>
      </c>
      <c r="R832" s="34">
        <v>500000.0</v>
      </c>
      <c r="S832" s="34">
        <v>500000.0</v>
      </c>
      <c r="T832" s="34">
        <v>500000.0</v>
      </c>
      <c r="U832" s="20" t="s">
        <v>71</v>
      </c>
      <c r="V832" s="20"/>
      <c r="W832" s="38">
        <f t="shared" si="6"/>
        <v>500000</v>
      </c>
      <c r="X832" s="20"/>
      <c r="Y832" s="38">
        <f t="shared" si="7"/>
        <v>500000</v>
      </c>
      <c r="Z832" s="24">
        <f t="shared" si="3"/>
        <v>1</v>
      </c>
      <c r="AA832" s="23">
        <f t="shared" si="5"/>
        <v>500000</v>
      </c>
      <c r="AB832" s="20"/>
      <c r="AC832" s="20"/>
      <c r="AD832" s="20"/>
      <c r="AE832" s="20"/>
      <c r="AF832" s="20"/>
      <c r="AG832" s="20"/>
      <c r="AH832" s="20"/>
      <c r="AI832" s="20"/>
      <c r="AJ832" s="20"/>
      <c r="AK832" s="20"/>
      <c r="AL832" s="20"/>
      <c r="AM832" s="20"/>
      <c r="AN832" s="20"/>
      <c r="AO832" s="20"/>
      <c r="AP832" s="20"/>
      <c r="AQ832" s="20"/>
      <c r="AR832" s="20"/>
      <c r="AS832" s="20"/>
      <c r="AT832" s="20"/>
    </row>
    <row r="833">
      <c r="A833" s="20">
        <v>831.0</v>
      </c>
      <c r="B833" s="29" t="s">
        <v>810</v>
      </c>
      <c r="C833" s="20"/>
      <c r="D833" s="20"/>
      <c r="E833" s="20"/>
      <c r="F833" s="20"/>
      <c r="G833" s="20"/>
      <c r="H833" s="33" t="s">
        <v>113</v>
      </c>
      <c r="I833" s="33" t="s">
        <v>353</v>
      </c>
      <c r="J833" s="21"/>
      <c r="K833" s="20" t="str">
        <f t="shared" si="1"/>
        <v>ROADS,TRANSPORT AND PUBLIC WORKS</v>
      </c>
      <c r="L833" s="20" t="s">
        <v>107</v>
      </c>
      <c r="M833" s="20" t="str">
        <f t="shared" si="2"/>
        <v>ROADS,TRANSPORT AND PUBLIC WORKS</v>
      </c>
      <c r="N833" s="22" t="s">
        <v>510</v>
      </c>
      <c r="O833" s="22" t="s">
        <v>511</v>
      </c>
      <c r="P833" s="20" t="s">
        <v>512</v>
      </c>
      <c r="Q833" s="20" t="s">
        <v>512</v>
      </c>
      <c r="R833" s="34">
        <v>2852200.0</v>
      </c>
      <c r="S833" s="34">
        <v>2852200.0</v>
      </c>
      <c r="T833" s="34">
        <v>2852200.0</v>
      </c>
      <c r="U833" s="20" t="s">
        <v>71</v>
      </c>
      <c r="V833" s="20"/>
      <c r="W833" s="38">
        <f t="shared" si="6"/>
        <v>2852200</v>
      </c>
      <c r="X833" s="20"/>
      <c r="Y833" s="38">
        <f t="shared" si="7"/>
        <v>2852200</v>
      </c>
      <c r="Z833" s="24">
        <f t="shared" si="3"/>
        <v>1</v>
      </c>
      <c r="AA833" s="23">
        <f t="shared" si="5"/>
        <v>2852200</v>
      </c>
      <c r="AB833" s="20"/>
      <c r="AC833" s="20"/>
      <c r="AD833" s="20"/>
      <c r="AE833" s="20"/>
      <c r="AF833" s="20"/>
      <c r="AG833" s="20"/>
      <c r="AH833" s="20"/>
      <c r="AI833" s="20"/>
      <c r="AJ833" s="20"/>
      <c r="AK833" s="20"/>
      <c r="AL833" s="20"/>
      <c r="AM833" s="20"/>
      <c r="AN833" s="20"/>
      <c r="AO833" s="20"/>
      <c r="AP833" s="20"/>
      <c r="AQ833" s="20"/>
      <c r="AR833" s="20"/>
      <c r="AS833" s="20"/>
      <c r="AT833" s="20"/>
    </row>
    <row r="834">
      <c r="A834" s="20">
        <v>832.0</v>
      </c>
      <c r="B834" s="29" t="s">
        <v>158</v>
      </c>
      <c r="C834" s="20"/>
      <c r="D834" s="20"/>
      <c r="E834" s="20"/>
      <c r="F834" s="20"/>
      <c r="G834" s="20"/>
      <c r="H834" s="33" t="s">
        <v>113</v>
      </c>
      <c r="I834" s="33" t="s">
        <v>348</v>
      </c>
      <c r="J834" s="21"/>
      <c r="K834" s="20" t="str">
        <f t="shared" si="1"/>
        <v>Health services</v>
      </c>
      <c r="L834" s="20" t="s">
        <v>67</v>
      </c>
      <c r="M834" s="20" t="str">
        <f t="shared" si="2"/>
        <v>Health services</v>
      </c>
      <c r="N834" s="22" t="s">
        <v>510</v>
      </c>
      <c r="O834" s="22" t="s">
        <v>511</v>
      </c>
      <c r="P834" s="20" t="s">
        <v>512</v>
      </c>
      <c r="Q834" s="20" t="s">
        <v>512</v>
      </c>
      <c r="R834" s="34">
        <v>700000.0</v>
      </c>
      <c r="S834" s="34">
        <v>700000.0</v>
      </c>
      <c r="T834" s="34">
        <v>700000.0</v>
      </c>
      <c r="U834" s="20" t="s">
        <v>71</v>
      </c>
      <c r="V834" s="20"/>
      <c r="W834" s="38">
        <f t="shared" si="6"/>
        <v>700000</v>
      </c>
      <c r="X834" s="20"/>
      <c r="Y834" s="38">
        <f t="shared" si="7"/>
        <v>700000</v>
      </c>
      <c r="Z834" s="24">
        <f t="shared" si="3"/>
        <v>1</v>
      </c>
      <c r="AA834" s="23">
        <f t="shared" si="5"/>
        <v>700000</v>
      </c>
      <c r="AB834" s="20"/>
      <c r="AC834" s="20"/>
      <c r="AD834" s="20"/>
      <c r="AE834" s="20"/>
      <c r="AF834" s="20"/>
      <c r="AG834" s="20"/>
      <c r="AH834" s="20"/>
      <c r="AI834" s="20"/>
      <c r="AJ834" s="20"/>
      <c r="AK834" s="20"/>
      <c r="AL834" s="20"/>
      <c r="AM834" s="20"/>
      <c r="AN834" s="20"/>
      <c r="AO834" s="20"/>
      <c r="AP834" s="20"/>
      <c r="AQ834" s="20"/>
      <c r="AR834" s="20"/>
      <c r="AS834" s="20"/>
      <c r="AT834" s="20"/>
    </row>
    <row r="835">
      <c r="A835" s="20">
        <v>833.0</v>
      </c>
      <c r="B835" s="29" t="s">
        <v>811</v>
      </c>
      <c r="C835" s="20"/>
      <c r="D835" s="20"/>
      <c r="E835" s="20"/>
      <c r="F835" s="20"/>
      <c r="G835" s="20"/>
      <c r="H835" s="33" t="s">
        <v>65</v>
      </c>
      <c r="I835" s="33" t="s">
        <v>66</v>
      </c>
      <c r="J835" s="21"/>
      <c r="K835" s="20" t="str">
        <f t="shared" si="1"/>
        <v>ROADS,TRANSPORT AND PUBLIC WORKS</v>
      </c>
      <c r="L835" s="20" t="s">
        <v>107</v>
      </c>
      <c r="M835" s="20" t="str">
        <f t="shared" si="2"/>
        <v>ROADS,TRANSPORT AND PUBLIC WORKS</v>
      </c>
      <c r="N835" s="22" t="s">
        <v>510</v>
      </c>
      <c r="O835" s="22" t="s">
        <v>511</v>
      </c>
      <c r="P835" s="20" t="s">
        <v>512</v>
      </c>
      <c r="Q835" s="20" t="s">
        <v>512</v>
      </c>
      <c r="R835" s="34">
        <v>2839265.0</v>
      </c>
      <c r="S835" s="34">
        <v>2839265.0</v>
      </c>
      <c r="T835" s="34">
        <v>2839265.0</v>
      </c>
      <c r="U835" s="20" t="s">
        <v>71</v>
      </c>
      <c r="V835" s="20"/>
      <c r="W835" s="38">
        <f t="shared" si="6"/>
        <v>2839265</v>
      </c>
      <c r="X835" s="20"/>
      <c r="Y835" s="38">
        <f t="shared" si="7"/>
        <v>2839265</v>
      </c>
      <c r="Z835" s="24">
        <f t="shared" si="3"/>
        <v>1</v>
      </c>
      <c r="AA835" s="23">
        <f t="shared" si="5"/>
        <v>2839265</v>
      </c>
      <c r="AB835" s="20"/>
      <c r="AC835" s="20"/>
      <c r="AD835" s="20"/>
      <c r="AE835" s="20"/>
      <c r="AF835" s="20"/>
      <c r="AG835" s="20"/>
      <c r="AH835" s="20"/>
      <c r="AI835" s="20"/>
      <c r="AJ835" s="20"/>
      <c r="AK835" s="20"/>
      <c r="AL835" s="20"/>
      <c r="AM835" s="20"/>
      <c r="AN835" s="20"/>
      <c r="AO835" s="20"/>
      <c r="AP835" s="20"/>
      <c r="AQ835" s="20"/>
      <c r="AR835" s="20"/>
      <c r="AS835" s="20"/>
      <c r="AT835" s="20"/>
    </row>
    <row r="836">
      <c r="A836" s="20">
        <v>834.0</v>
      </c>
      <c r="B836" s="29" t="s">
        <v>112</v>
      </c>
      <c r="C836" s="20"/>
      <c r="D836" s="20"/>
      <c r="E836" s="20"/>
      <c r="F836" s="20"/>
      <c r="G836" s="20"/>
      <c r="H836" s="33" t="s">
        <v>113</v>
      </c>
      <c r="I836" s="33" t="s">
        <v>114</v>
      </c>
      <c r="J836" s="21"/>
      <c r="K836" s="20" t="str">
        <f t="shared" si="1"/>
        <v>Health services</v>
      </c>
      <c r="L836" s="20" t="s">
        <v>67</v>
      </c>
      <c r="M836" s="20" t="str">
        <f t="shared" si="2"/>
        <v>Health services</v>
      </c>
      <c r="N836" s="22" t="s">
        <v>510</v>
      </c>
      <c r="O836" s="22" t="s">
        <v>511</v>
      </c>
      <c r="P836" s="20" t="s">
        <v>512</v>
      </c>
      <c r="Q836" s="20" t="s">
        <v>512</v>
      </c>
      <c r="R836" s="34">
        <v>1000000.0</v>
      </c>
      <c r="S836" s="34">
        <v>1000000.0</v>
      </c>
      <c r="T836" s="34">
        <v>1000000.0</v>
      </c>
      <c r="U836" s="20" t="s">
        <v>71</v>
      </c>
      <c r="V836" s="20"/>
      <c r="W836" s="38">
        <f t="shared" si="6"/>
        <v>1000000</v>
      </c>
      <c r="X836" s="20"/>
      <c r="Y836" s="38">
        <f t="shared" si="7"/>
        <v>1000000</v>
      </c>
      <c r="Z836" s="24">
        <f t="shared" si="3"/>
        <v>1</v>
      </c>
      <c r="AA836" s="23">
        <f t="shared" si="5"/>
        <v>1000000</v>
      </c>
      <c r="AB836" s="20"/>
      <c r="AC836" s="20"/>
      <c r="AD836" s="20"/>
      <c r="AE836" s="20"/>
      <c r="AF836" s="20"/>
      <c r="AG836" s="20"/>
      <c r="AH836" s="20"/>
      <c r="AI836" s="20"/>
      <c r="AJ836" s="20"/>
      <c r="AK836" s="20"/>
      <c r="AL836" s="20"/>
      <c r="AM836" s="20"/>
      <c r="AN836" s="20"/>
      <c r="AO836" s="20"/>
      <c r="AP836" s="20"/>
      <c r="AQ836" s="20"/>
      <c r="AR836" s="20"/>
      <c r="AS836" s="20"/>
      <c r="AT836" s="20"/>
    </row>
    <row r="837">
      <c r="A837" s="20">
        <v>835.0</v>
      </c>
      <c r="B837" s="29" t="s">
        <v>812</v>
      </c>
      <c r="C837" s="20"/>
      <c r="D837" s="20"/>
      <c r="E837" s="20"/>
      <c r="F837" s="20"/>
      <c r="G837" s="20"/>
      <c r="H837" s="33" t="s">
        <v>160</v>
      </c>
      <c r="I837" s="33" t="s">
        <v>160</v>
      </c>
      <c r="J837" s="21"/>
      <c r="K837" s="20" t="str">
        <f t="shared" si="1"/>
        <v>WATER,ENVIRONMENT,CLIMATE CHANGE AND NATURAL RESOURCES</v>
      </c>
      <c r="L837" s="20" t="s">
        <v>75</v>
      </c>
      <c r="M837" s="20" t="str">
        <f t="shared" si="2"/>
        <v>WATER,ENVIRONMENT,CLIMATE CHANGE AND NATURAL RESOURCES</v>
      </c>
      <c r="N837" s="22" t="s">
        <v>510</v>
      </c>
      <c r="O837" s="22" t="s">
        <v>511</v>
      </c>
      <c r="P837" s="20" t="s">
        <v>512</v>
      </c>
      <c r="Q837" s="20" t="s">
        <v>512</v>
      </c>
      <c r="R837" s="34">
        <v>2796528.0</v>
      </c>
      <c r="S837" s="34">
        <v>2796528.0</v>
      </c>
      <c r="T837" s="34">
        <v>2796528.0</v>
      </c>
      <c r="U837" s="20" t="s">
        <v>71</v>
      </c>
      <c r="V837" s="20"/>
      <c r="W837" s="38">
        <f t="shared" si="6"/>
        <v>2796528</v>
      </c>
      <c r="X837" s="20"/>
      <c r="Y837" s="38">
        <f t="shared" si="7"/>
        <v>2796528</v>
      </c>
      <c r="Z837" s="24">
        <f t="shared" si="3"/>
        <v>1</v>
      </c>
      <c r="AA837" s="23">
        <f t="shared" si="5"/>
        <v>2796528</v>
      </c>
      <c r="AB837" s="20"/>
      <c r="AC837" s="20"/>
      <c r="AD837" s="20"/>
      <c r="AE837" s="20"/>
      <c r="AF837" s="20"/>
      <c r="AG837" s="20"/>
      <c r="AH837" s="20"/>
      <c r="AI837" s="20"/>
      <c r="AJ837" s="20"/>
      <c r="AK837" s="20"/>
      <c r="AL837" s="20"/>
      <c r="AM837" s="20"/>
      <c r="AN837" s="20"/>
      <c r="AO837" s="20"/>
      <c r="AP837" s="20"/>
      <c r="AQ837" s="20"/>
      <c r="AR837" s="20"/>
      <c r="AS837" s="20"/>
      <c r="AT837" s="20"/>
    </row>
    <row r="838">
      <c r="A838" s="20">
        <v>836.0</v>
      </c>
      <c r="B838" s="29" t="s">
        <v>720</v>
      </c>
      <c r="C838" s="20"/>
      <c r="D838" s="20"/>
      <c r="E838" s="20"/>
      <c r="F838" s="20"/>
      <c r="G838" s="20"/>
      <c r="H838" s="33" t="s">
        <v>65</v>
      </c>
      <c r="I838" s="33" t="s">
        <v>66</v>
      </c>
      <c r="J838" s="21"/>
      <c r="K838" s="20" t="str">
        <f t="shared" si="1"/>
        <v>ROADS,TRANSPORT AND PUBLIC WORKS</v>
      </c>
      <c r="L838" s="20" t="s">
        <v>107</v>
      </c>
      <c r="M838" s="20" t="str">
        <f t="shared" si="2"/>
        <v>ROADS,TRANSPORT AND PUBLIC WORKS</v>
      </c>
      <c r="N838" s="22" t="s">
        <v>510</v>
      </c>
      <c r="O838" s="22" t="s">
        <v>511</v>
      </c>
      <c r="P838" s="20" t="s">
        <v>512</v>
      </c>
      <c r="Q838" s="20" t="s">
        <v>512</v>
      </c>
      <c r="R838" s="34">
        <v>700000.0</v>
      </c>
      <c r="S838" s="34">
        <v>700000.0</v>
      </c>
      <c r="T838" s="34">
        <v>700000.0</v>
      </c>
      <c r="U838" s="20" t="s">
        <v>71</v>
      </c>
      <c r="V838" s="20"/>
      <c r="W838" s="38">
        <f t="shared" si="6"/>
        <v>700000</v>
      </c>
      <c r="X838" s="20"/>
      <c r="Y838" s="38">
        <f t="shared" si="7"/>
        <v>700000</v>
      </c>
      <c r="Z838" s="24">
        <f t="shared" si="3"/>
        <v>1</v>
      </c>
      <c r="AA838" s="23">
        <f t="shared" si="5"/>
        <v>700000</v>
      </c>
      <c r="AB838" s="20"/>
      <c r="AC838" s="20"/>
      <c r="AD838" s="20"/>
      <c r="AE838" s="20"/>
      <c r="AF838" s="20"/>
      <c r="AG838" s="20"/>
      <c r="AH838" s="20"/>
      <c r="AI838" s="20"/>
      <c r="AJ838" s="20"/>
      <c r="AK838" s="20"/>
      <c r="AL838" s="20"/>
      <c r="AM838" s="20"/>
      <c r="AN838" s="20"/>
      <c r="AO838" s="20"/>
      <c r="AP838" s="20"/>
      <c r="AQ838" s="20"/>
      <c r="AR838" s="20"/>
      <c r="AS838" s="20"/>
      <c r="AT838" s="20"/>
    </row>
    <row r="839">
      <c r="A839" s="20">
        <v>837.0</v>
      </c>
      <c r="B839" s="29" t="s">
        <v>813</v>
      </c>
      <c r="C839" s="20"/>
      <c r="D839" s="20"/>
      <c r="E839" s="20"/>
      <c r="F839" s="20"/>
      <c r="G839" s="20"/>
      <c r="H839" s="33" t="s">
        <v>81</v>
      </c>
      <c r="I839" s="33" t="s">
        <v>151</v>
      </c>
      <c r="J839" s="21"/>
      <c r="K839" s="20" t="str">
        <f t="shared" si="1"/>
        <v>ROADS,TRANSPORT AND PUBLIC WORKS</v>
      </c>
      <c r="L839" s="20" t="s">
        <v>107</v>
      </c>
      <c r="M839" s="20" t="str">
        <f t="shared" si="2"/>
        <v>ROADS,TRANSPORT AND PUBLIC WORKS</v>
      </c>
      <c r="N839" s="22" t="s">
        <v>510</v>
      </c>
      <c r="O839" s="22" t="s">
        <v>511</v>
      </c>
      <c r="P839" s="20" t="s">
        <v>512</v>
      </c>
      <c r="Q839" s="20" t="s">
        <v>512</v>
      </c>
      <c r="R839" s="34">
        <v>309083.5</v>
      </c>
      <c r="S839" s="34">
        <v>309083.5</v>
      </c>
      <c r="T839" s="34">
        <v>309083.5</v>
      </c>
      <c r="U839" s="20" t="s">
        <v>71</v>
      </c>
      <c r="V839" s="20"/>
      <c r="W839" s="38">
        <f t="shared" si="6"/>
        <v>309083.5</v>
      </c>
      <c r="X839" s="20"/>
      <c r="Y839" s="38">
        <f t="shared" si="7"/>
        <v>309083.5</v>
      </c>
      <c r="Z839" s="24">
        <f t="shared" si="3"/>
        <v>1</v>
      </c>
      <c r="AA839" s="23">
        <f t="shared" si="5"/>
        <v>309083.5</v>
      </c>
      <c r="AB839" s="20"/>
      <c r="AC839" s="20"/>
      <c r="AD839" s="20"/>
      <c r="AE839" s="20"/>
      <c r="AF839" s="20"/>
      <c r="AG839" s="20"/>
      <c r="AH839" s="20"/>
      <c r="AI839" s="20"/>
      <c r="AJ839" s="20"/>
      <c r="AK839" s="20"/>
      <c r="AL839" s="20"/>
      <c r="AM839" s="20"/>
      <c r="AN839" s="20"/>
      <c r="AO839" s="20"/>
      <c r="AP839" s="20"/>
      <c r="AQ839" s="20"/>
      <c r="AR839" s="20"/>
      <c r="AS839" s="20"/>
      <c r="AT839" s="20"/>
    </row>
    <row r="840">
      <c r="A840" s="20">
        <v>838.0</v>
      </c>
      <c r="B840" s="29" t="s">
        <v>814</v>
      </c>
      <c r="C840" s="20"/>
      <c r="D840" s="20"/>
      <c r="E840" s="20"/>
      <c r="F840" s="20"/>
      <c r="G840" s="20"/>
      <c r="H840" s="33" t="s">
        <v>77</v>
      </c>
      <c r="I840" s="33" t="s">
        <v>77</v>
      </c>
      <c r="J840" s="21"/>
      <c r="K840" s="20" t="str">
        <f t="shared" si="1"/>
        <v>ROADS,TRANSPORT AND PUBLIC WORKS</v>
      </c>
      <c r="L840" s="20" t="s">
        <v>107</v>
      </c>
      <c r="M840" s="20" t="str">
        <f t="shared" si="2"/>
        <v>ROADS,TRANSPORT AND PUBLIC WORKS</v>
      </c>
      <c r="N840" s="22" t="s">
        <v>510</v>
      </c>
      <c r="O840" s="22" t="s">
        <v>511</v>
      </c>
      <c r="P840" s="20" t="s">
        <v>512</v>
      </c>
      <c r="Q840" s="20" t="s">
        <v>512</v>
      </c>
      <c r="R840" s="34">
        <v>152899.5</v>
      </c>
      <c r="S840" s="34">
        <v>152899.5</v>
      </c>
      <c r="T840" s="34">
        <v>152899.5</v>
      </c>
      <c r="U840" s="20" t="s">
        <v>71</v>
      </c>
      <c r="V840" s="20"/>
      <c r="W840" s="38">
        <f t="shared" si="6"/>
        <v>152899.5</v>
      </c>
      <c r="X840" s="20"/>
      <c r="Y840" s="38">
        <f t="shared" si="7"/>
        <v>152899.5</v>
      </c>
      <c r="Z840" s="24">
        <f t="shared" si="3"/>
        <v>1</v>
      </c>
      <c r="AA840" s="23">
        <f t="shared" si="5"/>
        <v>152899.5</v>
      </c>
      <c r="AB840" s="20"/>
      <c r="AC840" s="20"/>
      <c r="AD840" s="20"/>
      <c r="AE840" s="20"/>
      <c r="AF840" s="20"/>
      <c r="AG840" s="20"/>
      <c r="AH840" s="20"/>
      <c r="AI840" s="20"/>
      <c r="AJ840" s="20"/>
      <c r="AK840" s="20"/>
      <c r="AL840" s="20"/>
      <c r="AM840" s="20"/>
      <c r="AN840" s="20"/>
      <c r="AO840" s="20"/>
      <c r="AP840" s="20"/>
      <c r="AQ840" s="20"/>
      <c r="AR840" s="20"/>
      <c r="AS840" s="20"/>
      <c r="AT840" s="20"/>
    </row>
    <row r="841">
      <c r="A841" s="20">
        <v>839.0</v>
      </c>
      <c r="B841" s="29" t="s">
        <v>434</v>
      </c>
      <c r="C841" s="20"/>
      <c r="D841" s="20"/>
      <c r="E841" s="20"/>
      <c r="F841" s="20"/>
      <c r="G841" s="20"/>
      <c r="H841" s="33" t="s">
        <v>65</v>
      </c>
      <c r="I841" s="33" t="s">
        <v>66</v>
      </c>
      <c r="J841" s="21"/>
      <c r="K841" s="20" t="str">
        <f t="shared" si="1"/>
        <v>WATER,ENVIRONMENT,CLIMATE CHANGE AND NATURAL RESOURCES</v>
      </c>
      <c r="L841" s="20" t="s">
        <v>75</v>
      </c>
      <c r="M841" s="20" t="str">
        <f t="shared" si="2"/>
        <v>WATER,ENVIRONMENT,CLIMATE CHANGE AND NATURAL RESOURCES</v>
      </c>
      <c r="N841" s="22" t="s">
        <v>510</v>
      </c>
      <c r="O841" s="22" t="s">
        <v>511</v>
      </c>
      <c r="P841" s="20" t="s">
        <v>512</v>
      </c>
      <c r="Q841" s="20" t="s">
        <v>512</v>
      </c>
      <c r="R841" s="34">
        <v>1000000.0</v>
      </c>
      <c r="S841" s="34">
        <v>1000000.0</v>
      </c>
      <c r="T841" s="34">
        <v>1000000.0</v>
      </c>
      <c r="U841" s="20" t="s">
        <v>71</v>
      </c>
      <c r="V841" s="20"/>
      <c r="W841" s="38">
        <f t="shared" si="6"/>
        <v>1000000</v>
      </c>
      <c r="X841" s="20"/>
      <c r="Y841" s="38">
        <f t="shared" si="7"/>
        <v>1000000</v>
      </c>
      <c r="Z841" s="24">
        <f t="shared" si="3"/>
        <v>1</v>
      </c>
      <c r="AA841" s="23">
        <f t="shared" si="5"/>
        <v>1000000</v>
      </c>
      <c r="AB841" s="20"/>
      <c r="AC841" s="20"/>
      <c r="AD841" s="20"/>
      <c r="AE841" s="20"/>
      <c r="AF841" s="20"/>
      <c r="AG841" s="20"/>
      <c r="AH841" s="20"/>
      <c r="AI841" s="20"/>
      <c r="AJ841" s="20"/>
      <c r="AK841" s="20"/>
      <c r="AL841" s="20"/>
      <c r="AM841" s="20"/>
      <c r="AN841" s="20"/>
      <c r="AO841" s="20"/>
      <c r="AP841" s="20"/>
      <c r="AQ841" s="20"/>
      <c r="AR841" s="20"/>
      <c r="AS841" s="20"/>
      <c r="AT841" s="20"/>
    </row>
    <row r="842">
      <c r="A842" s="20">
        <v>840.0</v>
      </c>
      <c r="B842" s="29" t="s">
        <v>815</v>
      </c>
      <c r="C842" s="20"/>
      <c r="D842" s="20"/>
      <c r="E842" s="20"/>
      <c r="F842" s="20"/>
      <c r="G842" s="20"/>
      <c r="H842" s="33" t="s">
        <v>65</v>
      </c>
      <c r="I842" s="33" t="s">
        <v>66</v>
      </c>
      <c r="J842" s="21"/>
      <c r="K842" s="20" t="str">
        <f t="shared" si="1"/>
        <v>Health services</v>
      </c>
      <c r="L842" s="20" t="s">
        <v>67</v>
      </c>
      <c r="M842" s="20" t="str">
        <f t="shared" si="2"/>
        <v>Health services</v>
      </c>
      <c r="N842" s="22" t="s">
        <v>510</v>
      </c>
      <c r="O842" s="22" t="s">
        <v>511</v>
      </c>
      <c r="P842" s="20" t="s">
        <v>512</v>
      </c>
      <c r="Q842" s="20" t="s">
        <v>512</v>
      </c>
      <c r="R842" s="34">
        <v>2361268.55</v>
      </c>
      <c r="S842" s="34">
        <v>2361268.55</v>
      </c>
      <c r="T842" s="34">
        <v>2361268.55</v>
      </c>
      <c r="U842" s="20" t="s">
        <v>71</v>
      </c>
      <c r="V842" s="20"/>
      <c r="W842" s="38">
        <f t="shared" si="6"/>
        <v>2361268.55</v>
      </c>
      <c r="X842" s="20"/>
      <c r="Y842" s="38">
        <f t="shared" si="7"/>
        <v>2361268.55</v>
      </c>
      <c r="Z842" s="24">
        <f t="shared" si="3"/>
        <v>1</v>
      </c>
      <c r="AA842" s="23">
        <f t="shared" si="5"/>
        <v>2361268.55</v>
      </c>
      <c r="AB842" s="20"/>
      <c r="AC842" s="20"/>
      <c r="AD842" s="20"/>
      <c r="AE842" s="20"/>
      <c r="AF842" s="20"/>
      <c r="AG842" s="20"/>
      <c r="AH842" s="20"/>
      <c r="AI842" s="20"/>
      <c r="AJ842" s="20"/>
      <c r="AK842" s="20"/>
      <c r="AL842" s="20"/>
      <c r="AM842" s="20"/>
      <c r="AN842" s="20"/>
      <c r="AO842" s="20"/>
      <c r="AP842" s="20"/>
      <c r="AQ842" s="20"/>
      <c r="AR842" s="20"/>
      <c r="AS842" s="20"/>
      <c r="AT842" s="20"/>
    </row>
    <row r="843">
      <c r="A843" s="20">
        <v>841.0</v>
      </c>
      <c r="B843" s="29" t="s">
        <v>816</v>
      </c>
      <c r="C843" s="20"/>
      <c r="D843" s="20"/>
      <c r="E843" s="20"/>
      <c r="F843" s="20"/>
      <c r="G843" s="20"/>
      <c r="H843" s="33" t="s">
        <v>77</v>
      </c>
      <c r="I843" s="33" t="s">
        <v>77</v>
      </c>
      <c r="J843" s="21"/>
      <c r="K843" s="20" t="str">
        <f t="shared" si="1"/>
        <v>Health services</v>
      </c>
      <c r="L843" s="20" t="s">
        <v>67</v>
      </c>
      <c r="M843" s="20" t="str">
        <f t="shared" si="2"/>
        <v>Health services</v>
      </c>
      <c r="N843" s="22" t="s">
        <v>510</v>
      </c>
      <c r="O843" s="22" t="s">
        <v>511</v>
      </c>
      <c r="P843" s="20" t="s">
        <v>512</v>
      </c>
      <c r="Q843" s="20" t="s">
        <v>512</v>
      </c>
      <c r="R843" s="34">
        <v>3512400.0</v>
      </c>
      <c r="S843" s="34">
        <v>3512400.0</v>
      </c>
      <c r="T843" s="34">
        <v>3512400.0</v>
      </c>
      <c r="U843" s="20" t="s">
        <v>71</v>
      </c>
      <c r="V843" s="20"/>
      <c r="W843" s="38">
        <f t="shared" si="6"/>
        <v>3512400</v>
      </c>
      <c r="X843" s="20"/>
      <c r="Y843" s="38">
        <f t="shared" si="7"/>
        <v>3512400</v>
      </c>
      <c r="Z843" s="24">
        <f t="shared" si="3"/>
        <v>1</v>
      </c>
      <c r="AA843" s="23">
        <f t="shared" si="5"/>
        <v>3512400</v>
      </c>
      <c r="AB843" s="20"/>
      <c r="AC843" s="20"/>
      <c r="AD843" s="20"/>
      <c r="AE843" s="20"/>
      <c r="AF843" s="20"/>
      <c r="AG843" s="20"/>
      <c r="AH843" s="20"/>
      <c r="AI843" s="20"/>
      <c r="AJ843" s="20"/>
      <c r="AK843" s="20"/>
      <c r="AL843" s="20"/>
      <c r="AM843" s="20"/>
      <c r="AN843" s="20"/>
      <c r="AO843" s="20"/>
      <c r="AP843" s="20"/>
      <c r="AQ843" s="20"/>
      <c r="AR843" s="20"/>
      <c r="AS843" s="20"/>
      <c r="AT843" s="20"/>
    </row>
    <row r="844">
      <c r="A844" s="20">
        <v>842.0</v>
      </c>
      <c r="B844" s="29" t="s">
        <v>817</v>
      </c>
      <c r="C844" s="20"/>
      <c r="D844" s="20"/>
      <c r="E844" s="20"/>
      <c r="F844" s="20"/>
      <c r="G844" s="20"/>
      <c r="H844" s="33" t="s">
        <v>113</v>
      </c>
      <c r="I844" s="33" t="s">
        <v>353</v>
      </c>
      <c r="J844" s="21"/>
      <c r="K844" s="20" t="str">
        <f t="shared" si="1"/>
        <v>ROADS,TRANSPORT AND PUBLIC WORKS</v>
      </c>
      <c r="L844" s="20" t="s">
        <v>107</v>
      </c>
      <c r="M844" s="20" t="str">
        <f t="shared" si="2"/>
        <v>ROADS,TRANSPORT AND PUBLIC WORKS</v>
      </c>
      <c r="N844" s="22" t="s">
        <v>510</v>
      </c>
      <c r="O844" s="22" t="s">
        <v>511</v>
      </c>
      <c r="P844" s="20" t="s">
        <v>512</v>
      </c>
      <c r="Q844" s="20" t="s">
        <v>512</v>
      </c>
      <c r="R844" s="34">
        <v>347013.2</v>
      </c>
      <c r="S844" s="34">
        <v>347013.2</v>
      </c>
      <c r="T844" s="34">
        <v>347013.2</v>
      </c>
      <c r="U844" s="20" t="s">
        <v>71</v>
      </c>
      <c r="V844" s="20"/>
      <c r="W844" s="38">
        <f t="shared" si="6"/>
        <v>347013.2</v>
      </c>
      <c r="X844" s="20"/>
      <c r="Y844" s="38">
        <f t="shared" si="7"/>
        <v>347013.2</v>
      </c>
      <c r="Z844" s="24">
        <f t="shared" si="3"/>
        <v>1</v>
      </c>
      <c r="AA844" s="23">
        <f t="shared" si="5"/>
        <v>347013.2</v>
      </c>
      <c r="AB844" s="20"/>
      <c r="AC844" s="20"/>
      <c r="AD844" s="20"/>
      <c r="AE844" s="20"/>
      <c r="AF844" s="20"/>
      <c r="AG844" s="20"/>
      <c r="AH844" s="20"/>
      <c r="AI844" s="20"/>
      <c r="AJ844" s="20"/>
      <c r="AK844" s="20"/>
      <c r="AL844" s="20"/>
      <c r="AM844" s="20"/>
      <c r="AN844" s="20"/>
      <c r="AO844" s="20"/>
      <c r="AP844" s="20"/>
      <c r="AQ844" s="20"/>
      <c r="AR844" s="20"/>
      <c r="AS844" s="20"/>
      <c r="AT844" s="20"/>
    </row>
    <row r="845">
      <c r="A845" s="20">
        <v>843.0</v>
      </c>
      <c r="B845" s="29" t="s">
        <v>818</v>
      </c>
      <c r="C845" s="20"/>
      <c r="D845" s="20"/>
      <c r="E845" s="20"/>
      <c r="F845" s="20"/>
      <c r="G845" s="20"/>
      <c r="H845" s="33" t="s">
        <v>65</v>
      </c>
      <c r="I845" s="33" t="s">
        <v>66</v>
      </c>
      <c r="J845" s="21"/>
      <c r="K845" s="20" t="str">
        <f t="shared" si="1"/>
        <v>AGRICULTURE,LIVESTOCK AND PASTORAL ECONOMY</v>
      </c>
      <c r="L845" s="20" t="s">
        <v>100</v>
      </c>
      <c r="M845" s="20" t="str">
        <f t="shared" si="2"/>
        <v>AGRICULTURE,LIVESTOCK AND PASTORAL ECONOMY</v>
      </c>
      <c r="N845" s="22" t="s">
        <v>510</v>
      </c>
      <c r="O845" s="22" t="s">
        <v>511</v>
      </c>
      <c r="P845" s="20" t="s">
        <v>512</v>
      </c>
      <c r="Q845" s="20" t="s">
        <v>512</v>
      </c>
      <c r="R845" s="34">
        <v>152000.0</v>
      </c>
      <c r="S845" s="34">
        <v>152000.0</v>
      </c>
      <c r="T845" s="34">
        <v>152000.0</v>
      </c>
      <c r="U845" s="20" t="s">
        <v>71</v>
      </c>
      <c r="V845" s="20"/>
      <c r="W845" s="38">
        <f t="shared" si="6"/>
        <v>152000</v>
      </c>
      <c r="X845" s="20"/>
      <c r="Y845" s="38">
        <f t="shared" si="7"/>
        <v>152000</v>
      </c>
      <c r="Z845" s="24">
        <f t="shared" si="3"/>
        <v>1</v>
      </c>
      <c r="AA845" s="23">
        <f t="shared" si="5"/>
        <v>152000</v>
      </c>
      <c r="AB845" s="20"/>
      <c r="AC845" s="20"/>
      <c r="AD845" s="20"/>
      <c r="AE845" s="20"/>
      <c r="AF845" s="20"/>
      <c r="AG845" s="20"/>
      <c r="AH845" s="20"/>
      <c r="AI845" s="20"/>
      <c r="AJ845" s="20"/>
      <c r="AK845" s="20"/>
      <c r="AL845" s="20"/>
      <c r="AM845" s="20"/>
      <c r="AN845" s="20"/>
      <c r="AO845" s="20"/>
      <c r="AP845" s="20"/>
      <c r="AQ845" s="20"/>
      <c r="AR845" s="20"/>
      <c r="AS845" s="20"/>
      <c r="AT845" s="20"/>
    </row>
    <row r="846">
      <c r="A846" s="20">
        <v>844.0</v>
      </c>
      <c r="B846" s="29" t="s">
        <v>642</v>
      </c>
      <c r="C846" s="20"/>
      <c r="D846" s="20"/>
      <c r="E846" s="20"/>
      <c r="F846" s="20"/>
      <c r="G846" s="20"/>
      <c r="H846" s="33" t="s">
        <v>65</v>
      </c>
      <c r="I846" s="33" t="s">
        <v>66</v>
      </c>
      <c r="J846" s="21"/>
      <c r="K846" s="20" t="str">
        <f t="shared" si="1"/>
        <v>ROADS,TRANSPORT AND PUBLIC WORKS</v>
      </c>
      <c r="L846" s="20" t="s">
        <v>107</v>
      </c>
      <c r="M846" s="20" t="str">
        <f t="shared" si="2"/>
        <v>ROADS,TRANSPORT AND PUBLIC WORKS</v>
      </c>
      <c r="N846" s="22" t="s">
        <v>510</v>
      </c>
      <c r="O846" s="22" t="s">
        <v>511</v>
      </c>
      <c r="P846" s="20" t="s">
        <v>512</v>
      </c>
      <c r="Q846" s="20" t="s">
        <v>512</v>
      </c>
      <c r="R846" s="34">
        <v>4504976.0</v>
      </c>
      <c r="S846" s="34">
        <v>4504976.0</v>
      </c>
      <c r="T846" s="34">
        <v>4504976.0</v>
      </c>
      <c r="U846" s="20" t="s">
        <v>71</v>
      </c>
      <c r="V846" s="20"/>
      <c r="W846" s="38">
        <f t="shared" si="6"/>
        <v>4504976</v>
      </c>
      <c r="X846" s="20"/>
      <c r="Y846" s="38">
        <f t="shared" si="7"/>
        <v>4504976</v>
      </c>
      <c r="Z846" s="24">
        <f t="shared" si="3"/>
        <v>1</v>
      </c>
      <c r="AA846" s="23">
        <f t="shared" si="5"/>
        <v>4504976</v>
      </c>
      <c r="AB846" s="20"/>
      <c r="AC846" s="20"/>
      <c r="AD846" s="20"/>
      <c r="AE846" s="20"/>
      <c r="AF846" s="20"/>
      <c r="AG846" s="20"/>
      <c r="AH846" s="20"/>
      <c r="AI846" s="20"/>
      <c r="AJ846" s="20"/>
      <c r="AK846" s="20"/>
      <c r="AL846" s="20"/>
      <c r="AM846" s="20"/>
      <c r="AN846" s="20"/>
      <c r="AO846" s="20"/>
      <c r="AP846" s="20"/>
      <c r="AQ846" s="20"/>
      <c r="AR846" s="20"/>
      <c r="AS846" s="20"/>
      <c r="AT846" s="20"/>
    </row>
    <row r="847">
      <c r="A847" s="20">
        <v>845.0</v>
      </c>
      <c r="B847" s="29" t="s">
        <v>655</v>
      </c>
      <c r="C847" s="20"/>
      <c r="D847" s="20"/>
      <c r="E847" s="20"/>
      <c r="F847" s="20"/>
      <c r="G847" s="20"/>
      <c r="H847" s="33" t="s">
        <v>113</v>
      </c>
      <c r="I847" s="33" t="s">
        <v>348</v>
      </c>
      <c r="J847" s="21"/>
      <c r="K847" s="20" t="str">
        <f t="shared" si="1"/>
        <v>WATER,ENVIRONMENT,CLIMATE CHANGE AND NATURAL RESOURCES</v>
      </c>
      <c r="L847" s="20" t="s">
        <v>75</v>
      </c>
      <c r="M847" s="20" t="str">
        <f t="shared" si="2"/>
        <v>WATER,ENVIRONMENT,CLIMATE CHANGE AND NATURAL RESOURCES</v>
      </c>
      <c r="N847" s="22" t="s">
        <v>510</v>
      </c>
      <c r="O847" s="22" t="s">
        <v>511</v>
      </c>
      <c r="P847" s="20" t="s">
        <v>512</v>
      </c>
      <c r="Q847" s="20" t="s">
        <v>512</v>
      </c>
      <c r="R847" s="34">
        <v>1.1E7</v>
      </c>
      <c r="S847" s="34">
        <v>1.1E7</v>
      </c>
      <c r="T847" s="34">
        <v>1.1E7</v>
      </c>
      <c r="U847" s="20" t="s">
        <v>71</v>
      </c>
      <c r="V847" s="20"/>
      <c r="W847" s="38">
        <f t="shared" si="6"/>
        <v>11000000</v>
      </c>
      <c r="X847" s="20"/>
      <c r="Y847" s="38">
        <f t="shared" si="7"/>
        <v>11000000</v>
      </c>
      <c r="Z847" s="24">
        <f t="shared" si="3"/>
        <v>1</v>
      </c>
      <c r="AA847" s="23">
        <f t="shared" si="5"/>
        <v>11000000</v>
      </c>
      <c r="AB847" s="20"/>
      <c r="AC847" s="20"/>
      <c r="AD847" s="20"/>
      <c r="AE847" s="20"/>
      <c r="AF847" s="20"/>
      <c r="AG847" s="20"/>
      <c r="AH847" s="20"/>
      <c r="AI847" s="20"/>
      <c r="AJ847" s="20"/>
      <c r="AK847" s="20"/>
      <c r="AL847" s="20"/>
      <c r="AM847" s="20"/>
      <c r="AN847" s="20"/>
      <c r="AO847" s="20"/>
      <c r="AP847" s="20"/>
      <c r="AQ847" s="20"/>
      <c r="AR847" s="20"/>
      <c r="AS847" s="20"/>
      <c r="AT847" s="20"/>
    </row>
    <row r="848">
      <c r="A848" s="20">
        <v>846.0</v>
      </c>
      <c r="B848" s="29" t="s">
        <v>819</v>
      </c>
      <c r="C848" s="20"/>
      <c r="D848" s="20"/>
      <c r="E848" s="20"/>
      <c r="F848" s="20"/>
      <c r="G848" s="20"/>
      <c r="H848" s="33" t="s">
        <v>65</v>
      </c>
      <c r="I848" s="33" t="s">
        <v>66</v>
      </c>
      <c r="J848" s="21"/>
      <c r="K848" s="20" t="str">
        <f t="shared" si="1"/>
        <v>Health services</v>
      </c>
      <c r="L848" s="20" t="s">
        <v>67</v>
      </c>
      <c r="M848" s="20" t="str">
        <f t="shared" si="2"/>
        <v>Health services</v>
      </c>
      <c r="N848" s="22" t="s">
        <v>510</v>
      </c>
      <c r="O848" s="22" t="s">
        <v>511</v>
      </c>
      <c r="P848" s="20" t="s">
        <v>512</v>
      </c>
      <c r="Q848" s="20" t="s">
        <v>512</v>
      </c>
      <c r="R848" s="34">
        <v>400000.0</v>
      </c>
      <c r="S848" s="34">
        <v>400000.0</v>
      </c>
      <c r="T848" s="34">
        <v>400000.0</v>
      </c>
      <c r="U848" s="20" t="s">
        <v>71</v>
      </c>
      <c r="V848" s="20"/>
      <c r="W848" s="38">
        <f t="shared" si="6"/>
        <v>400000</v>
      </c>
      <c r="X848" s="20"/>
      <c r="Y848" s="38">
        <f t="shared" si="7"/>
        <v>400000</v>
      </c>
      <c r="Z848" s="24">
        <f t="shared" si="3"/>
        <v>1</v>
      </c>
      <c r="AA848" s="23">
        <f t="shared" si="5"/>
        <v>400000</v>
      </c>
      <c r="AB848" s="20"/>
      <c r="AC848" s="20"/>
      <c r="AD848" s="20"/>
      <c r="AE848" s="20"/>
      <c r="AF848" s="20"/>
      <c r="AG848" s="20"/>
      <c r="AH848" s="20"/>
      <c r="AI848" s="20"/>
      <c r="AJ848" s="20"/>
      <c r="AK848" s="20"/>
      <c r="AL848" s="20"/>
      <c r="AM848" s="20"/>
      <c r="AN848" s="20"/>
      <c r="AO848" s="20"/>
      <c r="AP848" s="20"/>
      <c r="AQ848" s="20"/>
      <c r="AR848" s="20"/>
      <c r="AS848" s="20"/>
      <c r="AT848" s="20"/>
    </row>
    <row r="849">
      <c r="A849" s="20">
        <v>847.0</v>
      </c>
      <c r="B849" s="29" t="s">
        <v>820</v>
      </c>
      <c r="C849" s="20"/>
      <c r="D849" s="20"/>
      <c r="E849" s="20"/>
      <c r="F849" s="20"/>
      <c r="G849" s="20"/>
      <c r="H849" s="33" t="s">
        <v>77</v>
      </c>
      <c r="I849" s="33" t="s">
        <v>78</v>
      </c>
      <c r="J849" s="21"/>
      <c r="K849" s="20" t="str">
        <f t="shared" si="1"/>
        <v>Health services</v>
      </c>
      <c r="L849" s="20" t="s">
        <v>67</v>
      </c>
      <c r="M849" s="20" t="str">
        <f t="shared" si="2"/>
        <v>Health services</v>
      </c>
      <c r="N849" s="22" t="s">
        <v>510</v>
      </c>
      <c r="O849" s="22" t="s">
        <v>511</v>
      </c>
      <c r="P849" s="20" t="s">
        <v>512</v>
      </c>
      <c r="Q849" s="20" t="s">
        <v>512</v>
      </c>
      <c r="R849" s="34">
        <v>400000.0</v>
      </c>
      <c r="S849" s="34">
        <v>400000.0</v>
      </c>
      <c r="T849" s="34">
        <v>400000.0</v>
      </c>
      <c r="U849" s="20" t="s">
        <v>71</v>
      </c>
      <c r="V849" s="20"/>
      <c r="W849" s="38">
        <f t="shared" si="6"/>
        <v>400000</v>
      </c>
      <c r="X849" s="20"/>
      <c r="Y849" s="38">
        <f t="shared" si="7"/>
        <v>400000</v>
      </c>
      <c r="Z849" s="24">
        <f t="shared" si="3"/>
        <v>1</v>
      </c>
      <c r="AA849" s="23">
        <f t="shared" si="5"/>
        <v>400000</v>
      </c>
      <c r="AB849" s="20"/>
      <c r="AC849" s="20"/>
      <c r="AD849" s="20"/>
      <c r="AE849" s="20"/>
      <c r="AF849" s="20"/>
      <c r="AG849" s="20"/>
      <c r="AH849" s="20"/>
      <c r="AI849" s="20"/>
      <c r="AJ849" s="20"/>
      <c r="AK849" s="20"/>
      <c r="AL849" s="20"/>
      <c r="AM849" s="20"/>
      <c r="AN849" s="20"/>
      <c r="AO849" s="20"/>
      <c r="AP849" s="20"/>
      <c r="AQ849" s="20"/>
      <c r="AR849" s="20"/>
      <c r="AS849" s="20"/>
      <c r="AT849" s="20"/>
    </row>
    <row r="850">
      <c r="A850" s="20">
        <v>848.0</v>
      </c>
      <c r="B850" s="29" t="s">
        <v>821</v>
      </c>
      <c r="C850" s="20"/>
      <c r="D850" s="20"/>
      <c r="E850" s="20"/>
      <c r="F850" s="20"/>
      <c r="G850" s="20"/>
      <c r="H850" s="33" t="s">
        <v>65</v>
      </c>
      <c r="I850" s="33" t="s">
        <v>66</v>
      </c>
      <c r="J850" s="21"/>
      <c r="K850" s="20" t="str">
        <f t="shared" si="1"/>
        <v>WATER,ENVIRONMENT,CLIMATE CHANGE AND NATURAL RESOURCES</v>
      </c>
      <c r="L850" s="20" t="s">
        <v>75</v>
      </c>
      <c r="M850" s="20" t="str">
        <f t="shared" si="2"/>
        <v>WATER,ENVIRONMENT,CLIMATE CHANGE AND NATURAL RESOURCES</v>
      </c>
      <c r="N850" s="22" t="s">
        <v>510</v>
      </c>
      <c r="O850" s="22" t="s">
        <v>511</v>
      </c>
      <c r="P850" s="20" t="s">
        <v>512</v>
      </c>
      <c r="Q850" s="20" t="s">
        <v>512</v>
      </c>
      <c r="R850" s="34">
        <v>1700000.0</v>
      </c>
      <c r="S850" s="34">
        <v>1700000.0</v>
      </c>
      <c r="T850" s="34">
        <v>1700000.0</v>
      </c>
      <c r="U850" s="20" t="s">
        <v>71</v>
      </c>
      <c r="V850" s="20"/>
      <c r="W850" s="38">
        <f t="shared" si="6"/>
        <v>1700000</v>
      </c>
      <c r="X850" s="20"/>
      <c r="Y850" s="38">
        <f t="shared" si="7"/>
        <v>1700000</v>
      </c>
      <c r="Z850" s="24">
        <f t="shared" si="3"/>
        <v>1</v>
      </c>
      <c r="AA850" s="23">
        <f t="shared" si="5"/>
        <v>1700000</v>
      </c>
      <c r="AB850" s="20"/>
      <c r="AC850" s="20"/>
      <c r="AD850" s="20"/>
      <c r="AE850" s="20"/>
      <c r="AF850" s="20"/>
      <c r="AG850" s="20"/>
      <c r="AH850" s="20"/>
      <c r="AI850" s="20"/>
      <c r="AJ850" s="20"/>
      <c r="AK850" s="20"/>
      <c r="AL850" s="20"/>
      <c r="AM850" s="20"/>
      <c r="AN850" s="20"/>
      <c r="AO850" s="20"/>
      <c r="AP850" s="20"/>
      <c r="AQ850" s="20"/>
      <c r="AR850" s="20"/>
      <c r="AS850" s="20"/>
      <c r="AT850" s="20"/>
    </row>
    <row r="851">
      <c r="A851" s="20">
        <v>849.0</v>
      </c>
      <c r="B851" s="29" t="s">
        <v>822</v>
      </c>
      <c r="C851" s="20"/>
      <c r="D851" s="20"/>
      <c r="E851" s="20"/>
      <c r="F851" s="20"/>
      <c r="G851" s="20"/>
      <c r="H851" s="33" t="s">
        <v>65</v>
      </c>
      <c r="I851" s="33" t="s">
        <v>66</v>
      </c>
      <c r="J851" s="21"/>
      <c r="K851" s="20" t="str">
        <f t="shared" si="1"/>
        <v>Health services</v>
      </c>
      <c r="L851" s="20" t="s">
        <v>67</v>
      </c>
      <c r="M851" s="20" t="str">
        <f t="shared" si="2"/>
        <v>Health services</v>
      </c>
      <c r="N851" s="22" t="s">
        <v>510</v>
      </c>
      <c r="O851" s="22" t="s">
        <v>511</v>
      </c>
      <c r="P851" s="20" t="s">
        <v>512</v>
      </c>
      <c r="Q851" s="20" t="s">
        <v>512</v>
      </c>
      <c r="R851" s="34">
        <v>2000000.0</v>
      </c>
      <c r="S851" s="34">
        <v>2000000.0</v>
      </c>
      <c r="T851" s="34">
        <v>2000000.0</v>
      </c>
      <c r="U851" s="20" t="s">
        <v>71</v>
      </c>
      <c r="V851" s="20"/>
      <c r="W851" s="38">
        <f t="shared" si="6"/>
        <v>2000000</v>
      </c>
      <c r="X851" s="20"/>
      <c r="Y851" s="38">
        <f t="shared" si="7"/>
        <v>2000000</v>
      </c>
      <c r="Z851" s="24">
        <f t="shared" si="3"/>
        <v>1</v>
      </c>
      <c r="AA851" s="23">
        <f t="shared" si="5"/>
        <v>2000000</v>
      </c>
      <c r="AB851" s="20"/>
      <c r="AC851" s="20"/>
      <c r="AD851" s="20"/>
      <c r="AE851" s="20"/>
      <c r="AF851" s="20"/>
      <c r="AG851" s="20"/>
      <c r="AH851" s="20"/>
      <c r="AI851" s="20"/>
      <c r="AJ851" s="20"/>
      <c r="AK851" s="20"/>
      <c r="AL851" s="20"/>
      <c r="AM851" s="20"/>
      <c r="AN851" s="20"/>
      <c r="AO851" s="20"/>
      <c r="AP851" s="20"/>
      <c r="AQ851" s="20"/>
      <c r="AR851" s="20"/>
      <c r="AS851" s="20"/>
      <c r="AT851" s="20"/>
    </row>
    <row r="852">
      <c r="A852" s="20">
        <v>850.0</v>
      </c>
      <c r="B852" s="29" t="s">
        <v>823</v>
      </c>
      <c r="C852" s="20"/>
      <c r="D852" s="20"/>
      <c r="E852" s="20"/>
      <c r="F852" s="20"/>
      <c r="G852" s="20"/>
      <c r="H852" s="33" t="s">
        <v>113</v>
      </c>
      <c r="I852" s="33" t="s">
        <v>66</v>
      </c>
      <c r="J852" s="21"/>
      <c r="K852" s="20" t="str">
        <f t="shared" si="1"/>
        <v>ROADS,TRANSPORT AND PUBLIC WORKS</v>
      </c>
      <c r="L852" s="20" t="s">
        <v>107</v>
      </c>
      <c r="M852" s="20" t="str">
        <f t="shared" si="2"/>
        <v>ROADS,TRANSPORT AND PUBLIC WORKS</v>
      </c>
      <c r="N852" s="22" t="s">
        <v>510</v>
      </c>
      <c r="O852" s="22" t="s">
        <v>511</v>
      </c>
      <c r="P852" s="20" t="s">
        <v>512</v>
      </c>
      <c r="Q852" s="20" t="s">
        <v>512</v>
      </c>
      <c r="R852" s="34">
        <v>4153883.6</v>
      </c>
      <c r="S852" s="34">
        <v>4153883.6</v>
      </c>
      <c r="T852" s="34">
        <v>4153883.6</v>
      </c>
      <c r="U852" s="20" t="s">
        <v>71</v>
      </c>
      <c r="V852" s="20"/>
      <c r="W852" s="38">
        <f t="shared" si="6"/>
        <v>4153883.6</v>
      </c>
      <c r="X852" s="20"/>
      <c r="Y852" s="38">
        <f t="shared" si="7"/>
        <v>4153883.6</v>
      </c>
      <c r="Z852" s="24">
        <f t="shared" si="3"/>
        <v>1</v>
      </c>
      <c r="AA852" s="23">
        <f t="shared" si="5"/>
        <v>4153883.6</v>
      </c>
      <c r="AB852" s="20"/>
      <c r="AC852" s="20"/>
      <c r="AD852" s="20"/>
      <c r="AE852" s="20"/>
      <c r="AF852" s="20"/>
      <c r="AG852" s="20"/>
      <c r="AH852" s="20"/>
      <c r="AI852" s="20"/>
      <c r="AJ852" s="20"/>
      <c r="AK852" s="20"/>
      <c r="AL852" s="20"/>
      <c r="AM852" s="20"/>
      <c r="AN852" s="20"/>
      <c r="AO852" s="20"/>
      <c r="AP852" s="20"/>
      <c r="AQ852" s="20"/>
      <c r="AR852" s="20"/>
      <c r="AS852" s="20"/>
      <c r="AT852" s="20"/>
    </row>
    <row r="853">
      <c r="A853" s="20">
        <v>851.0</v>
      </c>
      <c r="B853" s="29" t="s">
        <v>337</v>
      </c>
      <c r="C853" s="20"/>
      <c r="D853" s="20"/>
      <c r="E853" s="20"/>
      <c r="F853" s="20"/>
      <c r="G853" s="20"/>
      <c r="H853" s="33" t="s">
        <v>65</v>
      </c>
      <c r="I853" s="33" t="s">
        <v>74</v>
      </c>
      <c r="J853" s="21"/>
      <c r="K853" s="20" t="str">
        <f t="shared" si="1"/>
        <v>ROADS,TRANSPORT AND PUBLIC WORKS</v>
      </c>
      <c r="L853" s="20" t="s">
        <v>107</v>
      </c>
      <c r="M853" s="20" t="str">
        <f t="shared" si="2"/>
        <v>ROADS,TRANSPORT AND PUBLIC WORKS</v>
      </c>
      <c r="N853" s="22" t="s">
        <v>510</v>
      </c>
      <c r="O853" s="22" t="s">
        <v>511</v>
      </c>
      <c r="P853" s="20" t="s">
        <v>512</v>
      </c>
      <c r="Q853" s="20" t="s">
        <v>512</v>
      </c>
      <c r="R853" s="34">
        <v>1500000.0</v>
      </c>
      <c r="S853" s="34">
        <v>1500000.0</v>
      </c>
      <c r="T853" s="34">
        <v>1500000.0</v>
      </c>
      <c r="U853" s="20" t="s">
        <v>71</v>
      </c>
      <c r="V853" s="20"/>
      <c r="W853" s="38">
        <f t="shared" si="6"/>
        <v>1500000</v>
      </c>
      <c r="X853" s="20"/>
      <c r="Y853" s="38">
        <f t="shared" si="7"/>
        <v>1500000</v>
      </c>
      <c r="Z853" s="24">
        <f t="shared" si="3"/>
        <v>1</v>
      </c>
      <c r="AA853" s="23">
        <f t="shared" si="5"/>
        <v>1500000</v>
      </c>
      <c r="AB853" s="20"/>
      <c r="AC853" s="20"/>
      <c r="AD853" s="20"/>
      <c r="AE853" s="20"/>
      <c r="AF853" s="20"/>
      <c r="AG853" s="20"/>
      <c r="AH853" s="20"/>
      <c r="AI853" s="20"/>
      <c r="AJ853" s="20"/>
      <c r="AK853" s="20"/>
      <c r="AL853" s="20"/>
      <c r="AM853" s="20"/>
      <c r="AN853" s="20"/>
      <c r="AO853" s="20"/>
      <c r="AP853" s="20"/>
      <c r="AQ853" s="20"/>
      <c r="AR853" s="20"/>
      <c r="AS853" s="20"/>
      <c r="AT853" s="20"/>
    </row>
    <row r="854">
      <c r="A854" s="20">
        <v>852.0</v>
      </c>
      <c r="B854" s="29" t="s">
        <v>347</v>
      </c>
      <c r="C854" s="20"/>
      <c r="D854" s="20"/>
      <c r="E854" s="20"/>
      <c r="F854" s="20"/>
      <c r="G854" s="20"/>
      <c r="H854" s="33" t="s">
        <v>113</v>
      </c>
      <c r="I854" s="33" t="s">
        <v>348</v>
      </c>
      <c r="J854" s="21"/>
      <c r="K854" s="20" t="str">
        <f t="shared" si="1"/>
        <v>ROADS,TRANSPORT AND PUBLIC WORKS</v>
      </c>
      <c r="L854" s="20" t="s">
        <v>107</v>
      </c>
      <c r="M854" s="20" t="str">
        <f t="shared" si="2"/>
        <v>ROADS,TRANSPORT AND PUBLIC WORKS</v>
      </c>
      <c r="N854" s="22" t="s">
        <v>510</v>
      </c>
      <c r="O854" s="22" t="s">
        <v>511</v>
      </c>
      <c r="P854" s="20" t="s">
        <v>512</v>
      </c>
      <c r="Q854" s="20" t="s">
        <v>512</v>
      </c>
      <c r="R854" s="34">
        <v>1615000.0</v>
      </c>
      <c r="S854" s="34">
        <v>1615000.0</v>
      </c>
      <c r="T854" s="34">
        <v>1615000.0</v>
      </c>
      <c r="U854" s="20" t="s">
        <v>71</v>
      </c>
      <c r="V854" s="20"/>
      <c r="W854" s="38">
        <f t="shared" si="6"/>
        <v>1615000</v>
      </c>
      <c r="X854" s="20"/>
      <c r="Y854" s="38">
        <f t="shared" si="7"/>
        <v>1615000</v>
      </c>
      <c r="Z854" s="24">
        <f t="shared" si="3"/>
        <v>1</v>
      </c>
      <c r="AA854" s="23">
        <f t="shared" si="5"/>
        <v>1615000</v>
      </c>
      <c r="AB854" s="20"/>
      <c r="AC854" s="20"/>
      <c r="AD854" s="20"/>
      <c r="AE854" s="20"/>
      <c r="AF854" s="20"/>
      <c r="AG854" s="20"/>
      <c r="AH854" s="20"/>
      <c r="AI854" s="20"/>
      <c r="AJ854" s="20"/>
      <c r="AK854" s="20"/>
      <c r="AL854" s="20"/>
      <c r="AM854" s="20"/>
      <c r="AN854" s="20"/>
      <c r="AO854" s="20"/>
      <c r="AP854" s="20"/>
      <c r="AQ854" s="20"/>
      <c r="AR854" s="20"/>
      <c r="AS854" s="20"/>
      <c r="AT854" s="20"/>
    </row>
    <row r="855">
      <c r="A855" s="20">
        <v>853.0</v>
      </c>
      <c r="B855" s="29" t="s">
        <v>824</v>
      </c>
      <c r="C855" s="20"/>
      <c r="D855" s="20"/>
      <c r="E855" s="20"/>
      <c r="F855" s="20"/>
      <c r="G855" s="20"/>
      <c r="H855" s="33" t="s">
        <v>65</v>
      </c>
      <c r="I855" s="33" t="s">
        <v>66</v>
      </c>
      <c r="J855" s="21"/>
      <c r="K855" s="20" t="str">
        <f t="shared" si="1"/>
        <v>ROADS,TRANSPORT AND PUBLIC WORKS</v>
      </c>
      <c r="L855" s="20" t="s">
        <v>107</v>
      </c>
      <c r="M855" s="20" t="str">
        <f t="shared" si="2"/>
        <v>ROADS,TRANSPORT AND PUBLIC WORKS</v>
      </c>
      <c r="N855" s="22" t="s">
        <v>510</v>
      </c>
      <c r="O855" s="22" t="s">
        <v>511</v>
      </c>
      <c r="P855" s="20" t="s">
        <v>512</v>
      </c>
      <c r="Q855" s="20" t="s">
        <v>512</v>
      </c>
      <c r="R855" s="34">
        <v>3200000.0</v>
      </c>
      <c r="S855" s="34">
        <v>3200000.0</v>
      </c>
      <c r="T855" s="34">
        <v>3200000.0</v>
      </c>
      <c r="U855" s="20" t="s">
        <v>71</v>
      </c>
      <c r="V855" s="20"/>
      <c r="W855" s="38">
        <f t="shared" si="6"/>
        <v>3200000</v>
      </c>
      <c r="X855" s="20"/>
      <c r="Y855" s="38">
        <f t="shared" si="7"/>
        <v>3200000</v>
      </c>
      <c r="Z855" s="24">
        <f t="shared" si="3"/>
        <v>1</v>
      </c>
      <c r="AA855" s="23">
        <f t="shared" si="5"/>
        <v>3200000</v>
      </c>
      <c r="AB855" s="20"/>
      <c r="AC855" s="20"/>
      <c r="AD855" s="20"/>
      <c r="AE855" s="20"/>
      <c r="AF855" s="20"/>
      <c r="AG855" s="20"/>
      <c r="AH855" s="20"/>
      <c r="AI855" s="20"/>
      <c r="AJ855" s="20"/>
      <c r="AK855" s="20"/>
      <c r="AL855" s="20"/>
      <c r="AM855" s="20"/>
      <c r="AN855" s="20"/>
      <c r="AO855" s="20"/>
      <c r="AP855" s="20"/>
      <c r="AQ855" s="20"/>
      <c r="AR855" s="20"/>
      <c r="AS855" s="20"/>
      <c r="AT855" s="20"/>
    </row>
    <row r="856">
      <c r="A856" s="20">
        <v>854.0</v>
      </c>
      <c r="B856" s="31" t="s">
        <v>825</v>
      </c>
      <c r="C856" s="20"/>
      <c r="D856" s="20"/>
      <c r="E856" s="20"/>
      <c r="F856" s="20"/>
      <c r="G856" s="20"/>
      <c r="H856" s="33" t="s">
        <v>77</v>
      </c>
      <c r="I856" s="33" t="s">
        <v>77</v>
      </c>
      <c r="J856" s="21"/>
      <c r="K856" s="20" t="str">
        <f t="shared" si="1"/>
        <v>ROADS,TRANSPORT AND PUBLIC WORKS</v>
      </c>
      <c r="L856" s="20" t="s">
        <v>107</v>
      </c>
      <c r="M856" s="20" t="str">
        <f t="shared" si="2"/>
        <v>ROADS,TRANSPORT AND PUBLIC WORKS</v>
      </c>
      <c r="N856" s="22" t="s">
        <v>510</v>
      </c>
      <c r="O856" s="22" t="s">
        <v>511</v>
      </c>
      <c r="P856" s="20" t="s">
        <v>512</v>
      </c>
      <c r="Q856" s="20" t="s">
        <v>512</v>
      </c>
      <c r="R856" s="39">
        <v>3837413.8</v>
      </c>
      <c r="S856" s="39">
        <v>3837413.8</v>
      </c>
      <c r="T856" s="39">
        <v>3837413.8</v>
      </c>
      <c r="U856" s="20" t="s">
        <v>71</v>
      </c>
      <c r="V856" s="20"/>
      <c r="W856" s="38">
        <f t="shared" si="6"/>
        <v>3837413.8</v>
      </c>
      <c r="X856" s="20"/>
      <c r="Y856" s="38">
        <f t="shared" si="7"/>
        <v>3837413.8</v>
      </c>
      <c r="Z856" s="24">
        <f t="shared" si="3"/>
        <v>1</v>
      </c>
      <c r="AA856" s="23">
        <f t="shared" si="5"/>
        <v>3837413.8</v>
      </c>
      <c r="AB856" s="20"/>
      <c r="AC856" s="20"/>
      <c r="AD856" s="20"/>
      <c r="AE856" s="20"/>
      <c r="AF856" s="20"/>
      <c r="AG856" s="20"/>
      <c r="AH856" s="20"/>
      <c r="AI856" s="20"/>
      <c r="AJ856" s="20"/>
      <c r="AK856" s="20"/>
      <c r="AL856" s="20"/>
      <c r="AM856" s="20"/>
      <c r="AN856" s="20"/>
      <c r="AO856" s="20"/>
      <c r="AP856" s="20"/>
      <c r="AQ856" s="20"/>
      <c r="AR856" s="20"/>
      <c r="AS856" s="20"/>
      <c r="AT856" s="20"/>
    </row>
    <row r="857">
      <c r="A857" s="20">
        <v>855.0</v>
      </c>
      <c r="B857" s="29" t="s">
        <v>826</v>
      </c>
      <c r="C857" s="20"/>
      <c r="D857" s="20"/>
      <c r="E857" s="20"/>
      <c r="F857" s="20"/>
      <c r="G857" s="20"/>
      <c r="H857" s="33" t="s">
        <v>65</v>
      </c>
      <c r="I857" s="33" t="s">
        <v>66</v>
      </c>
      <c r="J857" s="21"/>
      <c r="K857" s="20" t="str">
        <f t="shared" si="1"/>
        <v>ROADS,TRANSPORT AND PUBLIC WORKS</v>
      </c>
      <c r="L857" s="20" t="s">
        <v>107</v>
      </c>
      <c r="M857" s="20" t="str">
        <f t="shared" si="2"/>
        <v>ROADS,TRANSPORT AND PUBLIC WORKS</v>
      </c>
      <c r="N857" s="22" t="s">
        <v>510</v>
      </c>
      <c r="O857" s="22" t="s">
        <v>511</v>
      </c>
      <c r="P857" s="20" t="s">
        <v>512</v>
      </c>
      <c r="Q857" s="20" t="s">
        <v>512</v>
      </c>
      <c r="R857" s="34">
        <v>500000.0</v>
      </c>
      <c r="S857" s="34">
        <v>500000.0</v>
      </c>
      <c r="T857" s="34">
        <v>500000.0</v>
      </c>
      <c r="U857" s="20" t="s">
        <v>71</v>
      </c>
      <c r="V857" s="20"/>
      <c r="W857" s="38">
        <f t="shared" si="6"/>
        <v>500000</v>
      </c>
      <c r="X857" s="20"/>
      <c r="Y857" s="38">
        <f t="shared" si="7"/>
        <v>500000</v>
      </c>
      <c r="Z857" s="24">
        <f t="shared" si="3"/>
        <v>1</v>
      </c>
      <c r="AA857" s="23">
        <f t="shared" si="5"/>
        <v>500000</v>
      </c>
      <c r="AB857" s="20"/>
      <c r="AC857" s="20"/>
      <c r="AD857" s="20"/>
      <c r="AE857" s="20"/>
      <c r="AF857" s="20"/>
      <c r="AG857" s="20"/>
      <c r="AH857" s="20"/>
      <c r="AI857" s="20"/>
      <c r="AJ857" s="20"/>
      <c r="AK857" s="20"/>
      <c r="AL857" s="20"/>
      <c r="AM857" s="20"/>
      <c r="AN857" s="20"/>
      <c r="AO857" s="20"/>
      <c r="AP857" s="20"/>
      <c r="AQ857" s="20"/>
      <c r="AR857" s="20"/>
      <c r="AS857" s="20"/>
      <c r="AT857" s="20"/>
    </row>
    <row r="858">
      <c r="A858" s="20">
        <v>856.0</v>
      </c>
      <c r="B858" s="29" t="s">
        <v>640</v>
      </c>
      <c r="C858" s="20"/>
      <c r="D858" s="20"/>
      <c r="E858" s="20"/>
      <c r="F858" s="20"/>
      <c r="G858" s="20"/>
      <c r="H858" s="33" t="s">
        <v>65</v>
      </c>
      <c r="I858" s="33" t="s">
        <v>66</v>
      </c>
      <c r="J858" s="21"/>
      <c r="K858" s="20" t="str">
        <f t="shared" si="1"/>
        <v>ROADS,TRANSPORT AND PUBLIC WORKS</v>
      </c>
      <c r="L858" s="20" t="s">
        <v>107</v>
      </c>
      <c r="M858" s="20" t="str">
        <f t="shared" si="2"/>
        <v>ROADS,TRANSPORT AND PUBLIC WORKS</v>
      </c>
      <c r="N858" s="22" t="s">
        <v>510</v>
      </c>
      <c r="O858" s="22" t="s">
        <v>511</v>
      </c>
      <c r="P858" s="20" t="s">
        <v>512</v>
      </c>
      <c r="Q858" s="20" t="s">
        <v>512</v>
      </c>
      <c r="R858" s="34">
        <v>3500000.0</v>
      </c>
      <c r="S858" s="34">
        <v>3500000.0</v>
      </c>
      <c r="T858" s="34">
        <v>3500000.0</v>
      </c>
      <c r="U858" s="20" t="s">
        <v>71</v>
      </c>
      <c r="V858" s="20"/>
      <c r="W858" s="38">
        <f t="shared" si="6"/>
        <v>3500000</v>
      </c>
      <c r="X858" s="20"/>
      <c r="Y858" s="38">
        <f t="shared" si="7"/>
        <v>3500000</v>
      </c>
      <c r="Z858" s="24">
        <f t="shared" si="3"/>
        <v>1</v>
      </c>
      <c r="AA858" s="23">
        <f t="shared" si="5"/>
        <v>3500000</v>
      </c>
      <c r="AB858" s="20"/>
      <c r="AC858" s="20"/>
      <c r="AD858" s="20"/>
      <c r="AE858" s="20"/>
      <c r="AF858" s="20"/>
      <c r="AG858" s="20"/>
      <c r="AH858" s="20"/>
      <c r="AI858" s="20"/>
      <c r="AJ858" s="20"/>
      <c r="AK858" s="20"/>
      <c r="AL858" s="20"/>
      <c r="AM858" s="20"/>
      <c r="AN858" s="20"/>
      <c r="AO858" s="20"/>
      <c r="AP858" s="20"/>
      <c r="AQ858" s="20"/>
      <c r="AR858" s="20"/>
      <c r="AS858" s="20"/>
      <c r="AT858" s="20"/>
    </row>
    <row r="859">
      <c r="A859" s="20">
        <v>857.0</v>
      </c>
      <c r="B859" s="29" t="s">
        <v>827</v>
      </c>
      <c r="C859" s="20"/>
      <c r="D859" s="20"/>
      <c r="E859" s="20"/>
      <c r="F859" s="20"/>
      <c r="G859" s="20"/>
      <c r="H859" s="33" t="s">
        <v>65</v>
      </c>
      <c r="I859" s="33" t="s">
        <v>74</v>
      </c>
      <c r="J859" s="21"/>
      <c r="K859" s="20" t="str">
        <f t="shared" si="1"/>
        <v>ROADS,TRANSPORT AND PUBLIC WORKS</v>
      </c>
      <c r="L859" s="20" t="s">
        <v>107</v>
      </c>
      <c r="M859" s="20" t="str">
        <f t="shared" si="2"/>
        <v>ROADS,TRANSPORT AND PUBLIC WORKS</v>
      </c>
      <c r="N859" s="22" t="s">
        <v>510</v>
      </c>
      <c r="O859" s="22" t="s">
        <v>511</v>
      </c>
      <c r="P859" s="20" t="s">
        <v>512</v>
      </c>
      <c r="Q859" s="20" t="s">
        <v>512</v>
      </c>
      <c r="R859" s="34">
        <v>3513600.0</v>
      </c>
      <c r="S859" s="34">
        <v>3513600.0</v>
      </c>
      <c r="T859" s="34">
        <v>3513600.0</v>
      </c>
      <c r="U859" s="20" t="s">
        <v>71</v>
      </c>
      <c r="V859" s="20"/>
      <c r="W859" s="38">
        <f t="shared" si="6"/>
        <v>3513600</v>
      </c>
      <c r="X859" s="20"/>
      <c r="Y859" s="38">
        <f t="shared" si="7"/>
        <v>3513600</v>
      </c>
      <c r="Z859" s="24">
        <f t="shared" si="3"/>
        <v>1</v>
      </c>
      <c r="AA859" s="23">
        <f t="shared" si="5"/>
        <v>3513600</v>
      </c>
      <c r="AB859" s="20"/>
      <c r="AC859" s="20"/>
      <c r="AD859" s="20"/>
      <c r="AE859" s="20"/>
      <c r="AF859" s="20"/>
      <c r="AG859" s="20"/>
      <c r="AH859" s="20"/>
      <c r="AI859" s="20"/>
      <c r="AJ859" s="20"/>
      <c r="AK859" s="20"/>
      <c r="AL859" s="20"/>
      <c r="AM859" s="20"/>
      <c r="AN859" s="20"/>
      <c r="AO859" s="20"/>
      <c r="AP859" s="20"/>
      <c r="AQ859" s="20"/>
      <c r="AR859" s="20"/>
      <c r="AS859" s="20"/>
      <c r="AT859" s="20"/>
    </row>
    <row r="860">
      <c r="A860" s="20">
        <v>858.0</v>
      </c>
      <c r="B860" s="29" t="s">
        <v>828</v>
      </c>
      <c r="C860" s="20"/>
      <c r="D860" s="20"/>
      <c r="E860" s="20"/>
      <c r="F860" s="20"/>
      <c r="G860" s="20"/>
      <c r="H860" s="33" t="s">
        <v>65</v>
      </c>
      <c r="I860" s="33" t="s">
        <v>66</v>
      </c>
      <c r="J860" s="21"/>
      <c r="K860" s="20" t="str">
        <f t="shared" si="1"/>
        <v>ROADS,TRANSPORT AND PUBLIC WORKS</v>
      </c>
      <c r="L860" s="20" t="s">
        <v>107</v>
      </c>
      <c r="M860" s="20" t="str">
        <f t="shared" si="2"/>
        <v>ROADS,TRANSPORT AND PUBLIC WORKS</v>
      </c>
      <c r="N860" s="22" t="s">
        <v>510</v>
      </c>
      <c r="O860" s="22" t="s">
        <v>511</v>
      </c>
      <c r="P860" s="20" t="s">
        <v>512</v>
      </c>
      <c r="Q860" s="20" t="s">
        <v>512</v>
      </c>
      <c r="R860" s="34">
        <v>2988260.0</v>
      </c>
      <c r="S860" s="34">
        <v>2988260.0</v>
      </c>
      <c r="T860" s="34">
        <v>2988260.0</v>
      </c>
      <c r="U860" s="20" t="s">
        <v>71</v>
      </c>
      <c r="V860" s="20"/>
      <c r="W860" s="38">
        <f t="shared" si="6"/>
        <v>2988260</v>
      </c>
      <c r="X860" s="20"/>
      <c r="Y860" s="38">
        <f t="shared" si="7"/>
        <v>2988260</v>
      </c>
      <c r="Z860" s="24">
        <f t="shared" si="3"/>
        <v>1</v>
      </c>
      <c r="AA860" s="23">
        <f t="shared" si="5"/>
        <v>2988260</v>
      </c>
      <c r="AB860" s="20"/>
      <c r="AC860" s="20"/>
      <c r="AD860" s="20"/>
      <c r="AE860" s="20"/>
      <c r="AF860" s="20"/>
      <c r="AG860" s="20"/>
      <c r="AH860" s="20"/>
      <c r="AI860" s="20"/>
      <c r="AJ860" s="20"/>
      <c r="AK860" s="20"/>
      <c r="AL860" s="20"/>
      <c r="AM860" s="20"/>
      <c r="AN860" s="20"/>
      <c r="AO860" s="20"/>
      <c r="AP860" s="20"/>
      <c r="AQ860" s="20"/>
      <c r="AR860" s="20"/>
      <c r="AS860" s="20"/>
      <c r="AT860" s="20"/>
    </row>
    <row r="861">
      <c r="A861" s="20">
        <v>859.0</v>
      </c>
      <c r="B861" s="29" t="s">
        <v>434</v>
      </c>
      <c r="C861" s="20"/>
      <c r="D861" s="20"/>
      <c r="E861" s="20"/>
      <c r="F861" s="20"/>
      <c r="G861" s="20"/>
      <c r="H861" s="33" t="s">
        <v>65</v>
      </c>
      <c r="I861" s="33" t="s">
        <v>66</v>
      </c>
      <c r="J861" s="21"/>
      <c r="K861" s="20" t="str">
        <f t="shared" si="1"/>
        <v>WATER,ENVIRONMENT,CLIMATE CHANGE AND NATURAL RESOURCES</v>
      </c>
      <c r="L861" s="20" t="s">
        <v>75</v>
      </c>
      <c r="M861" s="20" t="str">
        <f t="shared" si="2"/>
        <v>WATER,ENVIRONMENT,CLIMATE CHANGE AND NATURAL RESOURCES</v>
      </c>
      <c r="N861" s="22" t="s">
        <v>510</v>
      </c>
      <c r="O861" s="22" t="s">
        <v>511</v>
      </c>
      <c r="P861" s="20" t="s">
        <v>512</v>
      </c>
      <c r="Q861" s="20" t="s">
        <v>512</v>
      </c>
      <c r="R861" s="34">
        <v>1200000.0</v>
      </c>
      <c r="S861" s="34">
        <v>1200000.0</v>
      </c>
      <c r="T861" s="34">
        <v>1200000.0</v>
      </c>
      <c r="U861" s="20" t="s">
        <v>71</v>
      </c>
      <c r="V861" s="20"/>
      <c r="W861" s="38">
        <f t="shared" si="6"/>
        <v>1200000</v>
      </c>
      <c r="X861" s="20"/>
      <c r="Y861" s="38">
        <f t="shared" si="7"/>
        <v>1200000</v>
      </c>
      <c r="Z861" s="24">
        <f t="shared" si="3"/>
        <v>1</v>
      </c>
      <c r="AA861" s="23">
        <f t="shared" si="5"/>
        <v>1200000</v>
      </c>
      <c r="AB861" s="20"/>
      <c r="AC861" s="20"/>
      <c r="AD861" s="20"/>
      <c r="AE861" s="20"/>
      <c r="AF861" s="20"/>
      <c r="AG861" s="20"/>
      <c r="AH861" s="20"/>
      <c r="AI861" s="20"/>
      <c r="AJ861" s="20"/>
      <c r="AK861" s="20"/>
      <c r="AL861" s="20"/>
      <c r="AM861" s="20"/>
      <c r="AN861" s="20"/>
      <c r="AO861" s="20"/>
      <c r="AP861" s="20"/>
      <c r="AQ861" s="20"/>
      <c r="AR861" s="20"/>
      <c r="AS861" s="20"/>
      <c r="AT861" s="20"/>
    </row>
    <row r="862">
      <c r="A862" s="20">
        <v>860.0</v>
      </c>
      <c r="B862" s="29" t="s">
        <v>829</v>
      </c>
      <c r="C862" s="20"/>
      <c r="D862" s="20"/>
      <c r="E862" s="20"/>
      <c r="F862" s="20"/>
      <c r="G862" s="20"/>
      <c r="H862" s="33" t="s">
        <v>65</v>
      </c>
      <c r="I862" s="33" t="s">
        <v>66</v>
      </c>
      <c r="J862" s="21"/>
      <c r="K862" s="20" t="str">
        <f t="shared" si="1"/>
        <v>ROADS,TRANSPORT AND PUBLIC WORKS</v>
      </c>
      <c r="L862" s="20" t="s">
        <v>107</v>
      </c>
      <c r="M862" s="20" t="str">
        <f t="shared" si="2"/>
        <v>ROADS,TRANSPORT AND PUBLIC WORKS</v>
      </c>
      <c r="N862" s="22" t="s">
        <v>510</v>
      </c>
      <c r="O862" s="22" t="s">
        <v>511</v>
      </c>
      <c r="P862" s="20" t="s">
        <v>512</v>
      </c>
      <c r="Q862" s="20" t="s">
        <v>512</v>
      </c>
      <c r="R862" s="34">
        <v>3882400.0</v>
      </c>
      <c r="S862" s="34">
        <v>3882400.0</v>
      </c>
      <c r="T862" s="34">
        <v>3882400.0</v>
      </c>
      <c r="U862" s="20" t="s">
        <v>71</v>
      </c>
      <c r="V862" s="20"/>
      <c r="W862" s="38">
        <f t="shared" si="6"/>
        <v>3882400</v>
      </c>
      <c r="X862" s="20"/>
      <c r="Y862" s="38">
        <f t="shared" si="7"/>
        <v>3882400</v>
      </c>
      <c r="Z862" s="24">
        <f t="shared" si="3"/>
        <v>1</v>
      </c>
      <c r="AA862" s="23">
        <f t="shared" si="5"/>
        <v>3882400</v>
      </c>
      <c r="AB862" s="20"/>
      <c r="AC862" s="20"/>
      <c r="AD862" s="20"/>
      <c r="AE862" s="20"/>
      <c r="AF862" s="20"/>
      <c r="AG862" s="20"/>
      <c r="AH862" s="20"/>
      <c r="AI862" s="20"/>
      <c r="AJ862" s="20"/>
      <c r="AK862" s="20"/>
      <c r="AL862" s="20"/>
      <c r="AM862" s="20"/>
      <c r="AN862" s="20"/>
      <c r="AO862" s="20"/>
      <c r="AP862" s="20"/>
      <c r="AQ862" s="20"/>
      <c r="AR862" s="20"/>
      <c r="AS862" s="20"/>
      <c r="AT862" s="20"/>
    </row>
    <row r="863">
      <c r="A863" s="20">
        <v>861.0</v>
      </c>
      <c r="B863" s="29" t="s">
        <v>830</v>
      </c>
      <c r="C863" s="20"/>
      <c r="D863" s="20"/>
      <c r="E863" s="20"/>
      <c r="F863" s="20"/>
      <c r="G863" s="20"/>
      <c r="H863" s="33" t="s">
        <v>65</v>
      </c>
      <c r="I863" s="33" t="s">
        <v>66</v>
      </c>
      <c r="J863" s="21"/>
      <c r="K863" s="20" t="str">
        <f t="shared" si="1"/>
        <v>WATER,ENVIRONMENT,CLIMATE CHANGE AND NATURAL RESOURCES</v>
      </c>
      <c r="L863" s="20" t="s">
        <v>75</v>
      </c>
      <c r="M863" s="20" t="str">
        <f t="shared" si="2"/>
        <v>WATER,ENVIRONMENT,CLIMATE CHANGE AND NATURAL RESOURCES</v>
      </c>
      <c r="N863" s="22" t="s">
        <v>510</v>
      </c>
      <c r="O863" s="22" t="s">
        <v>511</v>
      </c>
      <c r="P863" s="20" t="s">
        <v>512</v>
      </c>
      <c r="Q863" s="20" t="s">
        <v>512</v>
      </c>
      <c r="R863" s="34">
        <v>4951100.0</v>
      </c>
      <c r="S863" s="34">
        <v>4951100.0</v>
      </c>
      <c r="T863" s="34">
        <v>4951100.0</v>
      </c>
      <c r="U863" s="20" t="s">
        <v>71</v>
      </c>
      <c r="V863" s="20"/>
      <c r="W863" s="38">
        <f t="shared" si="6"/>
        <v>4951100</v>
      </c>
      <c r="X863" s="20"/>
      <c r="Y863" s="38">
        <f t="shared" si="7"/>
        <v>4951100</v>
      </c>
      <c r="Z863" s="24">
        <f t="shared" si="3"/>
        <v>1</v>
      </c>
      <c r="AA863" s="23">
        <f t="shared" si="5"/>
        <v>4951100</v>
      </c>
      <c r="AB863" s="20"/>
      <c r="AC863" s="20"/>
      <c r="AD863" s="20"/>
      <c r="AE863" s="20"/>
      <c r="AF863" s="20"/>
      <c r="AG863" s="20"/>
      <c r="AH863" s="20"/>
      <c r="AI863" s="20"/>
      <c r="AJ863" s="20"/>
      <c r="AK863" s="20"/>
      <c r="AL863" s="20"/>
      <c r="AM863" s="20"/>
      <c r="AN863" s="20"/>
      <c r="AO863" s="20"/>
      <c r="AP863" s="20"/>
      <c r="AQ863" s="20"/>
      <c r="AR863" s="20"/>
      <c r="AS863" s="20"/>
      <c r="AT863" s="20"/>
    </row>
    <row r="864">
      <c r="A864" s="20">
        <v>862.0</v>
      </c>
      <c r="B864" s="29" t="s">
        <v>831</v>
      </c>
      <c r="C864" s="20"/>
      <c r="D864" s="20"/>
      <c r="E864" s="20"/>
      <c r="F864" s="20"/>
      <c r="G864" s="20"/>
      <c r="H864" s="33" t="s">
        <v>65</v>
      </c>
      <c r="I864" s="33" t="s">
        <v>66</v>
      </c>
      <c r="J864" s="21"/>
      <c r="K864" s="20" t="str">
        <f t="shared" si="1"/>
        <v>LANDS,PHYSICAL PLANNING AND URBAN DEVELOPMENT</v>
      </c>
      <c r="L864" s="20" t="s">
        <v>98</v>
      </c>
      <c r="M864" s="20" t="str">
        <f t="shared" si="2"/>
        <v>LANDS,PHYSICAL PLANNING AND URBAN DEVELOPMENT</v>
      </c>
      <c r="N864" s="22" t="s">
        <v>510</v>
      </c>
      <c r="O864" s="22" t="s">
        <v>511</v>
      </c>
      <c r="P864" s="20" t="s">
        <v>512</v>
      </c>
      <c r="Q864" s="20" t="s">
        <v>512</v>
      </c>
      <c r="R864" s="34">
        <v>4964200.0</v>
      </c>
      <c r="S864" s="34">
        <v>4964200.0</v>
      </c>
      <c r="T864" s="34">
        <v>4964200.0</v>
      </c>
      <c r="U864" s="20" t="s">
        <v>71</v>
      </c>
      <c r="V864" s="20"/>
      <c r="W864" s="38">
        <f t="shared" si="6"/>
        <v>4964200</v>
      </c>
      <c r="X864" s="20"/>
      <c r="Y864" s="38">
        <f t="shared" si="7"/>
        <v>4964200</v>
      </c>
      <c r="Z864" s="24">
        <f t="shared" si="3"/>
        <v>1</v>
      </c>
      <c r="AA864" s="23">
        <f t="shared" si="5"/>
        <v>4964200</v>
      </c>
      <c r="AB864" s="20"/>
      <c r="AC864" s="20"/>
      <c r="AD864" s="20"/>
      <c r="AE864" s="20"/>
      <c r="AF864" s="20"/>
      <c r="AG864" s="20"/>
      <c r="AH864" s="20"/>
      <c r="AI864" s="20"/>
      <c r="AJ864" s="20"/>
      <c r="AK864" s="20"/>
      <c r="AL864" s="20"/>
      <c r="AM864" s="20"/>
      <c r="AN864" s="20"/>
      <c r="AO864" s="20"/>
      <c r="AP864" s="20"/>
      <c r="AQ864" s="20"/>
      <c r="AR864" s="20"/>
      <c r="AS864" s="20"/>
      <c r="AT864" s="20"/>
    </row>
    <row r="865">
      <c r="A865" s="20">
        <v>863.0</v>
      </c>
      <c r="B865" s="29" t="s">
        <v>640</v>
      </c>
      <c r="C865" s="20"/>
      <c r="D865" s="20"/>
      <c r="E865" s="20"/>
      <c r="F865" s="20"/>
      <c r="G865" s="20"/>
      <c r="H865" s="33" t="s">
        <v>65</v>
      </c>
      <c r="I865" s="33" t="s">
        <v>66</v>
      </c>
      <c r="J865" s="21"/>
      <c r="K865" s="20" t="str">
        <f t="shared" si="1"/>
        <v>ROADS,TRANSPORT AND PUBLIC WORKS</v>
      </c>
      <c r="L865" s="20" t="s">
        <v>107</v>
      </c>
      <c r="M865" s="20" t="str">
        <f t="shared" si="2"/>
        <v>ROADS,TRANSPORT AND PUBLIC WORKS</v>
      </c>
      <c r="N865" s="22" t="s">
        <v>510</v>
      </c>
      <c r="O865" s="22" t="s">
        <v>511</v>
      </c>
      <c r="P865" s="20" t="s">
        <v>512</v>
      </c>
      <c r="Q865" s="20" t="s">
        <v>512</v>
      </c>
      <c r="R865" s="34">
        <v>5434100.0</v>
      </c>
      <c r="S865" s="34">
        <v>5434100.0</v>
      </c>
      <c r="T865" s="34">
        <v>5434100.0</v>
      </c>
      <c r="U865" s="20" t="s">
        <v>71</v>
      </c>
      <c r="V865" s="20"/>
      <c r="W865" s="38">
        <f t="shared" si="6"/>
        <v>5434100</v>
      </c>
      <c r="X865" s="20"/>
      <c r="Y865" s="38">
        <f t="shared" si="7"/>
        <v>5434100</v>
      </c>
      <c r="Z865" s="24">
        <f t="shared" si="3"/>
        <v>1</v>
      </c>
      <c r="AA865" s="23">
        <f t="shared" si="5"/>
        <v>5434100</v>
      </c>
      <c r="AB865" s="20"/>
      <c r="AC865" s="20"/>
      <c r="AD865" s="20"/>
      <c r="AE865" s="20"/>
      <c r="AF865" s="20"/>
      <c r="AG865" s="20"/>
      <c r="AH865" s="20"/>
      <c r="AI865" s="20"/>
      <c r="AJ865" s="20"/>
      <c r="AK865" s="20"/>
      <c r="AL865" s="20"/>
      <c r="AM865" s="20"/>
      <c r="AN865" s="20"/>
      <c r="AO865" s="20"/>
      <c r="AP865" s="20"/>
      <c r="AQ865" s="20"/>
      <c r="AR865" s="20"/>
      <c r="AS865" s="20"/>
      <c r="AT865" s="20"/>
    </row>
    <row r="866">
      <c r="A866" s="20">
        <v>864.0</v>
      </c>
      <c r="B866" s="29" t="s">
        <v>832</v>
      </c>
      <c r="C866" s="20"/>
      <c r="D866" s="20"/>
      <c r="E866" s="20"/>
      <c r="F866" s="20"/>
      <c r="G866" s="20"/>
      <c r="H866" s="33" t="s">
        <v>65</v>
      </c>
      <c r="I866" s="33" t="s">
        <v>66</v>
      </c>
      <c r="J866" s="21"/>
      <c r="K866" s="20" t="str">
        <f t="shared" si="1"/>
        <v>WATER,ENVIRONMENT,CLIMATE CHANGE AND NATURAL RESOURCES</v>
      </c>
      <c r="L866" s="20" t="s">
        <v>75</v>
      </c>
      <c r="M866" s="20" t="str">
        <f t="shared" si="2"/>
        <v>WATER,ENVIRONMENT,CLIMATE CHANGE AND NATURAL RESOURCES</v>
      </c>
      <c r="N866" s="22" t="s">
        <v>510</v>
      </c>
      <c r="O866" s="22" t="s">
        <v>511</v>
      </c>
      <c r="P866" s="20" t="s">
        <v>512</v>
      </c>
      <c r="Q866" s="20" t="s">
        <v>512</v>
      </c>
      <c r="R866" s="34">
        <v>5596200.0</v>
      </c>
      <c r="S866" s="34">
        <v>5596200.0</v>
      </c>
      <c r="T866" s="34">
        <v>5596200.0</v>
      </c>
      <c r="U866" s="20" t="s">
        <v>71</v>
      </c>
      <c r="V866" s="20"/>
      <c r="W866" s="38">
        <f t="shared" si="6"/>
        <v>5596200</v>
      </c>
      <c r="X866" s="20"/>
      <c r="Y866" s="38">
        <f t="shared" si="7"/>
        <v>5596200</v>
      </c>
      <c r="Z866" s="24">
        <f t="shared" si="3"/>
        <v>1</v>
      </c>
      <c r="AA866" s="23">
        <f t="shared" si="5"/>
        <v>5596200</v>
      </c>
      <c r="AB866" s="20"/>
      <c r="AC866" s="20"/>
      <c r="AD866" s="20"/>
      <c r="AE866" s="20"/>
      <c r="AF866" s="20"/>
      <c r="AG866" s="20"/>
      <c r="AH866" s="20"/>
      <c r="AI866" s="20"/>
      <c r="AJ866" s="20"/>
      <c r="AK866" s="20"/>
      <c r="AL866" s="20"/>
      <c r="AM866" s="20"/>
      <c r="AN866" s="20"/>
      <c r="AO866" s="20"/>
      <c r="AP866" s="20"/>
      <c r="AQ866" s="20"/>
      <c r="AR866" s="20"/>
      <c r="AS866" s="20"/>
      <c r="AT866" s="20"/>
    </row>
    <row r="867">
      <c r="A867" s="20">
        <v>865.0</v>
      </c>
      <c r="B867" s="29" t="s">
        <v>658</v>
      </c>
      <c r="C867" s="20"/>
      <c r="D867" s="20"/>
      <c r="E867" s="20"/>
      <c r="F867" s="20"/>
      <c r="G867" s="20"/>
      <c r="H867" s="33" t="s">
        <v>65</v>
      </c>
      <c r="I867" s="33" t="s">
        <v>66</v>
      </c>
      <c r="J867" s="21"/>
      <c r="K867" s="20" t="str">
        <f t="shared" si="1"/>
        <v>ROADS,TRANSPORT AND PUBLIC WORKS</v>
      </c>
      <c r="L867" s="20" t="s">
        <v>107</v>
      </c>
      <c r="M867" s="20" t="str">
        <f t="shared" si="2"/>
        <v>ROADS,TRANSPORT AND PUBLIC WORKS</v>
      </c>
      <c r="N867" s="22" t="s">
        <v>510</v>
      </c>
      <c r="O867" s="22" t="s">
        <v>511</v>
      </c>
      <c r="P867" s="20" t="s">
        <v>512</v>
      </c>
      <c r="Q867" s="20" t="s">
        <v>512</v>
      </c>
      <c r="R867" s="34">
        <v>2256200.0</v>
      </c>
      <c r="S867" s="34">
        <v>2256200.0</v>
      </c>
      <c r="T867" s="34">
        <v>2256200.0</v>
      </c>
      <c r="U867" s="20" t="s">
        <v>71</v>
      </c>
      <c r="V867" s="20"/>
      <c r="W867" s="38">
        <f t="shared" si="6"/>
        <v>2256200</v>
      </c>
      <c r="X867" s="20"/>
      <c r="Y867" s="38">
        <f t="shared" si="7"/>
        <v>2256200</v>
      </c>
      <c r="Z867" s="24">
        <f t="shared" si="3"/>
        <v>1</v>
      </c>
      <c r="AA867" s="23">
        <f t="shared" si="5"/>
        <v>2256200</v>
      </c>
      <c r="AB867" s="20"/>
      <c r="AC867" s="20"/>
      <c r="AD867" s="20"/>
      <c r="AE867" s="20"/>
      <c r="AF867" s="20"/>
      <c r="AG867" s="20"/>
      <c r="AH867" s="20"/>
      <c r="AI867" s="20"/>
      <c r="AJ867" s="20"/>
      <c r="AK867" s="20"/>
      <c r="AL867" s="20"/>
      <c r="AM867" s="20"/>
      <c r="AN867" s="20"/>
      <c r="AO867" s="20"/>
      <c r="AP867" s="20"/>
      <c r="AQ867" s="20"/>
      <c r="AR867" s="20"/>
      <c r="AS867" s="20"/>
      <c r="AT867" s="20"/>
    </row>
    <row r="868">
      <c r="A868" s="20">
        <v>866.0</v>
      </c>
      <c r="B868" s="29" t="s">
        <v>833</v>
      </c>
      <c r="C868" s="20"/>
      <c r="D868" s="20"/>
      <c r="E868" s="20"/>
      <c r="F868" s="20"/>
      <c r="G868" s="20"/>
      <c r="H868" s="33" t="s">
        <v>65</v>
      </c>
      <c r="I868" s="33" t="s">
        <v>66</v>
      </c>
      <c r="J868" s="21"/>
      <c r="K868" s="20" t="str">
        <f t="shared" si="1"/>
        <v>ROADS,TRANSPORT AND PUBLIC WORKS</v>
      </c>
      <c r="L868" s="20" t="s">
        <v>107</v>
      </c>
      <c r="M868" s="20" t="str">
        <f t="shared" si="2"/>
        <v>ROADS,TRANSPORT AND PUBLIC WORKS</v>
      </c>
      <c r="N868" s="22" t="s">
        <v>510</v>
      </c>
      <c r="O868" s="22" t="s">
        <v>511</v>
      </c>
      <c r="P868" s="20" t="s">
        <v>512</v>
      </c>
      <c r="Q868" s="20" t="s">
        <v>512</v>
      </c>
      <c r="R868" s="34">
        <v>2752600.0</v>
      </c>
      <c r="S868" s="34">
        <v>2752600.0</v>
      </c>
      <c r="T868" s="34">
        <v>2752600.0</v>
      </c>
      <c r="U868" s="20" t="s">
        <v>71</v>
      </c>
      <c r="V868" s="20"/>
      <c r="W868" s="38">
        <f t="shared" si="6"/>
        <v>2752600</v>
      </c>
      <c r="X868" s="20"/>
      <c r="Y868" s="38">
        <f t="shared" si="7"/>
        <v>2752600</v>
      </c>
      <c r="Z868" s="24">
        <f t="shared" si="3"/>
        <v>1</v>
      </c>
      <c r="AA868" s="23">
        <f t="shared" si="5"/>
        <v>2752600</v>
      </c>
      <c r="AB868" s="20"/>
      <c r="AC868" s="20"/>
      <c r="AD868" s="20"/>
      <c r="AE868" s="20"/>
      <c r="AF868" s="20"/>
      <c r="AG868" s="20"/>
      <c r="AH868" s="20"/>
      <c r="AI868" s="20"/>
      <c r="AJ868" s="20"/>
      <c r="AK868" s="20"/>
      <c r="AL868" s="20"/>
      <c r="AM868" s="20"/>
      <c r="AN868" s="20"/>
      <c r="AO868" s="20"/>
      <c r="AP868" s="20"/>
      <c r="AQ868" s="20"/>
      <c r="AR868" s="20"/>
      <c r="AS868" s="20"/>
      <c r="AT868" s="20"/>
    </row>
  </sheetData>
  <mergeCells count="12">
    <mergeCell ref="AG1:AJ1"/>
    <mergeCell ref="AK1:AM1"/>
    <mergeCell ref="AN1:AO1"/>
    <mergeCell ref="AP1:AQ1"/>
    <mergeCell ref="AR1:AS1"/>
    <mergeCell ref="A1:G1"/>
    <mergeCell ref="H1:J1"/>
    <mergeCell ref="K1:Q1"/>
    <mergeCell ref="R1:V1"/>
    <mergeCell ref="W1:Z1"/>
    <mergeCell ref="AA1:AC1"/>
    <mergeCell ref="AD1:AF1"/>
  </mergeCells>
  <dataValidations>
    <dataValidation type="list" allowBlank="1" showErrorMessage="1" sqref="L3:L868">
      <formula1>"WATER,ENVIRONMENT,CLIMATE CHANGE AND NATURAL RESOURCES,Health services,AGRICULTURE,LIVESTOCK AND PASTORAL ECONOMY,COUNTY AFFAIRS,PUBLIC SERVICES AND INTERGOVERNMENTAL RELATIONS,TRADE,INVESTMENT AND ENTERPRISE DEVELOPMENT,CULTURE,GENDER,YOUTH AND SPORTS,RO"&amp;"ADS,TRANSPORT AND PUBLIC WORKS,LANDS,PHYSICAL PLANNING AND URBAN DEVELOPMENT,EDUCATION,INFORMATION AND ICT,FINANCE AND ECONOMIC PLANNING"</formula1>
    </dataValidation>
    <dataValidation type="list" allowBlank="1" showErrorMessage="1" sqref="H3:H868">
      <formula1>"Dadaab,GarissaTownship,Ijara,Balambala,Lagdera,Fafi"</formula1>
    </dataValidation>
    <dataValidation type="list" allowBlank="1" sqref="I3:I868">
      <formula1>"Waberi,Galbet,Township,Iftin,Balambala,Danyere,Jarajara,Saka,Sankuri,Hulugho,Sangailu,Ijara,Masalani,Bura,Dekaharia,Jarajila,Fafi,Nanighi,Dertu,Dadaab,Labasigale,Damajale,Liboi,Modogashe,Benane,Goreale,Maalimin,Sabena,Abakaile,Baraki"</formula1>
    </dataValidation>
    <dataValidation type="list" allowBlank="1" showErrorMessage="1" sqref="AN3:AN9 AN20:AN220">
      <formula1>'Formula Sheet'!$B$8:$B$9</formula1>
    </dataValidation>
    <dataValidation type="date" allowBlank="1" showInputMessage="1" showErrorMessage="1" prompt="In the format of dd/mm/yyyy i.e. 01/12/2024" sqref="O2">
      <formula1>39630.0</formula1>
      <formula2>45473.0</formula2>
    </dataValidation>
    <dataValidation type="list" allowBlank="1" showErrorMessage="1" sqref="AL3:AL9">
      <formula1>'Formula Sheet'!$B$12:$B$14</formula1>
    </dataValidation>
    <dataValidation type="list" allowBlank="1" showErrorMessage="1" sqref="AD3:AD463">
      <formula1>'Formula Sheet'!$B$16:$B$18</formula1>
    </dataValidation>
    <dataValidation type="date" allowBlank="1" showInputMessage="1" showErrorMessage="1" prompt="(For ongoing projects) In the format of dd/mm/yyyy i.e. 01/12/2024" sqref="P2">
      <formula1>39630.0</formula1>
      <formula2>45503.0</formula2>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34.0"/>
    <col customWidth="1" min="3" max="3" width="12.29"/>
    <col customWidth="1" min="4" max="4" width="7.29"/>
    <col customWidth="1" min="5" max="5" width="25.86"/>
    <col customWidth="1" min="6" max="6" width="23.57"/>
    <col customWidth="1" min="7" max="7" width="21.57"/>
    <col customWidth="1" min="8" max="8" width="20.71"/>
    <col customWidth="1" min="9" max="9" width="30.29"/>
    <col customWidth="1" min="10" max="26" width="33.71"/>
  </cols>
  <sheetData>
    <row r="1">
      <c r="A1" s="41" t="s">
        <v>19</v>
      </c>
      <c r="B1" s="42" t="s">
        <v>20</v>
      </c>
      <c r="C1" s="42" t="s">
        <v>26</v>
      </c>
      <c r="D1" s="42" t="s">
        <v>27</v>
      </c>
      <c r="E1" s="42" t="s">
        <v>834</v>
      </c>
      <c r="F1" s="42" t="s">
        <v>34</v>
      </c>
      <c r="G1" s="42" t="s">
        <v>35</v>
      </c>
      <c r="H1" s="42" t="s">
        <v>36</v>
      </c>
      <c r="I1" s="43" t="s">
        <v>48</v>
      </c>
      <c r="J1" s="44"/>
      <c r="K1" s="44"/>
      <c r="L1" s="45"/>
      <c r="M1" s="45"/>
      <c r="N1" s="45"/>
      <c r="O1" s="45"/>
      <c r="P1" s="45"/>
      <c r="Q1" s="45"/>
      <c r="R1" s="45"/>
      <c r="S1" s="45"/>
      <c r="T1" s="45"/>
      <c r="U1" s="45"/>
      <c r="V1" s="45"/>
      <c r="W1" s="45"/>
      <c r="X1" s="45"/>
      <c r="Y1" s="45"/>
      <c r="Z1" s="45"/>
    </row>
    <row r="2">
      <c r="A2" s="46">
        <v>1.0</v>
      </c>
      <c r="B2" s="47" t="str">
        <f>'Project Stocktaking Template'!B3</f>
        <v>PROPOSED POWER UPGRADE AT GARISSA REFERAL HOSPITAL Waberi</v>
      </c>
      <c r="C2" s="47" t="str">
        <f>'Project Stocktaking Template'!H3</f>
        <v>GarissaTownship</v>
      </c>
      <c r="D2" s="47" t="str">
        <f>'Project Stocktaking Template'!I3</f>
        <v>Township</v>
      </c>
      <c r="E2" s="48" t="str">
        <f>'Project Stocktaking Template'!O3</f>
        <v>1st aug 2022</v>
      </c>
      <c r="F2" s="48" t="str">
        <f>'Project Stocktaking Template'!P3</f>
        <v>30th june 2023</v>
      </c>
      <c r="G2" s="48" t="str">
        <f>'Project Stocktaking Template'!Q3</f>
        <v>30th june 2023</v>
      </c>
      <c r="H2" s="49">
        <f>'Project Stocktaking Template'!R3</f>
        <v>8550000</v>
      </c>
      <c r="I2" s="50" t="str">
        <f>'Project Stocktaking Template'!AD3</f>
        <v>Completed</v>
      </c>
      <c r="J2" s="45"/>
      <c r="K2" s="45"/>
      <c r="L2" s="45"/>
      <c r="M2" s="45"/>
      <c r="N2" s="45"/>
      <c r="O2" s="45"/>
      <c r="P2" s="45"/>
      <c r="Q2" s="45"/>
      <c r="R2" s="45"/>
      <c r="S2" s="45"/>
      <c r="T2" s="45"/>
      <c r="U2" s="45"/>
      <c r="V2" s="45"/>
      <c r="W2" s="45"/>
      <c r="X2" s="45"/>
      <c r="Y2" s="45"/>
      <c r="Z2" s="45"/>
    </row>
    <row r="3">
      <c r="A3" s="51">
        <v>2.0</v>
      </c>
      <c r="B3" s="47" t="str">
        <f>'Project Stocktaking Template'!B4</f>
        <v>PROPOSED DRILLINGAND EQUIPPING  OF ADC FARM BOREHOLE</v>
      </c>
      <c r="C3" s="47" t="str">
        <f>'Project Stocktaking Template'!H4</f>
        <v>GarissaTownship</v>
      </c>
      <c r="D3" s="47" t="str">
        <f>'Project Stocktaking Template'!I4</f>
        <v>Galbet</v>
      </c>
      <c r="E3" s="48" t="str">
        <f>'Project Stocktaking Template'!O4</f>
        <v>1st aug 2022</v>
      </c>
      <c r="F3" s="48" t="str">
        <f>'Project Stocktaking Template'!P4</f>
        <v>30th june 2023</v>
      </c>
      <c r="G3" s="48" t="str">
        <f>'Project Stocktaking Template'!Q4</f>
        <v>30th june 2023</v>
      </c>
      <c r="H3" s="49">
        <f>'Project Stocktaking Template'!R4</f>
        <v>9025000</v>
      </c>
      <c r="I3" s="50" t="str">
        <f>'Project Stocktaking Template'!AD4</f>
        <v>Completed</v>
      </c>
      <c r="J3" s="45"/>
      <c r="K3" s="45"/>
      <c r="L3" s="45"/>
      <c r="M3" s="45"/>
      <c r="N3" s="45"/>
      <c r="O3" s="45"/>
      <c r="P3" s="45"/>
      <c r="Q3" s="45"/>
      <c r="R3" s="45"/>
      <c r="S3" s="45"/>
      <c r="T3" s="45"/>
      <c r="U3" s="45"/>
      <c r="V3" s="45"/>
      <c r="W3" s="45"/>
      <c r="X3" s="45"/>
      <c r="Y3" s="45"/>
      <c r="Z3" s="45"/>
    </row>
    <row r="4">
      <c r="A4" s="46">
        <v>3.0</v>
      </c>
      <c r="B4" s="47" t="str">
        <f>'Project Stocktaking Template'!B5</f>
        <v>PROPOSED EQUIPING OF DERTU BOREHOLE</v>
      </c>
      <c r="C4" s="47" t="str">
        <f>'Project Stocktaking Template'!H5</f>
        <v>Dadaab</v>
      </c>
      <c r="D4" s="47" t="str">
        <f>'Project Stocktaking Template'!I5</f>
        <v>Dertu</v>
      </c>
      <c r="E4" s="48" t="str">
        <f>'Project Stocktaking Template'!O5</f>
        <v>1st aug 2022</v>
      </c>
      <c r="F4" s="48" t="str">
        <f>'Project Stocktaking Template'!P5</f>
        <v>30th june 2023</v>
      </c>
      <c r="G4" s="48" t="str">
        <f>'Project Stocktaking Template'!Q5</f>
        <v>30th june 2023</v>
      </c>
      <c r="H4" s="49">
        <f>'Project Stocktaking Template'!R5</f>
        <v>4625407</v>
      </c>
      <c r="I4" s="50" t="str">
        <f>'Project Stocktaking Template'!AD5</f>
        <v>Completed</v>
      </c>
      <c r="J4" s="45"/>
      <c r="K4" s="45"/>
      <c r="L4" s="45"/>
      <c r="M4" s="45"/>
      <c r="N4" s="45"/>
      <c r="O4" s="45"/>
      <c r="P4" s="45"/>
      <c r="Q4" s="45"/>
      <c r="R4" s="45"/>
      <c r="S4" s="45"/>
      <c r="T4" s="45"/>
      <c r="U4" s="45"/>
      <c r="V4" s="45"/>
      <c r="W4" s="45"/>
      <c r="X4" s="45"/>
      <c r="Y4" s="45"/>
      <c r="Z4" s="45"/>
    </row>
    <row r="5">
      <c r="A5" s="51">
        <v>4.0</v>
      </c>
      <c r="B5" s="47" t="str">
        <f>'Project Stocktaking Template'!B6</f>
        <v>PROPOSED  DRILLING OF DERTU BOREHOLE</v>
      </c>
      <c r="C5" s="47" t="str">
        <f>'Project Stocktaking Template'!H6</f>
        <v>Dadaab</v>
      </c>
      <c r="D5" s="47" t="str">
        <f>'Project Stocktaking Template'!I6</f>
        <v>Dertu</v>
      </c>
      <c r="E5" s="48" t="str">
        <f>'Project Stocktaking Template'!O6</f>
        <v>1st aug 2022</v>
      </c>
      <c r="F5" s="48" t="str">
        <f>'Project Stocktaking Template'!P6</f>
        <v>30th june 2023</v>
      </c>
      <c r="G5" s="48" t="str">
        <f>'Project Stocktaking Template'!Q6</f>
        <v>30th june 2023</v>
      </c>
      <c r="H5" s="49">
        <f>'Project Stocktaking Template'!R6</f>
        <v>4693418</v>
      </c>
      <c r="I5" s="50" t="str">
        <f>'Project Stocktaking Template'!AD6</f>
        <v>Completed</v>
      </c>
      <c r="J5" s="45"/>
      <c r="K5" s="45"/>
      <c r="L5" s="45"/>
      <c r="M5" s="45"/>
      <c r="N5" s="45"/>
      <c r="O5" s="45"/>
      <c r="P5" s="45"/>
      <c r="Q5" s="45"/>
      <c r="R5" s="45"/>
      <c r="S5" s="45"/>
      <c r="T5" s="45"/>
      <c r="U5" s="45"/>
      <c r="V5" s="45"/>
      <c r="W5" s="45"/>
      <c r="X5" s="45"/>
      <c r="Y5" s="45"/>
      <c r="Z5" s="45"/>
    </row>
    <row r="6">
      <c r="A6" s="46">
        <v>5.0</v>
      </c>
      <c r="B6" s="47" t="str">
        <f>'Project Stocktaking Template'!B7</f>
        <v>PROPOSED DESILTING AT MOIT WATER PAN IJARA SUB COUNTY</v>
      </c>
      <c r="C6" s="47" t="str">
        <f>'Project Stocktaking Template'!H7</f>
        <v>Ijara</v>
      </c>
      <c r="D6" s="47" t="str">
        <f>'Project Stocktaking Template'!I7</f>
        <v>Ijara</v>
      </c>
      <c r="E6" s="48" t="str">
        <f>'Project Stocktaking Template'!O7</f>
        <v>1st aug 2022</v>
      </c>
      <c r="F6" s="48" t="str">
        <f>'Project Stocktaking Template'!P7</f>
        <v>30th june 2023</v>
      </c>
      <c r="G6" s="48" t="str">
        <f>'Project Stocktaking Template'!Q7</f>
        <v>30th june 2023</v>
      </c>
      <c r="H6" s="49">
        <f>'Project Stocktaking Template'!R7</f>
        <v>3482500</v>
      </c>
      <c r="I6" s="50" t="str">
        <f>'Project Stocktaking Template'!AD7</f>
        <v>Completed</v>
      </c>
      <c r="J6" s="45"/>
      <c r="K6" s="45"/>
      <c r="L6" s="45"/>
      <c r="M6" s="45"/>
      <c r="N6" s="45"/>
      <c r="O6" s="45"/>
      <c r="P6" s="45"/>
      <c r="Q6" s="45"/>
      <c r="R6" s="45"/>
      <c r="S6" s="45"/>
      <c r="T6" s="45"/>
      <c r="U6" s="45"/>
      <c r="V6" s="45"/>
      <c r="W6" s="45"/>
      <c r="X6" s="45"/>
      <c r="Y6" s="45"/>
      <c r="Z6" s="45"/>
    </row>
    <row r="7">
      <c r="A7" s="51">
        <v>6.0</v>
      </c>
      <c r="B7" s="47" t="str">
        <f>'Project Stocktaking Template'!B8</f>
        <v>PROPOSED RENOVATION OF 4NO ECD CLASSROOM AT MAI PRIMARY</v>
      </c>
      <c r="C7" s="47"/>
      <c r="D7" s="47"/>
      <c r="E7" s="48" t="str">
        <f>'Project Stocktaking Template'!O8</f>
        <v>1st aug 2022</v>
      </c>
      <c r="F7" s="48" t="str">
        <f>'Project Stocktaking Template'!P8</f>
        <v>30th june 2023</v>
      </c>
      <c r="G7" s="48" t="str">
        <f>'Project Stocktaking Template'!Q8</f>
        <v>30th june 2023</v>
      </c>
      <c r="H7" s="49">
        <f>'Project Stocktaking Template'!R8</f>
        <v>3100000</v>
      </c>
      <c r="I7" s="50" t="str">
        <f>'Project Stocktaking Template'!AD8</f>
        <v>Completed</v>
      </c>
      <c r="J7" s="45"/>
      <c r="K7" s="45"/>
      <c r="L7" s="45"/>
      <c r="M7" s="45"/>
      <c r="N7" s="45"/>
      <c r="O7" s="45"/>
      <c r="P7" s="45"/>
      <c r="Q7" s="45"/>
      <c r="R7" s="45"/>
      <c r="S7" s="45"/>
      <c r="T7" s="45"/>
      <c r="U7" s="45"/>
      <c r="V7" s="45"/>
      <c r="W7" s="45"/>
      <c r="X7" s="45"/>
      <c r="Y7" s="45"/>
      <c r="Z7" s="45"/>
    </row>
    <row r="8">
      <c r="A8" s="46">
        <v>7.0</v>
      </c>
      <c r="B8" s="47" t="str">
        <f>'Project Stocktaking Template'!B9</f>
        <v>PROPOSED RENOVATION OF 3NO. ECD CLASSROOMS CONSTRUCTION OF 2 STANCE PIT LATRINE RENOVATION OF 10K WATER TANK AT YATHRIB PRIMARY</v>
      </c>
      <c r="C8" s="47" t="str">
        <f>'Project Stocktaking Template'!H9</f>
        <v>GarissaTownship</v>
      </c>
      <c r="D8" s="47" t="str">
        <f>'Project Stocktaking Template'!I9</f>
        <v>Galbet</v>
      </c>
      <c r="E8" s="48" t="str">
        <f>'Project Stocktaking Template'!O9</f>
        <v>1st aug 2022</v>
      </c>
      <c r="F8" s="48" t="str">
        <f>'Project Stocktaking Template'!P9</f>
        <v>30th june 2023</v>
      </c>
      <c r="G8" s="48" t="str">
        <f>'Project Stocktaking Template'!Q9</f>
        <v>30th june 2023</v>
      </c>
      <c r="H8" s="49">
        <f>'Project Stocktaking Template'!R9</f>
        <v>7200000</v>
      </c>
      <c r="I8" s="50" t="str">
        <f>'Project Stocktaking Template'!AD9</f>
        <v>Completed</v>
      </c>
      <c r="J8" s="45"/>
      <c r="K8" s="45"/>
      <c r="L8" s="45"/>
      <c r="M8" s="45"/>
      <c r="N8" s="45"/>
      <c r="O8" s="45"/>
      <c r="P8" s="45"/>
      <c r="Q8" s="45"/>
      <c r="R8" s="45"/>
      <c r="S8" s="45"/>
      <c r="T8" s="45"/>
      <c r="U8" s="45"/>
      <c r="V8" s="45"/>
      <c r="W8" s="45"/>
      <c r="X8" s="45"/>
      <c r="Y8" s="45"/>
      <c r="Z8" s="45"/>
    </row>
    <row r="9">
      <c r="A9" s="51">
        <v>8.0</v>
      </c>
      <c r="B9" s="47" t="str">
        <f>'Project Stocktaking Template'!B10</f>
        <v>PROPOSED RENOVATION OF 3NO. ECD CLASSROOMS CONSTRUCTION OF CHAINLINK FENCE AND HEAVY BUSH CLEARING2 STANCE PIT LATRINE RENOVATION K AT IFTIN PRIMARY</v>
      </c>
      <c r="C9" s="47" t="str">
        <f>'Project Stocktaking Template'!H10</f>
        <v>GarissaTownship</v>
      </c>
      <c r="D9" s="47" t="str">
        <f>'Project Stocktaking Template'!I10</f>
        <v>Iftin</v>
      </c>
      <c r="E9" s="48" t="str">
        <f>'Project Stocktaking Template'!O10</f>
        <v>1st aug 2022</v>
      </c>
      <c r="F9" s="48" t="str">
        <f>'Project Stocktaking Template'!P10</f>
        <v>30th june 2023</v>
      </c>
      <c r="G9" s="48" t="str">
        <f>'Project Stocktaking Template'!Q10</f>
        <v>30th june 2023</v>
      </c>
      <c r="H9" s="49">
        <f>'Project Stocktaking Template'!R10</f>
        <v>5225000</v>
      </c>
      <c r="I9" s="50" t="str">
        <f>'Project Stocktaking Template'!AD10</f>
        <v>Completed</v>
      </c>
      <c r="J9" s="45"/>
      <c r="K9" s="45"/>
      <c r="L9" s="45"/>
      <c r="M9" s="45"/>
      <c r="N9" s="45"/>
      <c r="O9" s="45"/>
      <c r="P9" s="45"/>
      <c r="Q9" s="45"/>
      <c r="R9" s="45"/>
      <c r="S9" s="45"/>
      <c r="T9" s="45"/>
      <c r="U9" s="45"/>
      <c r="V9" s="45"/>
      <c r="W9" s="45"/>
      <c r="X9" s="45"/>
      <c r="Y9" s="45"/>
      <c r="Z9" s="45"/>
    </row>
    <row r="10">
      <c r="A10" s="46">
        <v>9.0</v>
      </c>
      <c r="B10" s="47" t="str">
        <f>'Project Stocktaking Template'!B11</f>
        <v>PROPOSED RENOVATION OF 3NO. ECD CLASSROOMS CONSTRUCTION OF 2 STANCE PIT LATRINE RENOVATION OF 10K WATER TANK AT AP GOODWISH TOWNSHIP WARD</v>
      </c>
      <c r="C10" s="47" t="str">
        <f>'Project Stocktaking Template'!H11</f>
        <v>GarissaTownship</v>
      </c>
      <c r="D10" s="47" t="str">
        <f>'Project Stocktaking Template'!I11</f>
        <v>Township</v>
      </c>
      <c r="E10" s="48" t="str">
        <f>'Project Stocktaking Template'!O11</f>
        <v>1st aug 2022</v>
      </c>
      <c r="F10" s="48" t="str">
        <f>'Project Stocktaking Template'!P11</f>
        <v>30th june 2023</v>
      </c>
      <c r="G10" s="48" t="str">
        <f>'Project Stocktaking Template'!Q11</f>
        <v>30th june 2023</v>
      </c>
      <c r="H10" s="49">
        <f>'Project Stocktaking Template'!R11</f>
        <v>5225000</v>
      </c>
      <c r="I10" s="50" t="str">
        <f>'Project Stocktaking Template'!AD11</f>
        <v>Completed</v>
      </c>
      <c r="J10" s="45"/>
      <c r="K10" s="45"/>
      <c r="L10" s="45"/>
      <c r="M10" s="45"/>
      <c r="N10" s="45"/>
      <c r="O10" s="45"/>
      <c r="P10" s="45"/>
      <c r="Q10" s="45"/>
      <c r="R10" s="45"/>
      <c r="S10" s="45"/>
      <c r="T10" s="45"/>
      <c r="U10" s="45"/>
      <c r="V10" s="45"/>
      <c r="W10" s="45"/>
      <c r="X10" s="45"/>
      <c r="Y10" s="45"/>
      <c r="Z10" s="45"/>
    </row>
    <row r="11">
      <c r="A11" s="51">
        <v>10.0</v>
      </c>
      <c r="B11" s="47" t="str">
        <f>'Project Stocktaking Template'!B12</f>
        <v>PROPOSED RENOVATION 2NO ECD CLASSROOMS AND HEAVY BUSH CLEARING AND FENCING AT BULA MZURI PRIMARY</v>
      </c>
      <c r="C11" s="47" t="str">
        <f>'Project Stocktaking Template'!H12</f>
        <v>GarissaTownship</v>
      </c>
      <c r="D11" s="47" t="str">
        <f>'Project Stocktaking Template'!I12</f>
        <v>Waberi</v>
      </c>
      <c r="E11" s="48" t="str">
        <f>'Project Stocktaking Template'!O12</f>
        <v>1st aug 2022</v>
      </c>
      <c r="F11" s="48" t="str">
        <f>'Project Stocktaking Template'!P12</f>
        <v>30th june 2023</v>
      </c>
      <c r="G11" s="48" t="str">
        <f>'Project Stocktaking Template'!Q12</f>
        <v>30th june 2023</v>
      </c>
      <c r="H11" s="49">
        <f>'Project Stocktaking Template'!R12</f>
        <v>5225000</v>
      </c>
      <c r="I11" s="50" t="str">
        <f>'Project Stocktaking Template'!AD12</f>
        <v>Completed</v>
      </c>
      <c r="J11" s="45"/>
      <c r="K11" s="45"/>
      <c r="L11" s="45"/>
      <c r="M11" s="45"/>
      <c r="N11" s="45"/>
      <c r="O11" s="45"/>
      <c r="P11" s="45"/>
      <c r="Q11" s="45"/>
      <c r="R11" s="45"/>
      <c r="S11" s="45"/>
      <c r="T11" s="45"/>
      <c r="U11" s="45"/>
      <c r="V11" s="45"/>
      <c r="W11" s="45"/>
      <c r="X11" s="45"/>
      <c r="Y11" s="45"/>
      <c r="Z11" s="45"/>
    </row>
    <row r="12">
      <c r="A12" s="46">
        <v>11.0</v>
      </c>
      <c r="B12" s="47" t="str">
        <f>'Project Stocktaking Template'!B13</f>
        <v>PRPOSED RENOVATION OF AND ROOFING AT WATER GARAGE GARISSA COUNTY</v>
      </c>
      <c r="C12" s="47" t="str">
        <f>'Project Stocktaking Template'!H13</f>
        <v>GarissaTownship</v>
      </c>
      <c r="D12" s="47" t="str">
        <f>'Project Stocktaking Template'!I13</f>
        <v>Township</v>
      </c>
      <c r="E12" s="48" t="str">
        <f>'Project Stocktaking Template'!O13</f>
        <v>1st aug 2022</v>
      </c>
      <c r="F12" s="48" t="str">
        <f>'Project Stocktaking Template'!P13</f>
        <v>30th june 2023</v>
      </c>
      <c r="G12" s="48" t="str">
        <f>'Project Stocktaking Template'!Q13</f>
        <v>30th june 2023</v>
      </c>
      <c r="H12" s="49">
        <f>'Project Stocktaking Template'!R13</f>
        <v>7600000</v>
      </c>
      <c r="I12" s="50" t="str">
        <f>'Project Stocktaking Template'!AD13</f>
        <v>Completed</v>
      </c>
      <c r="J12" s="45"/>
      <c r="K12" s="45"/>
      <c r="L12" s="45"/>
      <c r="M12" s="45"/>
      <c r="N12" s="45"/>
      <c r="O12" s="45"/>
      <c r="P12" s="45"/>
      <c r="Q12" s="45"/>
      <c r="R12" s="45"/>
      <c r="S12" s="45"/>
      <c r="T12" s="45"/>
      <c r="U12" s="45"/>
      <c r="V12" s="45"/>
      <c r="W12" s="45"/>
      <c r="X12" s="45"/>
      <c r="Y12" s="45"/>
      <c r="Z12" s="45"/>
    </row>
    <row r="13">
      <c r="A13" s="51">
        <v>12.0</v>
      </c>
      <c r="B13" s="47" t="str">
        <f>'Project Stocktaking Template'!B14</f>
        <v>PRPOSED RENOVATION OF AND ROOFING AT WATER GARAGE GARISSA COUNTY</v>
      </c>
      <c r="C13" s="47" t="str">
        <f>'Project Stocktaking Template'!H14</f>
        <v>GarissaTownship</v>
      </c>
      <c r="D13" s="47" t="str">
        <f>'Project Stocktaking Template'!I14</f>
        <v>Township</v>
      </c>
      <c r="E13" s="48" t="str">
        <f>'Project Stocktaking Template'!O14</f>
        <v>1st aug 2022</v>
      </c>
      <c r="F13" s="48" t="str">
        <f>'Project Stocktaking Template'!P14</f>
        <v>30th june 2023</v>
      </c>
      <c r="G13" s="48" t="str">
        <f>'Project Stocktaking Template'!Q14</f>
        <v>30th june 2023</v>
      </c>
      <c r="H13" s="49">
        <f>'Project Stocktaking Template'!R14</f>
        <v>7990000</v>
      </c>
      <c r="I13" s="50" t="str">
        <f>'Project Stocktaking Template'!AD14</f>
        <v>Completed</v>
      </c>
      <c r="J13" s="45"/>
      <c r="K13" s="45"/>
      <c r="L13" s="45"/>
      <c r="M13" s="45"/>
      <c r="N13" s="45"/>
      <c r="O13" s="45"/>
      <c r="P13" s="45"/>
      <c r="Q13" s="45"/>
      <c r="R13" s="45"/>
      <c r="S13" s="45"/>
      <c r="T13" s="45"/>
      <c r="U13" s="45"/>
      <c r="V13" s="45"/>
      <c r="W13" s="45"/>
      <c r="X13" s="45"/>
      <c r="Y13" s="45"/>
      <c r="Z13" s="45"/>
    </row>
    <row r="14">
      <c r="A14" s="46">
        <v>13.0</v>
      </c>
      <c r="B14" s="47" t="str">
        <f>'Project Stocktaking Template'!B15</f>
        <v>PROPOSED RENOVATION AND REFURBISHMENT OF DIRECTORS OFFICE </v>
      </c>
      <c r="C14" s="47" t="str">
        <f>'Project Stocktaking Template'!H15</f>
        <v>GarissaTownship</v>
      </c>
      <c r="D14" s="47" t="str">
        <f>'Project Stocktaking Template'!I15</f>
        <v>Township</v>
      </c>
      <c r="E14" s="48" t="str">
        <f>'Project Stocktaking Template'!O15</f>
        <v>1st aug 2022</v>
      </c>
      <c r="F14" s="48" t="str">
        <f>'Project Stocktaking Template'!P15</f>
        <v>30th june 2023</v>
      </c>
      <c r="G14" s="48" t="str">
        <f>'Project Stocktaking Template'!Q15</f>
        <v>30th june 2023</v>
      </c>
      <c r="H14" s="49">
        <f>'Project Stocktaking Template'!R15</f>
        <v>1470000</v>
      </c>
      <c r="I14" s="50" t="str">
        <f>'Project Stocktaking Template'!AD15</f>
        <v>Completed</v>
      </c>
      <c r="J14" s="45"/>
      <c r="K14" s="45"/>
      <c r="L14" s="45"/>
      <c r="M14" s="45"/>
      <c r="N14" s="45"/>
      <c r="O14" s="45"/>
      <c r="P14" s="45"/>
      <c r="Q14" s="45"/>
      <c r="R14" s="45"/>
      <c r="S14" s="45"/>
      <c r="T14" s="45"/>
      <c r="U14" s="45"/>
      <c r="V14" s="45"/>
      <c r="W14" s="45"/>
      <c r="X14" s="45"/>
      <c r="Y14" s="45"/>
      <c r="Z14" s="45"/>
    </row>
    <row r="15">
      <c r="A15" s="51">
        <v>14.0</v>
      </c>
      <c r="B15" s="47" t="str">
        <f>'Project Stocktaking Template'!B16</f>
        <v>RENOVATION OF CEC OFFICES</v>
      </c>
      <c r="C15" s="47" t="str">
        <f>'Project Stocktaking Template'!H16</f>
        <v>GarissaTownship</v>
      </c>
      <c r="D15" s="47" t="str">
        <f>'Project Stocktaking Template'!I16</f>
        <v>Township</v>
      </c>
      <c r="E15" s="48" t="str">
        <f>'Project Stocktaking Template'!O16</f>
        <v>1st aug 2022</v>
      </c>
      <c r="F15" s="48" t="str">
        <f>'Project Stocktaking Template'!P16</f>
        <v>30th june 2023</v>
      </c>
      <c r="G15" s="48" t="str">
        <f>'Project Stocktaking Template'!Q16</f>
        <v>30th june 2023</v>
      </c>
      <c r="H15" s="49">
        <f>'Project Stocktaking Template'!R16</f>
        <v>1000000</v>
      </c>
      <c r="I15" s="50" t="str">
        <f>'Project Stocktaking Template'!AD16</f>
        <v>Completed</v>
      </c>
      <c r="J15" s="45"/>
      <c r="K15" s="45"/>
      <c r="L15" s="45"/>
      <c r="M15" s="45"/>
      <c r="N15" s="45"/>
      <c r="O15" s="45"/>
      <c r="P15" s="45"/>
      <c r="Q15" s="45"/>
      <c r="R15" s="45"/>
      <c r="S15" s="45"/>
      <c r="T15" s="45"/>
      <c r="U15" s="45"/>
      <c r="V15" s="45"/>
      <c r="W15" s="45"/>
      <c r="X15" s="45"/>
      <c r="Y15" s="45"/>
      <c r="Z15" s="45"/>
    </row>
    <row r="16">
      <c r="A16" s="46">
        <v>15.0</v>
      </c>
      <c r="B16" s="47" t="str">
        <f>'Project Stocktaking Template'!B17</f>
        <v>PRPOSED RENOVATION OF AND ROOFING AT WATER GARAGE GARISSA COUNTY</v>
      </c>
      <c r="C16" s="47" t="str">
        <f>'Project Stocktaking Template'!H17</f>
        <v>GarissaTownship</v>
      </c>
      <c r="D16" s="47" t="str">
        <f>'Project Stocktaking Template'!I17</f>
        <v>Township</v>
      </c>
      <c r="E16" s="48" t="str">
        <f>'Project Stocktaking Template'!O17</f>
        <v>1st aug 2022</v>
      </c>
      <c r="F16" s="48" t="str">
        <f>'Project Stocktaking Template'!P17</f>
        <v>30th june 2023</v>
      </c>
      <c r="G16" s="48" t="str">
        <f>'Project Stocktaking Template'!Q17</f>
        <v>30th june 2023</v>
      </c>
      <c r="H16" s="49">
        <f>'Project Stocktaking Template'!R17</f>
        <v>7990000</v>
      </c>
      <c r="I16" s="50" t="str">
        <f>'Project Stocktaking Template'!AD17</f>
        <v>Completed</v>
      </c>
      <c r="J16" s="45"/>
      <c r="K16" s="45"/>
      <c r="L16" s="45"/>
      <c r="M16" s="45"/>
      <c r="N16" s="45"/>
      <c r="O16" s="45"/>
      <c r="P16" s="45"/>
      <c r="Q16" s="45"/>
      <c r="R16" s="45"/>
      <c r="S16" s="45"/>
      <c r="T16" s="45"/>
      <c r="U16" s="45"/>
      <c r="V16" s="45"/>
      <c r="W16" s="45"/>
      <c r="X16" s="45"/>
      <c r="Y16" s="45"/>
      <c r="Z16" s="45"/>
    </row>
    <row r="17">
      <c r="A17" s="51">
        <v>16.0</v>
      </c>
      <c r="B17" s="47" t="str">
        <f>'Project Stocktaking Template'!B18</f>
        <v>PROPOSED REHABILATATION WORKS AT GAWASCO PIPE WORKS</v>
      </c>
      <c r="C17" s="47" t="str">
        <f>'Project Stocktaking Template'!H18</f>
        <v>GarissaTownship</v>
      </c>
      <c r="D17" s="47" t="str">
        <f>'Project Stocktaking Template'!I18</f>
        <v>Township</v>
      </c>
      <c r="E17" s="48" t="str">
        <f>'Project Stocktaking Template'!O18</f>
        <v>1st aug 2022</v>
      </c>
      <c r="F17" s="48" t="str">
        <f>'Project Stocktaking Template'!P18</f>
        <v>30th june 2023</v>
      </c>
      <c r="G17" s="48" t="str">
        <f>'Project Stocktaking Template'!Q18</f>
        <v>30th june 2023</v>
      </c>
      <c r="H17" s="49">
        <f>'Project Stocktaking Template'!R18</f>
        <v>3895000</v>
      </c>
      <c r="I17" s="50" t="str">
        <f>'Project Stocktaking Template'!AD18</f>
        <v>Completed</v>
      </c>
      <c r="J17" s="45"/>
      <c r="K17" s="45"/>
      <c r="L17" s="45"/>
      <c r="M17" s="45"/>
      <c r="N17" s="45"/>
      <c r="O17" s="45"/>
      <c r="P17" s="45"/>
      <c r="Q17" s="45"/>
      <c r="R17" s="45"/>
      <c r="S17" s="45"/>
      <c r="T17" s="45"/>
      <c r="U17" s="45"/>
      <c r="V17" s="45"/>
      <c r="W17" s="45"/>
      <c r="X17" s="45"/>
      <c r="Y17" s="45"/>
      <c r="Z17" s="45"/>
    </row>
    <row r="18">
      <c r="A18" s="46">
        <v>17.0</v>
      </c>
      <c r="B18" s="47" t="str">
        <f>'Project Stocktaking Template'!B19</f>
        <v>PROPOSED RENOVATION AT DADAAB SUB COUNTY HOSPITAL</v>
      </c>
      <c r="C18" s="47" t="str">
        <f>'Project Stocktaking Template'!H19</f>
        <v>Dadaab</v>
      </c>
      <c r="D18" s="47" t="str">
        <f>'Project Stocktaking Template'!I19</f>
        <v>Dadaab</v>
      </c>
      <c r="E18" s="48" t="str">
        <f>'Project Stocktaking Template'!O19</f>
        <v>1st aug 2022</v>
      </c>
      <c r="F18" s="48" t="str">
        <f>'Project Stocktaking Template'!P19</f>
        <v>30th june 2023</v>
      </c>
      <c r="G18" s="48" t="str">
        <f>'Project Stocktaking Template'!Q19</f>
        <v>30th june 2023</v>
      </c>
      <c r="H18" s="49">
        <f>'Project Stocktaking Template'!R19</f>
        <v>3325000</v>
      </c>
      <c r="I18" s="50" t="str">
        <f>'Project Stocktaking Template'!AD19</f>
        <v>Completed</v>
      </c>
      <c r="J18" s="45"/>
      <c r="K18" s="45"/>
      <c r="L18" s="45"/>
      <c r="M18" s="45"/>
      <c r="N18" s="45"/>
      <c r="O18" s="45"/>
      <c r="P18" s="45"/>
      <c r="Q18" s="45"/>
      <c r="R18" s="45"/>
      <c r="S18" s="45"/>
      <c r="T18" s="45"/>
      <c r="U18" s="45"/>
      <c r="V18" s="45"/>
      <c r="W18" s="45"/>
      <c r="X18" s="45"/>
      <c r="Y18" s="45"/>
      <c r="Z18" s="45"/>
    </row>
    <row r="19">
      <c r="A19" s="51">
        <v>18.0</v>
      </c>
      <c r="B19" s="47" t="str">
        <f>'Project Stocktaking Template'!B20</f>
        <v>PROPOSED RENOVATION OF 4NO ECD CLASSROOMS AT DIHLENUR PRIMARY SCHOOL</v>
      </c>
      <c r="C19" s="47" t="str">
        <f>'Project Stocktaking Template'!H20</f>
        <v>GarissaTownship</v>
      </c>
      <c r="D19" s="47" t="str">
        <f>'Project Stocktaking Template'!I20</f>
        <v>Township</v>
      </c>
      <c r="E19" s="48" t="str">
        <f>'Project Stocktaking Template'!O20</f>
        <v>1st aug 2022</v>
      </c>
      <c r="F19" s="48" t="str">
        <f>'Project Stocktaking Template'!P20</f>
        <v>30th june 2023</v>
      </c>
      <c r="G19" s="48" t="str">
        <f>'Project Stocktaking Template'!Q20</f>
        <v>30th june 2023</v>
      </c>
      <c r="H19" s="49">
        <f>'Project Stocktaking Template'!R20</f>
        <v>4687852</v>
      </c>
      <c r="I19" s="50" t="str">
        <f>'Project Stocktaking Template'!AD20</f>
        <v>Completed</v>
      </c>
      <c r="J19" s="45"/>
      <c r="K19" s="45"/>
      <c r="L19" s="45"/>
      <c r="M19" s="45"/>
      <c r="N19" s="45"/>
      <c r="O19" s="45"/>
      <c r="P19" s="45"/>
      <c r="Q19" s="45"/>
      <c r="R19" s="45"/>
      <c r="S19" s="45"/>
      <c r="T19" s="45"/>
      <c r="U19" s="45"/>
      <c r="V19" s="45"/>
      <c r="W19" s="45"/>
      <c r="X19" s="45"/>
      <c r="Y19" s="45"/>
      <c r="Z19" s="45"/>
    </row>
    <row r="20">
      <c r="A20" s="46">
        <v>19.0</v>
      </c>
      <c r="B20" s="47" t="str">
        <f>'Project Stocktaking Template'!B21</f>
        <v>PROPOSED RENOVATION AT GARISSA FIRE STATION</v>
      </c>
      <c r="C20" s="47" t="str">
        <f>'Project Stocktaking Template'!H21</f>
        <v>GarissaTownship</v>
      </c>
      <c r="D20" s="47" t="str">
        <f>'Project Stocktaking Template'!I21</f>
        <v>Township</v>
      </c>
      <c r="E20" s="48" t="str">
        <f>'Project Stocktaking Template'!O21</f>
        <v>1st aug 2022</v>
      </c>
      <c r="F20" s="48" t="str">
        <f>'Project Stocktaking Template'!P21</f>
        <v>30th june 2023</v>
      </c>
      <c r="G20" s="48" t="str">
        <f>'Project Stocktaking Template'!Q21</f>
        <v>30th june 2023</v>
      </c>
      <c r="H20" s="49">
        <f>'Project Stocktaking Template'!R21</f>
        <v>4750000</v>
      </c>
      <c r="I20" s="50" t="str">
        <f>'Project Stocktaking Template'!AD21</f>
        <v>Completed</v>
      </c>
      <c r="J20" s="45"/>
      <c r="K20" s="45"/>
      <c r="L20" s="45"/>
      <c r="M20" s="45"/>
      <c r="N20" s="45"/>
      <c r="O20" s="45"/>
      <c r="P20" s="45"/>
      <c r="Q20" s="45"/>
      <c r="R20" s="45"/>
      <c r="S20" s="45"/>
      <c r="T20" s="45"/>
      <c r="U20" s="45"/>
      <c r="V20" s="45"/>
      <c r="W20" s="45"/>
      <c r="X20" s="45"/>
      <c r="Y20" s="45"/>
      <c r="Z20" s="45"/>
    </row>
    <row r="21">
      <c r="A21" s="51">
        <v>20.0</v>
      </c>
      <c r="B21" s="47" t="str">
        <f>'Project Stocktaking Template'!B22</f>
        <v>PROPOSED FENCING AND PIT LATRINE AT MASALANI LIVESTOCK OFFICE</v>
      </c>
      <c r="C21" s="47" t="str">
        <f>'Project Stocktaking Template'!H22</f>
        <v>Ijara</v>
      </c>
      <c r="D21" s="47" t="str">
        <f>'Project Stocktaking Template'!I22</f>
        <v>Masalani</v>
      </c>
      <c r="E21" s="48" t="str">
        <f>'Project Stocktaking Template'!O22</f>
        <v>1st aug 2022</v>
      </c>
      <c r="F21" s="48" t="str">
        <f>'Project Stocktaking Template'!P22</f>
        <v>30th june 2023</v>
      </c>
      <c r="G21" s="48" t="str">
        <f>'Project Stocktaking Template'!Q22</f>
        <v>30th june 2023</v>
      </c>
      <c r="H21" s="49">
        <f>'Project Stocktaking Template'!R22</f>
        <v>3309210</v>
      </c>
      <c r="I21" s="50" t="str">
        <f>'Project Stocktaking Template'!AD22</f>
        <v>Completed</v>
      </c>
      <c r="J21" s="45"/>
      <c r="K21" s="45"/>
      <c r="L21" s="45"/>
      <c r="M21" s="45"/>
      <c r="N21" s="45"/>
      <c r="O21" s="45"/>
      <c r="P21" s="45"/>
      <c r="Q21" s="45"/>
      <c r="R21" s="45"/>
      <c r="S21" s="45"/>
      <c r="T21" s="45"/>
      <c r="U21" s="45"/>
      <c r="V21" s="45"/>
      <c r="W21" s="45"/>
      <c r="X21" s="45"/>
      <c r="Y21" s="45"/>
      <c r="Z21" s="45"/>
    </row>
    <row r="22">
      <c r="A22" s="46">
        <v>21.0</v>
      </c>
      <c r="B22" s="47" t="str">
        <f>'Project Stocktaking Template'!B23</f>
        <v>PROPOSED RENOVATION AND REFURBISHMENT OF COUNTY HQ</v>
      </c>
      <c r="C22" s="47" t="str">
        <f>'Project Stocktaking Template'!H23</f>
        <v>GarissaTownship</v>
      </c>
      <c r="D22" s="47" t="str">
        <f>'Project Stocktaking Template'!I23</f>
        <v>Township</v>
      </c>
      <c r="E22" s="48" t="str">
        <f>'Project Stocktaking Template'!O23</f>
        <v>1st aug 2022</v>
      </c>
      <c r="F22" s="48" t="str">
        <f>'Project Stocktaking Template'!P23</f>
        <v>30th june 2023</v>
      </c>
      <c r="G22" s="48" t="str">
        <f>'Project Stocktaking Template'!Q23</f>
        <v>30th june 2023</v>
      </c>
      <c r="H22" s="49">
        <f>'Project Stocktaking Template'!R23</f>
        <v>1425000</v>
      </c>
      <c r="I22" s="50" t="str">
        <f>'Project Stocktaking Template'!AD23</f>
        <v>Completed</v>
      </c>
      <c r="J22" s="45"/>
      <c r="K22" s="45"/>
      <c r="L22" s="45"/>
      <c r="M22" s="45"/>
      <c r="N22" s="45"/>
      <c r="O22" s="45"/>
      <c r="P22" s="45"/>
      <c r="Q22" s="45"/>
      <c r="R22" s="45"/>
      <c r="S22" s="45"/>
      <c r="T22" s="45"/>
      <c r="U22" s="45"/>
      <c r="V22" s="45"/>
      <c r="W22" s="45"/>
      <c r="X22" s="45"/>
      <c r="Y22" s="45"/>
      <c r="Z22" s="45"/>
    </row>
    <row r="23">
      <c r="A23" s="51">
        <v>22.0</v>
      </c>
      <c r="B23" s="47" t="str">
        <f>'Project Stocktaking Template'!B24</f>
        <v>PROPOSED DRILLING AND DEVELOPMENT OF BOREHOLE ASSOCIATED WORKS AT KONE MODOGASHE</v>
      </c>
      <c r="C23" s="47" t="str">
        <f>'Project Stocktaking Template'!H24</f>
        <v>Balambala</v>
      </c>
      <c r="D23" s="47" t="str">
        <f>'Project Stocktaking Template'!I24</f>
        <v>Balambala</v>
      </c>
      <c r="E23" s="48" t="str">
        <f>'Project Stocktaking Template'!O24</f>
        <v>1st aug 2022</v>
      </c>
      <c r="F23" s="48" t="str">
        <f>'Project Stocktaking Template'!P24</f>
        <v>30th june 2023</v>
      </c>
      <c r="G23" s="48" t="str">
        <f>'Project Stocktaking Template'!Q24</f>
        <v>30th june 2023</v>
      </c>
      <c r="H23" s="49">
        <f>'Project Stocktaking Template'!R24</f>
        <v>19000000</v>
      </c>
      <c r="I23" s="50" t="str">
        <f>'Project Stocktaking Template'!AD24</f>
        <v>Completed</v>
      </c>
      <c r="J23" s="45"/>
      <c r="K23" s="45"/>
      <c r="L23" s="45"/>
      <c r="M23" s="45"/>
      <c r="N23" s="45"/>
      <c r="O23" s="45"/>
      <c r="P23" s="45"/>
      <c r="Q23" s="45"/>
      <c r="R23" s="45"/>
      <c r="S23" s="45"/>
      <c r="T23" s="45"/>
      <c r="U23" s="45"/>
      <c r="V23" s="45"/>
      <c r="W23" s="45"/>
      <c r="X23" s="45"/>
      <c r="Y23" s="45"/>
      <c r="Z23" s="45"/>
    </row>
    <row r="24">
      <c r="A24" s="46">
        <v>23.0</v>
      </c>
      <c r="B24" s="47" t="str">
        <f>'Project Stocktaking Template'!B25</f>
        <v>PROPOSED RENOVATION OF AGRICULTURE AND LIVESTOCK OFFICE IN MASALANI</v>
      </c>
      <c r="C24" s="47" t="str">
        <f>'Project Stocktaking Template'!H25</f>
        <v>Ijara</v>
      </c>
      <c r="D24" s="47" t="str">
        <f>'Project Stocktaking Template'!I25</f>
        <v>Masalani</v>
      </c>
      <c r="E24" s="48" t="str">
        <f>'Project Stocktaking Template'!O25</f>
        <v>1st aug 2022</v>
      </c>
      <c r="F24" s="48" t="str">
        <f>'Project Stocktaking Template'!P25</f>
        <v>30th june 2023</v>
      </c>
      <c r="G24" s="48" t="str">
        <f>'Project Stocktaking Template'!Q25</f>
        <v>30th june 2023</v>
      </c>
      <c r="H24" s="49">
        <f>'Project Stocktaking Template'!R25</f>
        <v>4111317</v>
      </c>
      <c r="I24" s="50" t="str">
        <f>'Project Stocktaking Template'!AD25</f>
        <v>Completed</v>
      </c>
      <c r="J24" s="45"/>
      <c r="K24" s="45"/>
      <c r="L24" s="45"/>
      <c r="M24" s="45"/>
      <c r="N24" s="45"/>
      <c r="O24" s="45"/>
      <c r="P24" s="45"/>
      <c r="Q24" s="45"/>
      <c r="R24" s="45"/>
      <c r="S24" s="45"/>
      <c r="T24" s="45"/>
      <c r="U24" s="45"/>
      <c r="V24" s="45"/>
      <c r="W24" s="45"/>
      <c r="X24" s="45"/>
      <c r="Y24" s="45"/>
      <c r="Z24" s="45"/>
    </row>
    <row r="25">
      <c r="A25" s="51">
        <v>24.0</v>
      </c>
      <c r="B25" s="47" t="str">
        <f>'Project Stocktaking Template'!B26</f>
        <v>PROPOSED RENOVATION OF COUNTY COUNCIL OFFICE</v>
      </c>
      <c r="C25" s="47" t="str">
        <f>'Project Stocktaking Template'!H26</f>
        <v>GarissaTownship</v>
      </c>
      <c r="D25" s="47" t="str">
        <f>'Project Stocktaking Template'!I26</f>
        <v>Township</v>
      </c>
      <c r="E25" s="48" t="str">
        <f>'Project Stocktaking Template'!O26</f>
        <v>1st aug 2022</v>
      </c>
      <c r="F25" s="48" t="str">
        <f>'Project Stocktaking Template'!P26</f>
        <v>30th june 2023</v>
      </c>
      <c r="G25" s="48" t="str">
        <f>'Project Stocktaking Template'!Q26</f>
        <v>30th june 2023</v>
      </c>
      <c r="H25" s="49">
        <f>'Project Stocktaking Template'!R26</f>
        <v>2375000</v>
      </c>
      <c r="I25" s="50" t="str">
        <f>'Project Stocktaking Template'!AD26</f>
        <v>Completed</v>
      </c>
      <c r="J25" s="45"/>
      <c r="K25" s="45"/>
      <c r="L25" s="45"/>
      <c r="M25" s="45"/>
      <c r="N25" s="45"/>
      <c r="O25" s="45"/>
      <c r="P25" s="45"/>
      <c r="Q25" s="45"/>
      <c r="R25" s="45"/>
      <c r="S25" s="45"/>
      <c r="T25" s="45"/>
      <c r="U25" s="45"/>
      <c r="V25" s="45"/>
      <c r="W25" s="45"/>
      <c r="X25" s="45"/>
      <c r="Y25" s="45"/>
      <c r="Z25" s="45"/>
    </row>
    <row r="26">
      <c r="A26" s="46">
        <v>25.0</v>
      </c>
      <c r="B26" s="47" t="str">
        <f>'Project Stocktaking Template'!B27</f>
        <v>PROPOSED FENCING AND OTHER WORKS AT MASALANI MARKET</v>
      </c>
      <c r="C26" s="47" t="str">
        <f>'Project Stocktaking Template'!H27</f>
        <v>Ijara</v>
      </c>
      <c r="D26" s="47" t="str">
        <f>'Project Stocktaking Template'!I27</f>
        <v>Masalani</v>
      </c>
      <c r="E26" s="48" t="str">
        <f>'Project Stocktaking Template'!O27</f>
        <v>1st aug 2022</v>
      </c>
      <c r="F26" s="48" t="str">
        <f>'Project Stocktaking Template'!P27</f>
        <v>30th june 2023</v>
      </c>
      <c r="G26" s="48" t="str">
        <f>'Project Stocktaking Template'!Q27</f>
        <v>30th june 2023</v>
      </c>
      <c r="H26" s="49">
        <f>'Project Stocktaking Template'!R27</f>
        <v>3040000</v>
      </c>
      <c r="I26" s="50" t="str">
        <f>'Project Stocktaking Template'!AD27</f>
        <v>Completed</v>
      </c>
      <c r="J26" s="45"/>
      <c r="K26" s="45"/>
      <c r="L26" s="45"/>
      <c r="M26" s="45"/>
      <c r="N26" s="45"/>
      <c r="O26" s="45"/>
      <c r="P26" s="45"/>
      <c r="Q26" s="45"/>
      <c r="R26" s="45"/>
      <c r="S26" s="45"/>
      <c r="T26" s="45"/>
      <c r="U26" s="45"/>
      <c r="V26" s="45"/>
      <c r="W26" s="45"/>
      <c r="X26" s="45"/>
      <c r="Y26" s="45"/>
      <c r="Z26" s="45"/>
    </row>
    <row r="27">
      <c r="A27" s="51">
        <v>26.0</v>
      </c>
      <c r="B27" s="47" t="str">
        <f>'Project Stocktaking Template'!B28</f>
        <v>PRPOSED RENOVATION OF WARDS AND WALK WAY AT IJARA SUB COUNTY OFFICE</v>
      </c>
      <c r="C27" s="47" t="str">
        <f>'Project Stocktaking Template'!H28</f>
        <v>Ijara</v>
      </c>
      <c r="D27" s="47" t="str">
        <f>'Project Stocktaking Template'!I28</f>
        <v>Ijara</v>
      </c>
      <c r="E27" s="48" t="str">
        <f>'Project Stocktaking Template'!O28</f>
        <v>1st aug 2022</v>
      </c>
      <c r="F27" s="48" t="str">
        <f>'Project Stocktaking Template'!P28</f>
        <v>30th june 2023</v>
      </c>
      <c r="G27" s="48" t="str">
        <f>'Project Stocktaking Template'!Q28</f>
        <v>30th june 2023</v>
      </c>
      <c r="H27" s="49">
        <f>'Project Stocktaking Template'!R28</f>
        <v>3000000</v>
      </c>
      <c r="I27" s="50" t="str">
        <f>'Project Stocktaking Template'!AD28</f>
        <v>Completed</v>
      </c>
      <c r="J27" s="45"/>
      <c r="K27" s="45"/>
      <c r="L27" s="45"/>
      <c r="M27" s="45"/>
      <c r="N27" s="45"/>
      <c r="O27" s="45"/>
      <c r="P27" s="45"/>
      <c r="Q27" s="45"/>
      <c r="R27" s="45"/>
      <c r="S27" s="45"/>
      <c r="T27" s="45"/>
      <c r="U27" s="45"/>
      <c r="V27" s="45"/>
      <c r="W27" s="45"/>
      <c r="X27" s="45"/>
      <c r="Y27" s="45"/>
      <c r="Z27" s="45"/>
    </row>
    <row r="28">
      <c r="A28" s="46">
        <v>27.0</v>
      </c>
      <c r="B28" s="47" t="str">
        <f>'Project Stocktaking Template'!B29</f>
        <v>PRPOSED RENOVATION OF ADMIN BLOCKS AND CONSTRUCTION OF PIT LATRINE</v>
      </c>
      <c r="C28" s="47" t="str">
        <f>'Project Stocktaking Template'!H29</f>
        <v>GarissaTownship</v>
      </c>
      <c r="D28" s="47" t="str">
        <f>'Project Stocktaking Template'!I29</f>
        <v>Galbet</v>
      </c>
      <c r="E28" s="48" t="str">
        <f>'Project Stocktaking Template'!O29</f>
        <v>1st aug 2022</v>
      </c>
      <c r="F28" s="48" t="str">
        <f>'Project Stocktaking Template'!P29</f>
        <v>30th june 2023</v>
      </c>
      <c r="G28" s="48" t="str">
        <f>'Project Stocktaking Template'!Q29</f>
        <v>30th june 2023</v>
      </c>
      <c r="H28" s="49">
        <f>'Project Stocktaking Template'!R29</f>
        <v>2850000</v>
      </c>
      <c r="I28" s="50" t="str">
        <f>'Project Stocktaking Template'!AD29</f>
        <v>Completed</v>
      </c>
      <c r="J28" s="45"/>
      <c r="K28" s="45"/>
      <c r="L28" s="45"/>
      <c r="M28" s="45"/>
      <c r="N28" s="45"/>
      <c r="O28" s="45"/>
      <c r="P28" s="45"/>
      <c r="Q28" s="45"/>
      <c r="R28" s="45"/>
      <c r="S28" s="45"/>
      <c r="T28" s="45"/>
      <c r="U28" s="45"/>
      <c r="V28" s="45"/>
      <c r="W28" s="45"/>
      <c r="X28" s="45"/>
      <c r="Y28" s="45"/>
      <c r="Z28" s="45"/>
    </row>
    <row r="29">
      <c r="A29" s="51">
        <v>28.0</v>
      </c>
      <c r="B29" s="47" t="str">
        <f>'Project Stocktaking Template'!B30</f>
        <v>PROPOSED FACELIFT OF ADMIN BLOCKS AND RENOVATION OF ACCIDENT AND EMERGENCY AT GCRH</v>
      </c>
      <c r="C29" s="47" t="str">
        <f>'Project Stocktaking Template'!H30</f>
        <v>GarissaTownship</v>
      </c>
      <c r="D29" s="47" t="str">
        <f>'Project Stocktaking Template'!I30</f>
        <v>Township</v>
      </c>
      <c r="E29" s="48" t="str">
        <f>'Project Stocktaking Template'!O30</f>
        <v>1st aug 2022</v>
      </c>
      <c r="F29" s="48" t="str">
        <f>'Project Stocktaking Template'!P30</f>
        <v>30th june 2023</v>
      </c>
      <c r="G29" s="48" t="str">
        <f>'Project Stocktaking Template'!Q30</f>
        <v>30th june 2023</v>
      </c>
      <c r="H29" s="49">
        <f>'Project Stocktaking Template'!R30</f>
        <v>2850000</v>
      </c>
      <c r="I29" s="50" t="str">
        <f>'Project Stocktaking Template'!AD30</f>
        <v>Completed</v>
      </c>
      <c r="J29" s="45"/>
      <c r="K29" s="45"/>
      <c r="L29" s="45"/>
      <c r="M29" s="45"/>
      <c r="N29" s="45"/>
      <c r="O29" s="45"/>
      <c r="P29" s="45"/>
      <c r="Q29" s="45"/>
      <c r="R29" s="45"/>
      <c r="S29" s="45"/>
      <c r="T29" s="45"/>
      <c r="U29" s="45"/>
      <c r="V29" s="45"/>
      <c r="W29" s="45"/>
      <c r="X29" s="45"/>
      <c r="Y29" s="45"/>
      <c r="Z29" s="45"/>
    </row>
    <row r="30">
      <c r="A30" s="46">
        <v>29.0</v>
      </c>
      <c r="B30" s="47" t="str">
        <f>'Project Stocktaking Template'!B31</f>
        <v>PRPOSED RENOVATION OF ADMIN BLOCKS AND CONSTRUCTION OF PIT LATRINE</v>
      </c>
      <c r="C30" s="47" t="str">
        <f>'Project Stocktaking Template'!H31</f>
        <v>GarissaTownship</v>
      </c>
      <c r="D30" s="47" t="str">
        <f>'Project Stocktaking Template'!I31</f>
        <v>Township</v>
      </c>
      <c r="E30" s="48" t="str">
        <f>'Project Stocktaking Template'!O31</f>
        <v>1st aug 2022</v>
      </c>
      <c r="F30" s="48" t="str">
        <f>'Project Stocktaking Template'!P31</f>
        <v>30th june 2023</v>
      </c>
      <c r="G30" s="48" t="str">
        <f>'Project Stocktaking Template'!Q31</f>
        <v>30th june 2023</v>
      </c>
      <c r="H30" s="49">
        <f>'Project Stocktaking Template'!R31</f>
        <v>2850000</v>
      </c>
      <c r="I30" s="50" t="str">
        <f>'Project Stocktaking Template'!AD31</f>
        <v>Completed</v>
      </c>
      <c r="J30" s="45"/>
      <c r="K30" s="45"/>
      <c r="L30" s="45"/>
      <c r="M30" s="45"/>
      <c r="N30" s="45"/>
      <c r="O30" s="45"/>
      <c r="P30" s="45"/>
      <c r="Q30" s="45"/>
      <c r="R30" s="45"/>
      <c r="S30" s="45"/>
      <c r="T30" s="45"/>
      <c r="U30" s="45"/>
      <c r="V30" s="45"/>
      <c r="W30" s="45"/>
      <c r="X30" s="45"/>
      <c r="Y30" s="45"/>
      <c r="Z30" s="45"/>
    </row>
    <row r="31">
      <c r="A31" s="51">
        <v>30.0</v>
      </c>
      <c r="B31" s="47" t="str">
        <f>'Project Stocktaking Template'!B32</f>
        <v>RENOVATION OF MODOGASHE HOSPITAL</v>
      </c>
      <c r="C31" s="47" t="str">
        <f>'Project Stocktaking Template'!H32</f>
        <v>Lagdera</v>
      </c>
      <c r="D31" s="47" t="str">
        <f>'Project Stocktaking Template'!I32</f>
        <v>Modogashe</v>
      </c>
      <c r="E31" s="48" t="str">
        <f>'Project Stocktaking Template'!O32</f>
        <v>1st aug 2022</v>
      </c>
      <c r="F31" s="48" t="str">
        <f>'Project Stocktaking Template'!P32</f>
        <v>30th june 2023</v>
      </c>
      <c r="G31" s="48" t="str">
        <f>'Project Stocktaking Template'!Q32</f>
        <v>30th june 2023</v>
      </c>
      <c r="H31" s="49">
        <f>'Project Stocktaking Template'!R32</f>
        <v>3325000</v>
      </c>
      <c r="I31" s="50" t="str">
        <f>'Project Stocktaking Template'!AD32</f>
        <v>Completed</v>
      </c>
      <c r="J31" s="45"/>
      <c r="K31" s="45"/>
      <c r="L31" s="45"/>
      <c r="M31" s="45"/>
      <c r="N31" s="45"/>
      <c r="O31" s="45"/>
      <c r="P31" s="45"/>
      <c r="Q31" s="45"/>
      <c r="R31" s="45"/>
      <c r="S31" s="45"/>
      <c r="T31" s="45"/>
      <c r="U31" s="45"/>
      <c r="V31" s="45"/>
      <c r="W31" s="45"/>
      <c r="X31" s="45"/>
      <c r="Y31" s="45"/>
      <c r="Z31" s="45"/>
    </row>
    <row r="32">
      <c r="A32" s="46">
        <v>31.0</v>
      </c>
      <c r="B32" s="47" t="str">
        <f>'Project Stocktaking Template'!B33</f>
        <v>RENOVATION OF MBALAMBALA HOSPITAL</v>
      </c>
      <c r="C32" s="47" t="str">
        <f>'Project Stocktaking Template'!H33</f>
        <v>Balambala</v>
      </c>
      <c r="D32" s="47" t="str">
        <f>'Project Stocktaking Template'!I33</f>
        <v>Balambala</v>
      </c>
      <c r="E32" s="48" t="str">
        <f>'Project Stocktaking Template'!O33</f>
        <v>1st aug 2022</v>
      </c>
      <c r="F32" s="48" t="str">
        <f>'Project Stocktaking Template'!P33</f>
        <v>30th june 2023</v>
      </c>
      <c r="G32" s="48" t="str">
        <f>'Project Stocktaking Template'!Q33</f>
        <v>30th june 2023</v>
      </c>
      <c r="H32" s="49">
        <f>'Project Stocktaking Template'!R33</f>
        <v>3325000</v>
      </c>
      <c r="I32" s="50" t="str">
        <f>'Project Stocktaking Template'!AD33</f>
        <v>Completed</v>
      </c>
      <c r="J32" s="45"/>
      <c r="K32" s="45"/>
      <c r="L32" s="45"/>
      <c r="M32" s="45"/>
      <c r="N32" s="45"/>
      <c r="O32" s="45"/>
      <c r="P32" s="45"/>
      <c r="Q32" s="45"/>
      <c r="R32" s="45"/>
      <c r="S32" s="45"/>
      <c r="T32" s="45"/>
      <c r="U32" s="45"/>
      <c r="V32" s="45"/>
      <c r="W32" s="45"/>
      <c r="X32" s="45"/>
      <c r="Y32" s="45"/>
      <c r="Z32" s="45"/>
    </row>
    <row r="33">
      <c r="A33" s="51">
        <v>32.0</v>
      </c>
      <c r="B33" s="47" t="str">
        <f>'Project Stocktaking Template'!B34</f>
        <v>RENOVATION OF MODOGASHE HOSPITAL</v>
      </c>
      <c r="C33" s="47" t="str">
        <f>'Project Stocktaking Template'!H34</f>
        <v>Lagdera</v>
      </c>
      <c r="D33" s="47" t="str">
        <f>'Project Stocktaking Template'!I34</f>
        <v>Modogashe</v>
      </c>
      <c r="E33" s="48" t="str">
        <f>'Project Stocktaking Template'!O34</f>
        <v>1st aug 2022</v>
      </c>
      <c r="F33" s="48" t="str">
        <f>'Project Stocktaking Template'!P34</f>
        <v>30th june 2023</v>
      </c>
      <c r="G33" s="48" t="str">
        <f>'Project Stocktaking Template'!Q34</f>
        <v>30th june 2023</v>
      </c>
      <c r="H33" s="49">
        <f>'Project Stocktaking Template'!R34</f>
        <v>3040000</v>
      </c>
      <c r="I33" s="50" t="str">
        <f>'Project Stocktaking Template'!AD34</f>
        <v>Completed</v>
      </c>
      <c r="J33" s="45"/>
      <c r="K33" s="45"/>
      <c r="L33" s="45"/>
      <c r="M33" s="45"/>
      <c r="N33" s="45"/>
      <c r="O33" s="45"/>
      <c r="P33" s="45"/>
      <c r="Q33" s="45"/>
      <c r="R33" s="45"/>
      <c r="S33" s="45"/>
      <c r="T33" s="45"/>
      <c r="U33" s="45"/>
      <c r="V33" s="45"/>
      <c r="W33" s="45"/>
      <c r="X33" s="45"/>
      <c r="Y33" s="45"/>
      <c r="Z33" s="45"/>
    </row>
    <row r="34">
      <c r="A34" s="46">
        <v>33.0</v>
      </c>
      <c r="B34" s="47" t="str">
        <f>'Project Stocktaking Template'!B35</f>
        <v>RENOVATION OF MBALABALA SUB COUNTY HOSPITAL</v>
      </c>
      <c r="C34" s="47" t="str">
        <f>'Project Stocktaking Template'!H35</f>
        <v>Balambala</v>
      </c>
      <c r="D34" s="47" t="str">
        <f>'Project Stocktaking Template'!I35</f>
        <v>Balambala</v>
      </c>
      <c r="E34" s="48" t="str">
        <f>'Project Stocktaking Template'!O35</f>
        <v>1st aug 2022</v>
      </c>
      <c r="F34" s="48" t="str">
        <f>'Project Stocktaking Template'!P35</f>
        <v>30th june 2023</v>
      </c>
      <c r="G34" s="48" t="str">
        <f>'Project Stocktaking Template'!Q35</f>
        <v>30th june 2023</v>
      </c>
      <c r="H34" s="49">
        <f>'Project Stocktaking Template'!R35</f>
        <v>3580569</v>
      </c>
      <c r="I34" s="50" t="str">
        <f>'Project Stocktaking Template'!AD35</f>
        <v>Completed</v>
      </c>
      <c r="J34" s="45"/>
      <c r="K34" s="45"/>
      <c r="L34" s="45"/>
      <c r="M34" s="45"/>
      <c r="N34" s="45"/>
      <c r="O34" s="45"/>
      <c r="P34" s="45"/>
      <c r="Q34" s="45"/>
      <c r="R34" s="45"/>
      <c r="S34" s="45"/>
      <c r="T34" s="45"/>
      <c r="U34" s="45"/>
      <c r="V34" s="45"/>
      <c r="W34" s="45"/>
      <c r="X34" s="45"/>
      <c r="Y34" s="45"/>
      <c r="Z34" s="45"/>
    </row>
    <row r="35">
      <c r="A35" s="51">
        <v>34.0</v>
      </c>
      <c r="B35" s="47" t="str">
        <f>'Project Stocktaking Template'!B36</f>
        <v>RENOVATION FIRE STATION</v>
      </c>
      <c r="C35" s="47" t="str">
        <f>'Project Stocktaking Template'!H36</f>
        <v>GarissaTownship</v>
      </c>
      <c r="D35" s="47" t="str">
        <f>'Project Stocktaking Template'!I36</f>
        <v>Township</v>
      </c>
      <c r="E35" s="48" t="str">
        <f>'Project Stocktaking Template'!O36</f>
        <v>1st aug 2022</v>
      </c>
      <c r="F35" s="48" t="str">
        <f>'Project Stocktaking Template'!P36</f>
        <v>30th june 2023</v>
      </c>
      <c r="G35" s="48" t="str">
        <f>'Project Stocktaking Template'!Q36</f>
        <v>30th june 2023</v>
      </c>
      <c r="H35" s="49">
        <f>'Project Stocktaking Template'!R36</f>
        <v>5985000</v>
      </c>
      <c r="I35" s="50" t="str">
        <f>'Project Stocktaking Template'!AD36</f>
        <v>Completed</v>
      </c>
      <c r="J35" s="45"/>
      <c r="K35" s="45"/>
      <c r="L35" s="45"/>
      <c r="M35" s="45"/>
      <c r="N35" s="45"/>
      <c r="O35" s="45"/>
      <c r="P35" s="45"/>
      <c r="Q35" s="45"/>
      <c r="R35" s="45"/>
      <c r="S35" s="45"/>
      <c r="T35" s="45"/>
      <c r="U35" s="45"/>
      <c r="V35" s="45"/>
      <c r="W35" s="45"/>
      <c r="X35" s="45"/>
      <c r="Y35" s="45"/>
      <c r="Z35" s="45"/>
    </row>
    <row r="36">
      <c r="A36" s="46">
        <v>35.0</v>
      </c>
      <c r="B36" s="47" t="str">
        <f>'Project Stocktaking Template'!B37</f>
        <v>ADC WATER PROJECT</v>
      </c>
      <c r="C36" s="47" t="str">
        <f>'Project Stocktaking Template'!H37</f>
        <v>GarissaTownship</v>
      </c>
      <c r="D36" s="47" t="str">
        <f>'Project Stocktaking Template'!I37</f>
        <v>Galbet</v>
      </c>
      <c r="E36" s="48" t="str">
        <f>'Project Stocktaking Template'!O37</f>
        <v>1st aug 2023</v>
      </c>
      <c r="F36" s="48" t="str">
        <f>'Project Stocktaking Template'!P37</f>
        <v>30th june 2024</v>
      </c>
      <c r="G36" s="48" t="str">
        <f>'Project Stocktaking Template'!Q37</f>
        <v>30th june 2024</v>
      </c>
      <c r="H36" s="49">
        <f>'Project Stocktaking Template'!R37</f>
        <v>8383387.45</v>
      </c>
      <c r="I36" s="50" t="str">
        <f>'Project Stocktaking Template'!AD37</f>
        <v>Completed</v>
      </c>
      <c r="J36" s="45"/>
      <c r="K36" s="45"/>
      <c r="L36" s="45"/>
      <c r="M36" s="45"/>
      <c r="N36" s="45"/>
      <c r="O36" s="45"/>
      <c r="P36" s="45"/>
      <c r="Q36" s="45"/>
      <c r="R36" s="45"/>
      <c r="S36" s="45"/>
      <c r="T36" s="45"/>
      <c r="U36" s="45"/>
      <c r="V36" s="45"/>
      <c r="W36" s="45"/>
      <c r="X36" s="45"/>
      <c r="Y36" s="45"/>
      <c r="Z36" s="45"/>
    </row>
    <row r="37">
      <c r="A37" s="51">
        <v>36.0</v>
      </c>
      <c r="B37" s="47" t="str">
        <f>'Project Stocktaking Template'!B38</f>
        <v>ADC WATER PROJECT</v>
      </c>
      <c r="C37" s="47" t="str">
        <f>'Project Stocktaking Template'!H38</f>
        <v>GarissaTownship</v>
      </c>
      <c r="D37" s="47" t="str">
        <f>'Project Stocktaking Template'!I38</f>
        <v>Galbet</v>
      </c>
      <c r="E37" s="48" t="str">
        <f>'Project Stocktaking Template'!O38</f>
        <v>1st aug 2023</v>
      </c>
      <c r="F37" s="48" t="str">
        <f>'Project Stocktaking Template'!P38</f>
        <v>30th june 2024</v>
      </c>
      <c r="G37" s="48" t="str">
        <f>'Project Stocktaking Template'!Q38</f>
        <v>30th june 2024</v>
      </c>
      <c r="H37" s="49">
        <f>'Project Stocktaking Template'!R38</f>
        <v>9500000</v>
      </c>
      <c r="I37" s="50" t="str">
        <f>'Project Stocktaking Template'!AD38</f>
        <v>Completed</v>
      </c>
      <c r="J37" s="45"/>
      <c r="K37" s="45"/>
      <c r="L37" s="45"/>
      <c r="M37" s="45"/>
      <c r="N37" s="45"/>
      <c r="O37" s="45"/>
      <c r="P37" s="45"/>
      <c r="Q37" s="45"/>
      <c r="R37" s="45"/>
      <c r="S37" s="45"/>
      <c r="T37" s="45"/>
      <c r="U37" s="45"/>
      <c r="V37" s="45"/>
      <c r="W37" s="45"/>
      <c r="X37" s="45"/>
      <c r="Y37" s="45"/>
      <c r="Z37" s="45"/>
    </row>
    <row r="38">
      <c r="A38" s="46">
        <v>37.0</v>
      </c>
      <c r="B38" s="47" t="str">
        <f>'Project Stocktaking Template'!B39</f>
        <v>MARAMTU WATER PROJECT</v>
      </c>
      <c r="C38" s="47" t="str">
        <f>'Project Stocktaking Template'!H39</f>
        <v>GarissaTownship</v>
      </c>
      <c r="D38" s="47" t="str">
        <f>'Project Stocktaking Template'!I39</f>
        <v>Iftin</v>
      </c>
      <c r="E38" s="48" t="str">
        <f>'Project Stocktaking Template'!O39</f>
        <v>1st aug 2023</v>
      </c>
      <c r="F38" s="48" t="str">
        <f>'Project Stocktaking Template'!P39</f>
        <v>30th june 2024</v>
      </c>
      <c r="G38" s="48" t="str">
        <f>'Project Stocktaking Template'!Q39</f>
        <v>30th june 2024</v>
      </c>
      <c r="H38" s="49">
        <f>'Project Stocktaking Template'!R39</f>
        <v>13300000</v>
      </c>
      <c r="I38" s="50" t="str">
        <f>'Project Stocktaking Template'!AD39</f>
        <v>Completed</v>
      </c>
      <c r="J38" s="45"/>
      <c r="K38" s="45"/>
      <c r="L38" s="45"/>
      <c r="M38" s="45"/>
      <c r="N38" s="45"/>
      <c r="O38" s="45"/>
      <c r="P38" s="45"/>
      <c r="Q38" s="45"/>
      <c r="R38" s="45"/>
      <c r="S38" s="45"/>
      <c r="T38" s="45"/>
      <c r="U38" s="45"/>
      <c r="V38" s="45"/>
      <c r="W38" s="45"/>
      <c r="X38" s="45"/>
      <c r="Y38" s="45"/>
      <c r="Z38" s="45"/>
    </row>
    <row r="39">
      <c r="A39" s="51">
        <v>38.0</v>
      </c>
      <c r="B39" s="47" t="str">
        <f>'Project Stocktaking Template'!B40</f>
        <v>MARAMTU WATER PROJECT</v>
      </c>
      <c r="C39" s="47" t="str">
        <f>'Project Stocktaking Template'!H40</f>
        <v>GarissaTownship</v>
      </c>
      <c r="D39" s="47" t="str">
        <f>'Project Stocktaking Template'!I40</f>
        <v>Iftin</v>
      </c>
      <c r="E39" s="48" t="str">
        <f>'Project Stocktaking Template'!O40</f>
        <v>1st aug 2023</v>
      </c>
      <c r="F39" s="48" t="str">
        <f>'Project Stocktaking Template'!P40</f>
        <v>30th june 2024</v>
      </c>
      <c r="G39" s="48" t="str">
        <f>'Project Stocktaking Template'!Q40</f>
        <v>30th june 2024</v>
      </c>
      <c r="H39" s="49">
        <f>'Project Stocktaking Template'!R40</f>
        <v>12065000</v>
      </c>
      <c r="I39" s="50" t="str">
        <f>'Project Stocktaking Template'!AD40</f>
        <v>Completed</v>
      </c>
      <c r="J39" s="45"/>
      <c r="K39" s="45"/>
      <c r="L39" s="45"/>
      <c r="M39" s="45"/>
      <c r="N39" s="45"/>
      <c r="O39" s="45"/>
      <c r="P39" s="45"/>
      <c r="Q39" s="45"/>
      <c r="R39" s="45"/>
      <c r="S39" s="45"/>
      <c r="T39" s="45"/>
      <c r="U39" s="45"/>
      <c r="V39" s="45"/>
      <c r="W39" s="45"/>
      <c r="X39" s="45"/>
      <c r="Y39" s="45"/>
      <c r="Z39" s="45"/>
    </row>
    <row r="40">
      <c r="A40" s="46">
        <v>39.0</v>
      </c>
      <c r="B40" s="47" t="str">
        <f>'Project Stocktaking Template'!B41</f>
        <v>EXTENSION OF PIPELINE IN MASALANI</v>
      </c>
      <c r="C40" s="47" t="str">
        <f>'Project Stocktaking Template'!H41</f>
        <v>Ijara</v>
      </c>
      <c r="D40" s="47" t="str">
        <f>'Project Stocktaking Template'!I41</f>
        <v>Masalani</v>
      </c>
      <c r="E40" s="48" t="str">
        <f>'Project Stocktaking Template'!O41</f>
        <v>1st aug 2023</v>
      </c>
      <c r="F40" s="48" t="str">
        <f>'Project Stocktaking Template'!P41</f>
        <v>30th june 2024</v>
      </c>
      <c r="G40" s="48" t="str">
        <f>'Project Stocktaking Template'!Q41</f>
        <v>30th june 2024</v>
      </c>
      <c r="H40" s="49">
        <f>'Project Stocktaking Template'!R41</f>
        <v>4702500</v>
      </c>
      <c r="I40" s="50" t="str">
        <f>'Project Stocktaking Template'!AD41</f>
        <v>Completed</v>
      </c>
      <c r="J40" s="45"/>
      <c r="K40" s="45"/>
      <c r="L40" s="45"/>
      <c r="M40" s="45"/>
      <c r="N40" s="45"/>
      <c r="O40" s="45"/>
      <c r="P40" s="45"/>
      <c r="Q40" s="45"/>
      <c r="R40" s="45"/>
      <c r="S40" s="45"/>
      <c r="T40" s="45"/>
      <c r="U40" s="45"/>
      <c r="V40" s="45"/>
      <c r="W40" s="45"/>
      <c r="X40" s="45"/>
      <c r="Y40" s="45"/>
      <c r="Z40" s="45"/>
    </row>
    <row r="41">
      <c r="A41" s="51">
        <v>40.0</v>
      </c>
      <c r="B41" s="47" t="str">
        <f>'Project Stocktaking Template'!B42</f>
        <v>SOLARIZATION AT SUQ MUQDI MARKET AND BULA MADINA</v>
      </c>
      <c r="C41" s="47" t="str">
        <f>'Project Stocktaking Template'!H42</f>
        <v>GarissaTownship</v>
      </c>
      <c r="D41" s="47" t="str">
        <f>'Project Stocktaking Template'!I42</f>
        <v>Township</v>
      </c>
      <c r="E41" s="48" t="str">
        <f>'Project Stocktaking Template'!O42</f>
        <v>1st aug 2023</v>
      </c>
      <c r="F41" s="48" t="str">
        <f>'Project Stocktaking Template'!P42</f>
        <v>30th june 2024</v>
      </c>
      <c r="G41" s="48" t="str">
        <f>'Project Stocktaking Template'!Q42</f>
        <v>30th june 2024</v>
      </c>
      <c r="H41" s="49">
        <f>'Project Stocktaking Template'!R42</f>
        <v>12873700</v>
      </c>
      <c r="I41" s="50" t="str">
        <f>'Project Stocktaking Template'!AD42</f>
        <v>Completed</v>
      </c>
      <c r="J41" s="45"/>
      <c r="K41" s="45"/>
      <c r="L41" s="45"/>
      <c r="M41" s="45"/>
      <c r="N41" s="45"/>
      <c r="O41" s="45"/>
      <c r="P41" s="45"/>
      <c r="Q41" s="45"/>
      <c r="R41" s="45"/>
      <c r="S41" s="45"/>
      <c r="T41" s="45"/>
      <c r="U41" s="45"/>
      <c r="V41" s="45"/>
      <c r="W41" s="45"/>
      <c r="X41" s="45"/>
      <c r="Y41" s="45"/>
      <c r="Z41" s="45"/>
    </row>
    <row r="42">
      <c r="A42" s="46">
        <v>41.0</v>
      </c>
      <c r="B42" s="47" t="str">
        <f>'Project Stocktaking Template'!B43</f>
        <v>DESILTING OF BULLA ABASS WATER PAN</v>
      </c>
      <c r="C42" s="47" t="str">
        <f>'Project Stocktaking Template'!H43</f>
        <v>GarissaTownship</v>
      </c>
      <c r="D42" s="47" t="str">
        <f>'Project Stocktaking Template'!I43</f>
        <v>Waberi</v>
      </c>
      <c r="E42" s="48" t="str">
        <f>'Project Stocktaking Template'!O43</f>
        <v>1st aug 2023</v>
      </c>
      <c r="F42" s="48" t="str">
        <f>'Project Stocktaking Template'!P43</f>
        <v>30th june 2024</v>
      </c>
      <c r="G42" s="48" t="str">
        <f>'Project Stocktaking Template'!Q43</f>
        <v>30th june 2024</v>
      </c>
      <c r="H42" s="49">
        <f>'Project Stocktaking Template'!R43</f>
        <v>5880098.25</v>
      </c>
      <c r="I42" s="50" t="str">
        <f>'Project Stocktaking Template'!AD43</f>
        <v>Completed</v>
      </c>
      <c r="J42" s="45"/>
      <c r="K42" s="45"/>
      <c r="L42" s="45"/>
      <c r="M42" s="45"/>
      <c r="N42" s="45"/>
      <c r="O42" s="45"/>
      <c r="P42" s="45"/>
      <c r="Q42" s="45"/>
      <c r="R42" s="45"/>
      <c r="S42" s="45"/>
      <c r="T42" s="45"/>
      <c r="U42" s="45"/>
      <c r="V42" s="45"/>
      <c r="W42" s="45"/>
      <c r="X42" s="45"/>
      <c r="Y42" s="45"/>
      <c r="Z42" s="45"/>
    </row>
    <row r="43">
      <c r="A43" s="51">
        <v>42.0</v>
      </c>
      <c r="B43" s="47" t="str">
        <f>'Project Stocktaking Template'!B44</f>
        <v>SUPPLY AND DELIVERY OF VETNARY DRUGS</v>
      </c>
      <c r="C43" s="47" t="str">
        <f>'Project Stocktaking Template'!H44</f>
        <v>GarissaTownship</v>
      </c>
      <c r="D43" s="47" t="str">
        <f>'Project Stocktaking Template'!I44</f>
        <v>Township</v>
      </c>
      <c r="E43" s="48" t="str">
        <f>'Project Stocktaking Template'!O44</f>
        <v>1st aug 2023</v>
      </c>
      <c r="F43" s="48" t="str">
        <f>'Project Stocktaking Template'!P44</f>
        <v>30th june 2024</v>
      </c>
      <c r="G43" s="48" t="str">
        <f>'Project Stocktaking Template'!Q44</f>
        <v>30th june 2024</v>
      </c>
      <c r="H43" s="49">
        <f>'Project Stocktaking Template'!R44</f>
        <v>3800000</v>
      </c>
      <c r="I43" s="50" t="str">
        <f>'Project Stocktaking Template'!AD44</f>
        <v>Completed</v>
      </c>
      <c r="J43" s="45"/>
      <c r="K43" s="45"/>
      <c r="L43" s="45"/>
      <c r="M43" s="45"/>
      <c r="N43" s="45"/>
      <c r="O43" s="45"/>
      <c r="P43" s="45"/>
      <c r="Q43" s="45"/>
      <c r="R43" s="45"/>
      <c r="S43" s="45"/>
      <c r="T43" s="45"/>
      <c r="U43" s="45"/>
      <c r="V43" s="45"/>
      <c r="W43" s="45"/>
      <c r="X43" s="45"/>
      <c r="Y43" s="45"/>
      <c r="Z43" s="45"/>
    </row>
    <row r="44">
      <c r="A44" s="46">
        <v>43.0</v>
      </c>
      <c r="B44" s="47" t="str">
        <f>'Project Stocktaking Template'!B45</f>
        <v>EXTESION OF PIPELINE IN DAMAJALEWATER SUPPLY</v>
      </c>
      <c r="C44" s="47" t="str">
        <f>'Project Stocktaking Template'!H45</f>
        <v>Dadaab</v>
      </c>
      <c r="D44" s="47" t="str">
        <f>'Project Stocktaking Template'!I45</f>
        <v>Damajale</v>
      </c>
      <c r="E44" s="48" t="str">
        <f>'Project Stocktaking Template'!O45</f>
        <v>1st aug 2023</v>
      </c>
      <c r="F44" s="48" t="str">
        <f>'Project Stocktaking Template'!P45</f>
        <v>30th june 2024</v>
      </c>
      <c r="G44" s="48" t="str">
        <f>'Project Stocktaking Template'!Q45</f>
        <v>30th june 2024</v>
      </c>
      <c r="H44" s="49">
        <f>'Project Stocktaking Template'!R45</f>
        <v>2318950</v>
      </c>
      <c r="I44" s="50" t="str">
        <f>'Project Stocktaking Template'!AD45</f>
        <v>Completed</v>
      </c>
      <c r="J44" s="45"/>
      <c r="K44" s="45"/>
      <c r="L44" s="45"/>
      <c r="M44" s="45"/>
      <c r="N44" s="45"/>
      <c r="O44" s="45"/>
      <c r="P44" s="45"/>
      <c r="Q44" s="45"/>
      <c r="R44" s="45"/>
      <c r="S44" s="45"/>
      <c r="T44" s="45"/>
      <c r="U44" s="45"/>
      <c r="V44" s="45"/>
      <c r="W44" s="45"/>
      <c r="X44" s="45"/>
      <c r="Y44" s="45"/>
      <c r="Z44" s="45"/>
    </row>
    <row r="45">
      <c r="A45" s="51">
        <v>44.0</v>
      </c>
      <c r="B45" s="47" t="str">
        <f>'Project Stocktaking Template'!B46</f>
        <v>WATER PAN </v>
      </c>
      <c r="C45" s="47" t="str">
        <f>'Project Stocktaking Template'!H46</f>
        <v>GarissaTownship</v>
      </c>
      <c r="D45" s="47" t="str">
        <f>'Project Stocktaking Template'!I46</f>
        <v>Township</v>
      </c>
      <c r="E45" s="48" t="str">
        <f>'Project Stocktaking Template'!O46</f>
        <v>1st aug 2023</v>
      </c>
      <c r="F45" s="48" t="str">
        <f>'Project Stocktaking Template'!P46</f>
        <v>30th june 2024</v>
      </c>
      <c r="G45" s="48" t="str">
        <f>'Project Stocktaking Template'!Q46</f>
        <v>30th june 2024</v>
      </c>
      <c r="H45" s="49">
        <f>'Project Stocktaking Template'!R46</f>
        <v>4560000</v>
      </c>
      <c r="I45" s="50" t="str">
        <f>'Project Stocktaking Template'!AD46</f>
        <v>Completed</v>
      </c>
      <c r="J45" s="45"/>
      <c r="K45" s="45"/>
      <c r="L45" s="45"/>
      <c r="M45" s="45"/>
      <c r="N45" s="45"/>
      <c r="O45" s="45"/>
      <c r="P45" s="45"/>
      <c r="Q45" s="45"/>
      <c r="R45" s="45"/>
      <c r="S45" s="45"/>
      <c r="T45" s="45"/>
      <c r="U45" s="45"/>
      <c r="V45" s="45"/>
      <c r="W45" s="45"/>
      <c r="X45" s="45"/>
      <c r="Y45" s="45"/>
      <c r="Z45" s="45"/>
    </row>
    <row r="46">
      <c r="A46" s="46">
        <v>45.0</v>
      </c>
      <c r="B46" s="47" t="str">
        <f>'Project Stocktaking Template'!B47</f>
        <v>EXTENSION OF PIPELINE FOR QONE MODOGASHE PIPELINE</v>
      </c>
      <c r="C46" s="47" t="str">
        <f>'Project Stocktaking Template'!H47</f>
        <v>Balambala</v>
      </c>
      <c r="D46" s="47" t="str">
        <f>'Project Stocktaking Template'!I47</f>
        <v>Balambala</v>
      </c>
      <c r="E46" s="48" t="str">
        <f>'Project Stocktaking Template'!O47</f>
        <v>1st aug 2023</v>
      </c>
      <c r="F46" s="48" t="str">
        <f>'Project Stocktaking Template'!P47</f>
        <v>30th june 2024</v>
      </c>
      <c r="G46" s="48" t="str">
        <f>'Project Stocktaking Template'!Q47</f>
        <v>30th june 2024</v>
      </c>
      <c r="H46" s="49">
        <f>'Project Stocktaking Template'!R47</f>
        <v>40000000</v>
      </c>
      <c r="I46" s="50" t="str">
        <f>'Project Stocktaking Template'!AD47</f>
        <v>Completed</v>
      </c>
      <c r="J46" s="45"/>
      <c r="K46" s="45"/>
      <c r="L46" s="45"/>
      <c r="M46" s="45"/>
      <c r="N46" s="45"/>
      <c r="O46" s="45"/>
      <c r="P46" s="45"/>
      <c r="Q46" s="45"/>
      <c r="R46" s="45"/>
      <c r="S46" s="45"/>
      <c r="T46" s="45"/>
      <c r="U46" s="45"/>
      <c r="V46" s="45"/>
      <c r="W46" s="45"/>
      <c r="X46" s="45"/>
      <c r="Y46" s="45"/>
      <c r="Z46" s="45"/>
    </row>
    <row r="47">
      <c r="A47" s="51">
        <v>46.0</v>
      </c>
      <c r="B47" s="47" t="str">
        <f>'Project Stocktaking Template'!B48</f>
        <v>RENOVATION OF MAALIM DISPENSARY</v>
      </c>
      <c r="C47" s="47" t="str">
        <f>'Project Stocktaking Template'!H48</f>
        <v>Lagdera</v>
      </c>
      <c r="D47" s="47" t="str">
        <f>'Project Stocktaking Template'!I48</f>
        <v>Maalimin</v>
      </c>
      <c r="E47" s="48" t="str">
        <f>'Project Stocktaking Template'!O48</f>
        <v>1st aug 2023</v>
      </c>
      <c r="F47" s="48" t="str">
        <f>'Project Stocktaking Template'!P48</f>
        <v>30th june 2024</v>
      </c>
      <c r="G47" s="48" t="str">
        <f>'Project Stocktaking Template'!Q48</f>
        <v>30th june 2024</v>
      </c>
      <c r="H47" s="49">
        <f>'Project Stocktaking Template'!R48</f>
        <v>4940000</v>
      </c>
      <c r="I47" s="50" t="str">
        <f>'Project Stocktaking Template'!AD48</f>
        <v>Completed</v>
      </c>
      <c r="J47" s="45"/>
      <c r="K47" s="45"/>
      <c r="L47" s="45"/>
      <c r="M47" s="45"/>
      <c r="N47" s="45"/>
      <c r="O47" s="45"/>
      <c r="P47" s="45"/>
      <c r="Q47" s="45"/>
      <c r="R47" s="45"/>
      <c r="S47" s="45"/>
      <c r="T47" s="45"/>
      <c r="U47" s="45"/>
      <c r="V47" s="45"/>
      <c r="W47" s="45"/>
      <c r="X47" s="45"/>
      <c r="Y47" s="45"/>
      <c r="Z47" s="45"/>
    </row>
    <row r="48">
      <c r="A48" s="46">
        <v>47.0</v>
      </c>
      <c r="B48" s="47" t="str">
        <f>'Project Stocktaking Template'!B49</f>
        <v>RENNOVATION OF PROCUREMNET OFFICES</v>
      </c>
      <c r="C48" s="47" t="str">
        <f>'Project Stocktaking Template'!H49</f>
        <v>GarissaTownship</v>
      </c>
      <c r="D48" s="47" t="str">
        <f>'Project Stocktaking Template'!I49</f>
        <v>Township</v>
      </c>
      <c r="E48" s="48" t="str">
        <f>'Project Stocktaking Template'!O49</f>
        <v>1st aug 2023</v>
      </c>
      <c r="F48" s="48" t="str">
        <f>'Project Stocktaking Template'!P49</f>
        <v>30th june 2024</v>
      </c>
      <c r="G48" s="48" t="str">
        <f>'Project Stocktaking Template'!Q49</f>
        <v>30th june 2024</v>
      </c>
      <c r="H48" s="49">
        <f>'Project Stocktaking Template'!R49</f>
        <v>4261708</v>
      </c>
      <c r="I48" s="50" t="str">
        <f>'Project Stocktaking Template'!AD49</f>
        <v>Completed</v>
      </c>
      <c r="J48" s="45"/>
      <c r="K48" s="45"/>
      <c r="L48" s="45"/>
      <c r="M48" s="45"/>
      <c r="N48" s="45"/>
      <c r="O48" s="45"/>
      <c r="P48" s="45"/>
      <c r="Q48" s="45"/>
      <c r="R48" s="45"/>
      <c r="S48" s="45"/>
      <c r="T48" s="45"/>
      <c r="U48" s="45"/>
      <c r="V48" s="45"/>
      <c r="W48" s="45"/>
      <c r="X48" s="45"/>
      <c r="Y48" s="45"/>
      <c r="Z48" s="45"/>
    </row>
    <row r="49">
      <c r="A49" s="51">
        <v>48.0</v>
      </c>
      <c r="B49" s="47" t="str">
        <f>'Project Stocktaking Template'!B50</f>
        <v>RENOVATION OF CLASSROOM AT NASIB PRIMARY</v>
      </c>
      <c r="C49" s="47" t="str">
        <f>'Project Stocktaking Template'!H50</f>
        <v>GarissaTownship</v>
      </c>
      <c r="D49" s="47" t="str">
        <f>'Project Stocktaking Template'!I50</f>
        <v>Galbet</v>
      </c>
      <c r="E49" s="48" t="str">
        <f>'Project Stocktaking Template'!O50</f>
        <v>1st aug 2023</v>
      </c>
      <c r="F49" s="48" t="str">
        <f>'Project Stocktaking Template'!P50</f>
        <v>30th june 2024</v>
      </c>
      <c r="G49" s="48" t="str">
        <f>'Project Stocktaking Template'!Q50</f>
        <v>30th june 2024</v>
      </c>
      <c r="H49" s="49">
        <f>'Project Stocktaking Template'!R50</f>
        <v>2068332</v>
      </c>
      <c r="I49" s="50" t="str">
        <f>'Project Stocktaking Template'!AD50</f>
        <v>Completed</v>
      </c>
      <c r="J49" s="45"/>
      <c r="K49" s="45"/>
      <c r="L49" s="45"/>
      <c r="M49" s="45"/>
      <c r="N49" s="45"/>
      <c r="O49" s="45"/>
      <c r="P49" s="45"/>
      <c r="Q49" s="45"/>
      <c r="R49" s="45"/>
      <c r="S49" s="45"/>
      <c r="T49" s="45"/>
      <c r="U49" s="45"/>
      <c r="V49" s="45"/>
      <c r="W49" s="45"/>
      <c r="X49" s="45"/>
      <c r="Y49" s="45"/>
      <c r="Z49" s="45"/>
    </row>
    <row r="50">
      <c r="A50" s="46">
        <v>49.0</v>
      </c>
      <c r="B50" s="47" t="str">
        <f>'Project Stocktaking Template'!B51</f>
        <v>RENNOVATION OF ECD CLASSROOM AT DELHELE PRIMARY</v>
      </c>
      <c r="C50" s="47" t="str">
        <f>'Project Stocktaking Template'!H51</f>
        <v>GarissaTownship</v>
      </c>
      <c r="D50" s="47" t="str">
        <f>'Project Stocktaking Template'!I51</f>
        <v>Township</v>
      </c>
      <c r="E50" s="48" t="str">
        <f>'Project Stocktaking Template'!O51</f>
        <v>1st aug 2023</v>
      </c>
      <c r="F50" s="48" t="str">
        <f>'Project Stocktaking Template'!P51</f>
        <v>30th june 2024</v>
      </c>
      <c r="G50" s="48" t="str">
        <f>'Project Stocktaking Template'!Q51</f>
        <v>30th june 2024</v>
      </c>
      <c r="H50" s="49">
        <f>'Project Stocktaking Template'!R51</f>
        <v>2107290</v>
      </c>
      <c r="I50" s="50" t="str">
        <f>'Project Stocktaking Template'!AD51</f>
        <v>Completed</v>
      </c>
      <c r="J50" s="45"/>
      <c r="K50" s="45"/>
      <c r="L50" s="45"/>
      <c r="M50" s="45"/>
      <c r="N50" s="45"/>
      <c r="O50" s="45"/>
      <c r="P50" s="45"/>
      <c r="Q50" s="45"/>
      <c r="R50" s="45"/>
      <c r="S50" s="45"/>
      <c r="T50" s="45"/>
      <c r="U50" s="45"/>
      <c r="V50" s="45"/>
      <c r="W50" s="45"/>
      <c r="X50" s="45"/>
      <c r="Y50" s="45"/>
      <c r="Z50" s="45"/>
    </row>
    <row r="51">
      <c r="A51" s="51">
        <v>50.0</v>
      </c>
      <c r="B51" s="47" t="str">
        <f>'Project Stocktaking Template'!B52</f>
        <v>RENNOVATION AT AHAGAR JAREER DISPENSARY</v>
      </c>
      <c r="C51" s="47" t="str">
        <f>'Project Stocktaking Template'!H52</f>
        <v>Balambala</v>
      </c>
      <c r="D51" s="47" t="str">
        <f>'Project Stocktaking Template'!I52</f>
        <v>Balambala</v>
      </c>
      <c r="E51" s="48" t="str">
        <f>'Project Stocktaking Template'!O52</f>
        <v>1st aug 2023</v>
      </c>
      <c r="F51" s="48" t="str">
        <f>'Project Stocktaking Template'!P52</f>
        <v>30th june 2024</v>
      </c>
      <c r="G51" s="48" t="str">
        <f>'Project Stocktaking Template'!Q52</f>
        <v>30th june 2024</v>
      </c>
      <c r="H51" s="49">
        <f>'Project Stocktaking Template'!R52</f>
        <v>2109465.5</v>
      </c>
      <c r="I51" s="50" t="str">
        <f>'Project Stocktaking Template'!AD52</f>
        <v>Completed</v>
      </c>
      <c r="J51" s="45"/>
      <c r="K51" s="45"/>
      <c r="L51" s="45"/>
      <c r="M51" s="45"/>
      <c r="N51" s="45"/>
      <c r="O51" s="45"/>
      <c r="P51" s="45"/>
      <c r="Q51" s="45"/>
      <c r="R51" s="45"/>
      <c r="S51" s="45"/>
      <c r="T51" s="45"/>
      <c r="U51" s="45"/>
      <c r="V51" s="45"/>
      <c r="W51" s="45"/>
      <c r="X51" s="45"/>
      <c r="Y51" s="45"/>
      <c r="Z51" s="45"/>
    </row>
    <row r="52">
      <c r="A52" s="46">
        <v>51.0</v>
      </c>
      <c r="B52" s="47" t="str">
        <f>'Project Stocktaking Template'!B53</f>
        <v>RENOVATION OF ECD CLASSROOM AT DOLOLO PRIMARY</v>
      </c>
      <c r="C52" s="47" t="str">
        <f>'Project Stocktaking Template'!H53</f>
        <v>Ijara</v>
      </c>
      <c r="D52" s="47" t="str">
        <f>'Project Stocktaking Template'!I53</f>
        <v>Ijara</v>
      </c>
      <c r="E52" s="48" t="str">
        <f>'Project Stocktaking Template'!O53</f>
        <v>1st aug 2023</v>
      </c>
      <c r="F52" s="48" t="str">
        <f>'Project Stocktaking Template'!P53</f>
        <v>30th june 2024</v>
      </c>
      <c r="G52" s="48" t="str">
        <f>'Project Stocktaking Template'!Q53</f>
        <v>30th june 2024</v>
      </c>
      <c r="H52" s="49">
        <f>'Project Stocktaking Template'!R53</f>
        <v>2275250</v>
      </c>
      <c r="I52" s="50" t="str">
        <f>'Project Stocktaking Template'!AD53</f>
        <v>Completed</v>
      </c>
      <c r="J52" s="45"/>
      <c r="K52" s="45"/>
      <c r="L52" s="45"/>
      <c r="M52" s="45"/>
      <c r="N52" s="45"/>
      <c r="O52" s="45"/>
      <c r="P52" s="45"/>
      <c r="Q52" s="45"/>
      <c r="R52" s="45"/>
      <c r="S52" s="45"/>
      <c r="T52" s="45"/>
      <c r="U52" s="45"/>
      <c r="V52" s="45"/>
      <c r="W52" s="45"/>
      <c r="X52" s="45"/>
      <c r="Y52" s="45"/>
      <c r="Z52" s="45"/>
    </row>
    <row r="53">
      <c r="A53" s="51">
        <v>52.0</v>
      </c>
      <c r="B53" s="47" t="str">
        <f>'Project Stocktaking Template'!B54</f>
        <v>RENOVATION OF ECD CLASSROOM AT BULO PRIMARY</v>
      </c>
      <c r="C53" s="47" t="str">
        <f>'Project Stocktaking Template'!H54</f>
        <v>GarissaTownship</v>
      </c>
      <c r="D53" s="47" t="str">
        <f>'Project Stocktaking Template'!I54</f>
        <v>Township</v>
      </c>
      <c r="E53" s="48" t="str">
        <f>'Project Stocktaking Template'!O54</f>
        <v>1st aug 2023</v>
      </c>
      <c r="F53" s="48" t="str">
        <f>'Project Stocktaking Template'!P54</f>
        <v>30th june 2024</v>
      </c>
      <c r="G53" s="48" t="str">
        <f>'Project Stocktaking Template'!Q54</f>
        <v>30th june 2024</v>
      </c>
      <c r="H53" s="49">
        <f>'Project Stocktaking Template'!R54</f>
        <v>2319077</v>
      </c>
      <c r="I53" s="50" t="str">
        <f>'Project Stocktaking Template'!AD54</f>
        <v>Completed</v>
      </c>
      <c r="J53" s="45"/>
      <c r="K53" s="45"/>
      <c r="L53" s="45"/>
      <c r="M53" s="45"/>
      <c r="N53" s="45"/>
      <c r="O53" s="45"/>
      <c r="P53" s="45"/>
      <c r="Q53" s="45"/>
      <c r="R53" s="45"/>
      <c r="S53" s="45"/>
      <c r="T53" s="45"/>
      <c r="U53" s="45"/>
      <c r="V53" s="45"/>
      <c r="W53" s="45"/>
      <c r="X53" s="45"/>
      <c r="Y53" s="45"/>
      <c r="Z53" s="45"/>
    </row>
    <row r="54">
      <c r="A54" s="46">
        <v>53.0</v>
      </c>
      <c r="B54" s="47" t="str">
        <f>'Project Stocktaking Template'!B55</f>
        <v>RENOVATION AT DALHELE DISPENSARY</v>
      </c>
      <c r="C54" s="47" t="str">
        <f>'Project Stocktaking Template'!H55</f>
        <v>GarissaTownship</v>
      </c>
      <c r="D54" s="47" t="str">
        <f>'Project Stocktaking Template'!I55</f>
        <v>Township</v>
      </c>
      <c r="E54" s="48" t="str">
        <f>'Project Stocktaking Template'!O55</f>
        <v>1st aug 2023</v>
      </c>
      <c r="F54" s="48" t="str">
        <f>'Project Stocktaking Template'!P55</f>
        <v>30th june 2024</v>
      </c>
      <c r="G54" s="48" t="str">
        <f>'Project Stocktaking Template'!Q55</f>
        <v>30th june 2024</v>
      </c>
      <c r="H54" s="49">
        <f>'Project Stocktaking Template'!R55</f>
        <v>2466010</v>
      </c>
      <c r="I54" s="50" t="str">
        <f>'Project Stocktaking Template'!AD55</f>
        <v>Completed</v>
      </c>
      <c r="J54" s="45"/>
      <c r="K54" s="45"/>
      <c r="L54" s="45"/>
      <c r="M54" s="45"/>
      <c r="N54" s="45"/>
      <c r="O54" s="45"/>
      <c r="P54" s="45"/>
      <c r="Q54" s="45"/>
      <c r="R54" s="45"/>
      <c r="S54" s="45"/>
      <c r="T54" s="45"/>
      <c r="U54" s="45"/>
      <c r="V54" s="45"/>
      <c r="W54" s="45"/>
      <c r="X54" s="45"/>
      <c r="Y54" s="45"/>
      <c r="Z54" s="45"/>
    </row>
    <row r="55">
      <c r="A55" s="51">
        <v>54.0</v>
      </c>
      <c r="B55" s="47" t="str">
        <f>'Project Stocktaking Template'!B56</f>
        <v>RENOVATION OF ECD AT ELMAAN PRIMARY </v>
      </c>
      <c r="C55" s="47" t="str">
        <f>'Project Stocktaking Template'!H56</f>
        <v>GarissaTownship</v>
      </c>
      <c r="D55" s="47" t="str">
        <f>'Project Stocktaking Template'!I56</f>
        <v>Township</v>
      </c>
      <c r="E55" s="48" t="str">
        <f>'Project Stocktaking Template'!O56</f>
        <v>1st aug 2023</v>
      </c>
      <c r="F55" s="48" t="str">
        <f>'Project Stocktaking Template'!P56</f>
        <v>30th june 2024</v>
      </c>
      <c r="G55" s="48" t="str">
        <f>'Project Stocktaking Template'!Q56</f>
        <v>30th june 2024</v>
      </c>
      <c r="H55" s="49">
        <f>'Project Stocktaking Template'!R56</f>
        <v>2615350</v>
      </c>
      <c r="I55" s="50" t="str">
        <f>'Project Stocktaking Template'!AD56</f>
        <v>Completed</v>
      </c>
      <c r="J55" s="45"/>
      <c r="K55" s="45"/>
      <c r="L55" s="45"/>
      <c r="M55" s="45"/>
      <c r="N55" s="45"/>
      <c r="O55" s="45"/>
      <c r="P55" s="45"/>
      <c r="Q55" s="45"/>
      <c r="R55" s="45"/>
      <c r="S55" s="45"/>
      <c r="T55" s="45"/>
      <c r="U55" s="45"/>
      <c r="V55" s="45"/>
      <c r="W55" s="45"/>
      <c r="X55" s="45"/>
      <c r="Y55" s="45"/>
      <c r="Z55" s="45"/>
    </row>
    <row r="56">
      <c r="A56" s="46">
        <v>55.0</v>
      </c>
      <c r="B56" s="47" t="str">
        <f>'Project Stocktaking Template'!B57</f>
        <v>RENOVATION OF DEPARTMENT OF WORKS OFFICES</v>
      </c>
      <c r="C56" s="47" t="str">
        <f>'Project Stocktaking Template'!H57</f>
        <v>GarissaTownship</v>
      </c>
      <c r="D56" s="47" t="str">
        <f>'Project Stocktaking Template'!I57</f>
        <v>Township</v>
      </c>
      <c r="E56" s="48" t="str">
        <f>'Project Stocktaking Template'!O57</f>
        <v>1st aug 2023</v>
      </c>
      <c r="F56" s="48" t="str">
        <f>'Project Stocktaking Template'!P57</f>
        <v>30th june 2024</v>
      </c>
      <c r="G56" s="48" t="str">
        <f>'Project Stocktaking Template'!Q57</f>
        <v>30th june 2024</v>
      </c>
      <c r="H56" s="49">
        <f>'Project Stocktaking Template'!R57</f>
        <v>2932489</v>
      </c>
      <c r="I56" s="50" t="str">
        <f>'Project Stocktaking Template'!AD57</f>
        <v>Completed</v>
      </c>
      <c r="J56" s="45"/>
      <c r="K56" s="45"/>
      <c r="L56" s="45"/>
      <c r="M56" s="45"/>
      <c r="N56" s="45"/>
      <c r="O56" s="45"/>
      <c r="P56" s="45"/>
      <c r="Q56" s="45"/>
      <c r="R56" s="45"/>
      <c r="S56" s="45"/>
      <c r="T56" s="45"/>
      <c r="U56" s="45"/>
      <c r="V56" s="45"/>
      <c r="W56" s="45"/>
      <c r="X56" s="45"/>
      <c r="Y56" s="45"/>
      <c r="Z56" s="45"/>
    </row>
    <row r="57">
      <c r="A57" s="51">
        <v>56.0</v>
      </c>
      <c r="B57" s="47" t="str">
        <f>'Project Stocktaking Template'!B58</f>
        <v>OPENING OF INLET AT DAMAJALEY ABAQ 11 WATER PAN</v>
      </c>
      <c r="C57" s="47" t="str">
        <f>'Project Stocktaking Template'!H58</f>
        <v>Dadaab</v>
      </c>
      <c r="D57" s="47" t="str">
        <f>'Project Stocktaking Template'!I58</f>
        <v>Damajale</v>
      </c>
      <c r="E57" s="48" t="str">
        <f>'Project Stocktaking Template'!O58</f>
        <v>1st aug 2023</v>
      </c>
      <c r="F57" s="48" t="str">
        <f>'Project Stocktaking Template'!P58</f>
        <v>30th june 2024</v>
      </c>
      <c r="G57" s="48" t="str">
        <f>'Project Stocktaking Template'!Q58</f>
        <v>30th june 2024</v>
      </c>
      <c r="H57" s="49">
        <f>'Project Stocktaking Template'!R58</f>
        <v>4181361</v>
      </c>
      <c r="I57" s="50" t="str">
        <f>'Project Stocktaking Template'!AD58</f>
        <v>Completed</v>
      </c>
      <c r="J57" s="45"/>
      <c r="K57" s="45"/>
      <c r="L57" s="45"/>
      <c r="M57" s="45"/>
      <c r="N57" s="45"/>
      <c r="O57" s="45"/>
      <c r="P57" s="45"/>
      <c r="Q57" s="45"/>
      <c r="R57" s="45"/>
      <c r="S57" s="45"/>
      <c r="T57" s="45"/>
      <c r="U57" s="45"/>
      <c r="V57" s="45"/>
      <c r="W57" s="45"/>
      <c r="X57" s="45"/>
      <c r="Y57" s="45"/>
      <c r="Z57" s="45"/>
    </row>
    <row r="58">
      <c r="A58" s="46">
        <v>57.0</v>
      </c>
      <c r="B58" s="47" t="str">
        <f>'Project Stocktaking Template'!B59</f>
        <v>RENOVATION OF ECD AT DAHIR PRIMARY SCHOOL</v>
      </c>
      <c r="C58" s="47" t="str">
        <f>'Project Stocktaking Template'!H59</f>
        <v>Ijara</v>
      </c>
      <c r="D58" s="47" t="str">
        <f>'Project Stocktaking Template'!I59</f>
        <v>Ijara</v>
      </c>
      <c r="E58" s="48" t="str">
        <f>'Project Stocktaking Template'!O59</f>
        <v>1st aug 2023</v>
      </c>
      <c r="F58" s="48" t="str">
        <f>'Project Stocktaking Template'!P59</f>
        <v>30th june 2024</v>
      </c>
      <c r="G58" s="48" t="str">
        <f>'Project Stocktaking Template'!Q59</f>
        <v>30th june 2024</v>
      </c>
      <c r="H58" s="49">
        <f>'Project Stocktaking Template'!R59</f>
        <v>4453071</v>
      </c>
      <c r="I58" s="50" t="str">
        <f>'Project Stocktaking Template'!AD59</f>
        <v>Completed</v>
      </c>
      <c r="J58" s="45"/>
      <c r="K58" s="45"/>
      <c r="L58" s="45"/>
      <c r="M58" s="45"/>
      <c r="N58" s="45"/>
      <c r="O58" s="45"/>
      <c r="P58" s="45"/>
      <c r="Q58" s="45"/>
      <c r="R58" s="45"/>
      <c r="S58" s="45"/>
      <c r="T58" s="45"/>
      <c r="U58" s="45"/>
      <c r="V58" s="45"/>
      <c r="W58" s="45"/>
      <c r="X58" s="45"/>
      <c r="Y58" s="45"/>
      <c r="Z58" s="45"/>
    </row>
    <row r="59">
      <c r="A59" s="51">
        <v>58.0</v>
      </c>
      <c r="B59" s="47" t="str">
        <f>'Project Stocktaking Template'!B60</f>
        <v>RENOVATION AND REPAIR OF DCC OFFICES</v>
      </c>
      <c r="C59" s="47" t="str">
        <f>'Project Stocktaking Template'!H60</f>
        <v>Dadaab</v>
      </c>
      <c r="D59" s="47" t="str">
        <f>'Project Stocktaking Template'!I60</f>
        <v/>
      </c>
      <c r="E59" s="48" t="str">
        <f>'Project Stocktaking Template'!O60</f>
        <v>1st aug 2023</v>
      </c>
      <c r="F59" s="48" t="str">
        <f>'Project Stocktaking Template'!P60</f>
        <v>30th june 2024</v>
      </c>
      <c r="G59" s="48" t="str">
        <f>'Project Stocktaking Template'!Q60</f>
        <v>30th june 2024</v>
      </c>
      <c r="H59" s="49">
        <f>'Project Stocktaking Template'!R60</f>
        <v>4504130</v>
      </c>
      <c r="I59" s="50" t="str">
        <f>'Project Stocktaking Template'!AD60</f>
        <v>Completed</v>
      </c>
      <c r="J59" s="45"/>
      <c r="K59" s="45"/>
      <c r="L59" s="45"/>
      <c r="M59" s="45"/>
      <c r="N59" s="45"/>
      <c r="O59" s="45"/>
      <c r="P59" s="45"/>
      <c r="Q59" s="45"/>
      <c r="R59" s="45"/>
      <c r="S59" s="45"/>
      <c r="T59" s="45"/>
      <c r="U59" s="45"/>
      <c r="V59" s="45"/>
      <c r="W59" s="45"/>
      <c r="X59" s="45"/>
      <c r="Y59" s="45"/>
      <c r="Z59" s="45"/>
    </row>
    <row r="60">
      <c r="A60" s="46">
        <v>59.0</v>
      </c>
      <c r="B60" s="47" t="str">
        <f>'Project Stocktaking Template'!B61</f>
        <v>RENOVATION AND EXPANSION OF EYE UNIT AT GARISSA REFERAL</v>
      </c>
      <c r="C60" s="47" t="str">
        <f>'Project Stocktaking Template'!H61</f>
        <v>GarissaTownship</v>
      </c>
      <c r="D60" s="47" t="str">
        <f>'Project Stocktaking Template'!I61</f>
        <v>Township</v>
      </c>
      <c r="E60" s="48" t="str">
        <f>'Project Stocktaking Template'!O61</f>
        <v>1st aug 2023</v>
      </c>
      <c r="F60" s="48" t="str">
        <f>'Project Stocktaking Template'!P61</f>
        <v>30th june 2024</v>
      </c>
      <c r="G60" s="48" t="str">
        <f>'Project Stocktaking Template'!Q61</f>
        <v>30th june 2024</v>
      </c>
      <c r="H60" s="49">
        <f>'Project Stocktaking Template'!R61</f>
        <v>9405000</v>
      </c>
      <c r="I60" s="50" t="str">
        <f>'Project Stocktaking Template'!AD61</f>
        <v>Completed</v>
      </c>
      <c r="J60" s="45"/>
      <c r="K60" s="45"/>
      <c r="L60" s="45"/>
      <c r="M60" s="45"/>
      <c r="N60" s="45"/>
      <c r="O60" s="45"/>
      <c r="P60" s="45"/>
      <c r="Q60" s="45"/>
      <c r="R60" s="45"/>
      <c r="S60" s="45"/>
      <c r="T60" s="45"/>
      <c r="U60" s="45"/>
      <c r="V60" s="45"/>
      <c r="W60" s="45"/>
      <c r="X60" s="45"/>
      <c r="Y60" s="45"/>
      <c r="Z60" s="45"/>
    </row>
    <row r="61">
      <c r="A61" s="51">
        <v>60.0</v>
      </c>
      <c r="B61" s="47" t="str">
        <f>'Project Stocktaking Template'!B62</f>
        <v>EXTENSION OF QONE MODOGASHE PIPELINE</v>
      </c>
      <c r="C61" s="47" t="str">
        <f>'Project Stocktaking Template'!H62</f>
        <v>Lagdera</v>
      </c>
      <c r="D61" s="47" t="str">
        <f>'Project Stocktaking Template'!I62</f>
        <v>Modogashe</v>
      </c>
      <c r="E61" s="48" t="str">
        <f>'Project Stocktaking Template'!O62</f>
        <v>1st aug 2023</v>
      </c>
      <c r="F61" s="48" t="str">
        <f>'Project Stocktaking Template'!P62</f>
        <v>30th june 2024</v>
      </c>
      <c r="G61" s="48" t="str">
        <f>'Project Stocktaking Template'!Q62</f>
        <v>30th june 2024</v>
      </c>
      <c r="H61" s="49">
        <f>'Project Stocktaking Template'!R62</f>
        <v>40116153.3</v>
      </c>
      <c r="I61" s="50" t="str">
        <f>'Project Stocktaking Template'!AD62</f>
        <v>Completed</v>
      </c>
      <c r="J61" s="45"/>
      <c r="K61" s="45"/>
      <c r="L61" s="45"/>
      <c r="M61" s="45"/>
      <c r="N61" s="45"/>
      <c r="O61" s="45"/>
      <c r="P61" s="45"/>
      <c r="Q61" s="45"/>
      <c r="R61" s="45"/>
      <c r="S61" s="45"/>
      <c r="T61" s="45"/>
      <c r="U61" s="45"/>
      <c r="V61" s="45"/>
      <c r="W61" s="45"/>
      <c r="X61" s="45"/>
      <c r="Y61" s="45"/>
      <c r="Z61" s="45"/>
    </row>
    <row r="62">
      <c r="A62" s="46">
        <v>61.0</v>
      </c>
      <c r="B62" s="47" t="str">
        <f>'Project Stocktaking Template'!B63</f>
        <v>EXTENSION OF PIPELINE IN BALAMBALA</v>
      </c>
      <c r="C62" s="47" t="str">
        <f>'Project Stocktaking Template'!H63</f>
        <v>Balambala</v>
      </c>
      <c r="D62" s="47" t="str">
        <f>'Project Stocktaking Template'!I63</f>
        <v>Balambala</v>
      </c>
      <c r="E62" s="48" t="str">
        <f>'Project Stocktaking Template'!O63</f>
        <v>1st aug 2023</v>
      </c>
      <c r="F62" s="48" t="str">
        <f>'Project Stocktaking Template'!P63</f>
        <v>30th june 2024</v>
      </c>
      <c r="G62" s="48" t="str">
        <f>'Project Stocktaking Template'!Q63</f>
        <v>30th june 2024</v>
      </c>
      <c r="H62" s="49">
        <f>'Project Stocktaking Template'!R63</f>
        <v>4223700</v>
      </c>
      <c r="I62" s="50" t="str">
        <f>'Project Stocktaking Template'!AD63</f>
        <v>Completed</v>
      </c>
      <c r="J62" s="45"/>
      <c r="K62" s="45"/>
      <c r="L62" s="45"/>
      <c r="M62" s="45"/>
      <c r="N62" s="45"/>
      <c r="O62" s="45"/>
      <c r="P62" s="45"/>
      <c r="Q62" s="45"/>
      <c r="R62" s="45"/>
      <c r="S62" s="45"/>
      <c r="T62" s="45"/>
      <c r="U62" s="45"/>
      <c r="V62" s="45"/>
      <c r="W62" s="45"/>
      <c r="X62" s="45"/>
      <c r="Y62" s="45"/>
      <c r="Z62" s="45"/>
    </row>
    <row r="63">
      <c r="A63" s="51">
        <v>62.0</v>
      </c>
      <c r="B63" s="47" t="str">
        <f>'Project Stocktaking Template'!B64</f>
        <v>RENNOVATION OF CED CLASSROOM AT BOYSTOWN PRIMARY</v>
      </c>
      <c r="C63" s="47" t="str">
        <f>'Project Stocktaking Template'!H64</f>
        <v>GarissaTownship</v>
      </c>
      <c r="D63" s="47" t="str">
        <f>'Project Stocktaking Template'!I64</f>
        <v>Township</v>
      </c>
      <c r="E63" s="48" t="str">
        <f>'Project Stocktaking Template'!O64</f>
        <v>1st aug 2023</v>
      </c>
      <c r="F63" s="48" t="str">
        <f>'Project Stocktaking Template'!P64</f>
        <v>30th june 2024</v>
      </c>
      <c r="G63" s="48" t="str">
        <f>'Project Stocktaking Template'!Q64</f>
        <v>30th june 2024</v>
      </c>
      <c r="H63" s="49">
        <f>'Project Stocktaking Template'!R64</f>
        <v>2100000</v>
      </c>
      <c r="I63" s="50" t="str">
        <f>'Project Stocktaking Template'!AD64</f>
        <v>Completed</v>
      </c>
      <c r="J63" s="45"/>
      <c r="K63" s="45"/>
      <c r="L63" s="45"/>
      <c r="M63" s="45"/>
      <c r="N63" s="45"/>
      <c r="O63" s="45"/>
      <c r="P63" s="45"/>
      <c r="Q63" s="45"/>
      <c r="R63" s="45"/>
      <c r="S63" s="45"/>
      <c r="T63" s="45"/>
      <c r="U63" s="45"/>
      <c r="V63" s="45"/>
      <c r="W63" s="45"/>
      <c r="X63" s="45"/>
      <c r="Y63" s="45"/>
      <c r="Z63" s="45"/>
    </row>
    <row r="64">
      <c r="A64" s="46">
        <v>63.0</v>
      </c>
      <c r="B64" s="47" t="str">
        <f>'Project Stocktaking Template'!B65</f>
        <v>RENOVATION OF GENRAL WARD OUTPATIENT AT HULUGHO CENTRE</v>
      </c>
      <c r="C64" s="47" t="str">
        <f>'Project Stocktaking Template'!H65</f>
        <v>Ijara</v>
      </c>
      <c r="D64" s="47" t="str">
        <f>'Project Stocktaking Template'!I65</f>
        <v>Hulugho</v>
      </c>
      <c r="E64" s="48" t="str">
        <f>'Project Stocktaking Template'!O65</f>
        <v>1st aug 2023</v>
      </c>
      <c r="F64" s="48" t="str">
        <f>'Project Stocktaking Template'!P65</f>
        <v>30th june 2024</v>
      </c>
      <c r="G64" s="48" t="str">
        <f>'Project Stocktaking Template'!Q65</f>
        <v>30th june 2024</v>
      </c>
      <c r="H64" s="49">
        <f>'Project Stocktaking Template'!R65</f>
        <v>1250375</v>
      </c>
      <c r="I64" s="50" t="str">
        <f>'Project Stocktaking Template'!AD65</f>
        <v>Completed</v>
      </c>
      <c r="J64" s="45"/>
      <c r="K64" s="45"/>
      <c r="L64" s="45"/>
      <c r="M64" s="45"/>
      <c r="N64" s="45"/>
      <c r="O64" s="45"/>
      <c r="P64" s="45"/>
      <c r="Q64" s="45"/>
      <c r="R64" s="45"/>
      <c r="S64" s="45"/>
      <c r="T64" s="45"/>
      <c r="U64" s="45"/>
      <c r="V64" s="45"/>
      <c r="W64" s="45"/>
      <c r="X64" s="45"/>
      <c r="Y64" s="45"/>
      <c r="Z64" s="45"/>
    </row>
    <row r="65">
      <c r="A65" s="51">
        <v>64.0</v>
      </c>
      <c r="B65" s="47" t="str">
        <f>'Project Stocktaking Template'!B66</f>
        <v>RENOVATION OF MARE DISPENSARY</v>
      </c>
      <c r="C65" s="47" t="str">
        <f>'Project Stocktaking Template'!H66</f>
        <v>GarissaTownship</v>
      </c>
      <c r="D65" s="47" t="str">
        <f>'Project Stocktaking Template'!I66</f>
        <v>Township</v>
      </c>
      <c r="E65" s="48" t="str">
        <f>'Project Stocktaking Template'!O66</f>
        <v>1st aug 2023</v>
      </c>
      <c r="F65" s="48" t="str">
        <f>'Project Stocktaking Template'!P66</f>
        <v>30th june 2024</v>
      </c>
      <c r="G65" s="48" t="str">
        <f>'Project Stocktaking Template'!Q66</f>
        <v>30th june 2024</v>
      </c>
      <c r="H65" s="49">
        <f>'Project Stocktaking Template'!R66</f>
        <v>2185608</v>
      </c>
      <c r="I65" s="50" t="str">
        <f>'Project Stocktaking Template'!AD66</f>
        <v>Completed</v>
      </c>
      <c r="J65" s="45"/>
      <c r="K65" s="45"/>
      <c r="L65" s="45"/>
      <c r="M65" s="45"/>
      <c r="N65" s="45"/>
      <c r="O65" s="45"/>
      <c r="P65" s="45"/>
      <c r="Q65" s="45"/>
      <c r="R65" s="45"/>
      <c r="S65" s="45"/>
      <c r="T65" s="45"/>
      <c r="U65" s="45"/>
      <c r="V65" s="45"/>
      <c r="W65" s="45"/>
      <c r="X65" s="45"/>
      <c r="Y65" s="45"/>
      <c r="Z65" s="45"/>
    </row>
    <row r="66">
      <c r="A66" s="46">
        <v>65.0</v>
      </c>
      <c r="B66" s="47" t="str">
        <f>'Project Stocktaking Template'!B67</f>
        <v>RENOVATION OF ECD CLASSROOM AT EGE IJARA SUB COUNTY</v>
      </c>
      <c r="C66" s="47" t="str">
        <f>'Project Stocktaking Template'!H67</f>
        <v>Ijara</v>
      </c>
      <c r="D66" s="47" t="str">
        <f>'Project Stocktaking Template'!I67</f>
        <v>Ijara</v>
      </c>
      <c r="E66" s="48" t="str">
        <f>'Project Stocktaking Template'!O67</f>
        <v>1st aug 2023</v>
      </c>
      <c r="F66" s="48" t="str">
        <f>'Project Stocktaking Template'!P67</f>
        <v>30th june 2024</v>
      </c>
      <c r="G66" s="48" t="str">
        <f>'Project Stocktaking Template'!Q67</f>
        <v>30th june 2024</v>
      </c>
      <c r="H66" s="49">
        <f>'Project Stocktaking Template'!R67</f>
        <v>2349784</v>
      </c>
      <c r="I66" s="50" t="str">
        <f>'Project Stocktaking Template'!AD67</f>
        <v>Completed</v>
      </c>
      <c r="J66" s="45"/>
      <c r="K66" s="45"/>
      <c r="L66" s="45"/>
      <c r="M66" s="45"/>
      <c r="N66" s="45"/>
      <c r="O66" s="45"/>
      <c r="P66" s="45"/>
      <c r="Q66" s="45"/>
      <c r="R66" s="45"/>
      <c r="S66" s="45"/>
      <c r="T66" s="45"/>
      <c r="U66" s="45"/>
      <c r="V66" s="45"/>
      <c r="W66" s="45"/>
      <c r="X66" s="45"/>
      <c r="Y66" s="45"/>
      <c r="Z66" s="45"/>
    </row>
    <row r="67">
      <c r="A67" s="51">
        <v>66.0</v>
      </c>
      <c r="B67" s="47" t="str">
        <f>'Project Stocktaking Template'!B68</f>
        <v>RENOVATION OF MODOGASHE HOSPITAL KICTCHEN</v>
      </c>
      <c r="C67" s="47" t="str">
        <f>'Project Stocktaking Template'!H68</f>
        <v>Lagdera</v>
      </c>
      <c r="D67" s="47" t="str">
        <f>'Project Stocktaking Template'!I68</f>
        <v>Modogashe</v>
      </c>
      <c r="E67" s="48" t="str">
        <f>'Project Stocktaking Template'!O68</f>
        <v>1st aug 2023</v>
      </c>
      <c r="F67" s="48" t="str">
        <f>'Project Stocktaking Template'!P68</f>
        <v>30th june 2024</v>
      </c>
      <c r="G67" s="48" t="str">
        <f>'Project Stocktaking Template'!Q68</f>
        <v>30th june 2024</v>
      </c>
      <c r="H67" s="49">
        <f>'Project Stocktaking Template'!R68</f>
        <v>5997193</v>
      </c>
      <c r="I67" s="50" t="str">
        <f>'Project Stocktaking Template'!AD68</f>
        <v>Completed</v>
      </c>
      <c r="J67" s="45"/>
      <c r="K67" s="45"/>
      <c r="L67" s="45"/>
      <c r="M67" s="45"/>
      <c r="N67" s="45"/>
      <c r="O67" s="45"/>
      <c r="P67" s="45"/>
      <c r="Q67" s="45"/>
      <c r="R67" s="45"/>
      <c r="S67" s="45"/>
      <c r="T67" s="45"/>
      <c r="U67" s="45"/>
      <c r="V67" s="45"/>
      <c r="W67" s="45"/>
      <c r="X67" s="45"/>
      <c r="Y67" s="45"/>
      <c r="Z67" s="45"/>
    </row>
    <row r="68">
      <c r="A68" s="46">
        <v>67.0</v>
      </c>
      <c r="B68" s="47" t="str">
        <f>'Project Stocktaking Template'!B69</f>
        <v>RENNOVATION OF JILANGO DISPENSARY</v>
      </c>
      <c r="C68" s="47" t="str">
        <f>'Project Stocktaking Template'!H69</f>
        <v>Lagdera</v>
      </c>
      <c r="D68" s="47" t="str">
        <f>'Project Stocktaking Template'!I69</f>
        <v>Maalimin</v>
      </c>
      <c r="E68" s="48" t="str">
        <f>'Project Stocktaking Template'!O69</f>
        <v>1st aug 2023</v>
      </c>
      <c r="F68" s="48" t="str">
        <f>'Project Stocktaking Template'!P69</f>
        <v>30th june 2024</v>
      </c>
      <c r="G68" s="48" t="str">
        <f>'Project Stocktaking Template'!Q69</f>
        <v>30th june 2024</v>
      </c>
      <c r="H68" s="49">
        <f>'Project Stocktaking Template'!R69</f>
        <v>2852546</v>
      </c>
      <c r="I68" s="50" t="str">
        <f>'Project Stocktaking Template'!AD69</f>
        <v>Completed</v>
      </c>
      <c r="J68" s="45"/>
      <c r="K68" s="45"/>
      <c r="L68" s="45"/>
      <c r="M68" s="45"/>
      <c r="N68" s="45"/>
      <c r="O68" s="45"/>
      <c r="P68" s="45"/>
      <c r="Q68" s="45"/>
      <c r="R68" s="45"/>
      <c r="S68" s="45"/>
      <c r="T68" s="45"/>
      <c r="U68" s="45"/>
      <c r="V68" s="45"/>
      <c r="W68" s="45"/>
      <c r="X68" s="45"/>
      <c r="Y68" s="45"/>
      <c r="Z68" s="45"/>
    </row>
    <row r="69">
      <c r="A69" s="51">
        <v>68.0</v>
      </c>
      <c r="B69" s="47" t="str">
        <f>'Project Stocktaking Template'!B70</f>
        <v>RENOVATION OF KULAN DISPENSARY</v>
      </c>
      <c r="C69" s="47" t="str">
        <f>'Project Stocktaking Template'!H70</f>
        <v>Dadaab</v>
      </c>
      <c r="D69" s="47" t="str">
        <f>'Project Stocktaking Template'!I70</f>
        <v>Liboi</v>
      </c>
      <c r="E69" s="48" t="str">
        <f>'Project Stocktaking Template'!O70</f>
        <v>1st aug 2023</v>
      </c>
      <c r="F69" s="48" t="str">
        <f>'Project Stocktaking Template'!P70</f>
        <v>30th june 2024</v>
      </c>
      <c r="G69" s="48" t="str">
        <f>'Project Stocktaking Template'!Q70</f>
        <v>30th june 2024</v>
      </c>
      <c r="H69" s="49">
        <f>'Project Stocktaking Template'!R70</f>
        <v>5969764.2</v>
      </c>
      <c r="I69" s="50" t="str">
        <f>'Project Stocktaking Template'!AD70</f>
        <v>Completed</v>
      </c>
      <c r="J69" s="45"/>
      <c r="K69" s="45"/>
      <c r="L69" s="45"/>
      <c r="M69" s="45"/>
      <c r="N69" s="45"/>
      <c r="O69" s="45"/>
      <c r="P69" s="45"/>
      <c r="Q69" s="45"/>
      <c r="R69" s="45"/>
      <c r="S69" s="45"/>
      <c r="T69" s="45"/>
      <c r="U69" s="45"/>
      <c r="V69" s="45"/>
      <c r="W69" s="45"/>
      <c r="X69" s="45"/>
      <c r="Y69" s="45"/>
      <c r="Z69" s="45"/>
    </row>
    <row r="70">
      <c r="A70" s="46">
        <v>69.0</v>
      </c>
      <c r="B70" s="47" t="str">
        <f>'Project Stocktaking Template'!B71</f>
        <v>RENOVATION OF SHANTABAQ DISPENSARY</v>
      </c>
      <c r="C70" s="47" t="str">
        <f>'Project Stocktaking Template'!H71</f>
        <v>Lagdera</v>
      </c>
      <c r="D70" s="47" t="str">
        <f>'Project Stocktaking Template'!I71</f>
        <v>Modogashe</v>
      </c>
      <c r="E70" s="48" t="str">
        <f>'Project Stocktaking Template'!O71</f>
        <v>1st aug 2023</v>
      </c>
      <c r="F70" s="48" t="str">
        <f>'Project Stocktaking Template'!P71</f>
        <v>30th june 2024</v>
      </c>
      <c r="G70" s="48" t="str">
        <f>'Project Stocktaking Template'!Q71</f>
        <v>30th june 2024</v>
      </c>
      <c r="H70" s="49">
        <f>'Project Stocktaking Template'!R71</f>
        <v>4000000</v>
      </c>
      <c r="I70" s="50" t="str">
        <f>'Project Stocktaking Template'!AD71</f>
        <v>Completed</v>
      </c>
      <c r="J70" s="45"/>
      <c r="K70" s="45"/>
      <c r="L70" s="45"/>
      <c r="M70" s="45"/>
      <c r="N70" s="45"/>
      <c r="O70" s="45"/>
      <c r="P70" s="45"/>
      <c r="Q70" s="45"/>
      <c r="R70" s="45"/>
      <c r="S70" s="45"/>
      <c r="T70" s="45"/>
      <c r="U70" s="45"/>
      <c r="V70" s="45"/>
      <c r="W70" s="45"/>
      <c r="X70" s="45"/>
      <c r="Y70" s="45"/>
      <c r="Z70" s="45"/>
    </row>
    <row r="71">
      <c r="A71" s="51">
        <v>70.0</v>
      </c>
      <c r="B71" s="47" t="str">
        <f>'Project Stocktaking Template'!B72</f>
        <v>REHABILITATION OF ABDI SUGOW BOREHOLE</v>
      </c>
      <c r="C71" s="47" t="str">
        <f>'Project Stocktaking Template'!H72</f>
        <v>Fafi</v>
      </c>
      <c r="D71" s="47" t="str">
        <f>'Project Stocktaking Template'!I72</f>
        <v>Fafi</v>
      </c>
      <c r="E71" s="48" t="str">
        <f>'Project Stocktaking Template'!O72</f>
        <v>1st aug 2023</v>
      </c>
      <c r="F71" s="48" t="str">
        <f>'Project Stocktaking Template'!P72</f>
        <v>30th june 2024</v>
      </c>
      <c r="G71" s="48" t="str">
        <f>'Project Stocktaking Template'!Q72</f>
        <v>30th june 2024</v>
      </c>
      <c r="H71" s="49">
        <f>'Project Stocktaking Template'!R72</f>
        <v>4735557.15</v>
      </c>
      <c r="I71" s="50" t="str">
        <f>'Project Stocktaking Template'!AD72</f>
        <v>Completed</v>
      </c>
      <c r="J71" s="45"/>
      <c r="K71" s="45"/>
      <c r="L71" s="45"/>
      <c r="M71" s="45"/>
      <c r="N71" s="45"/>
      <c r="O71" s="45"/>
      <c r="P71" s="45"/>
      <c r="Q71" s="45"/>
      <c r="R71" s="45"/>
      <c r="S71" s="45"/>
      <c r="T71" s="45"/>
      <c r="U71" s="45"/>
      <c r="V71" s="45"/>
      <c r="W71" s="45"/>
      <c r="X71" s="45"/>
      <c r="Y71" s="45"/>
      <c r="Z71" s="45"/>
    </row>
    <row r="72">
      <c r="A72" s="46">
        <v>71.0</v>
      </c>
      <c r="B72" s="47" t="str">
        <f>'Project Stocktaking Template'!B73</f>
        <v>RENOVATION OF ECONOMIC PLANNING OFFICE</v>
      </c>
      <c r="C72" s="47" t="str">
        <f>'Project Stocktaking Template'!H73</f>
        <v>Lagdera</v>
      </c>
      <c r="D72" s="47" t="str">
        <f>'Project Stocktaking Template'!I73</f>
        <v>Modogashe</v>
      </c>
      <c r="E72" s="48" t="str">
        <f>'Project Stocktaking Template'!O73</f>
        <v>1st aug 2023</v>
      </c>
      <c r="F72" s="48" t="str">
        <f>'Project Stocktaking Template'!P73</f>
        <v>30th june 2024</v>
      </c>
      <c r="G72" s="48" t="str">
        <f>'Project Stocktaking Template'!Q73</f>
        <v>30th june 2024</v>
      </c>
      <c r="H72" s="49">
        <f>'Project Stocktaking Template'!R73</f>
        <v>4436365</v>
      </c>
      <c r="I72" s="50" t="str">
        <f>'Project Stocktaking Template'!AD73</f>
        <v>Completed</v>
      </c>
      <c r="J72" s="45"/>
      <c r="K72" s="45"/>
      <c r="L72" s="45"/>
      <c r="M72" s="45"/>
      <c r="N72" s="45"/>
      <c r="O72" s="45"/>
      <c r="P72" s="45"/>
      <c r="Q72" s="45"/>
      <c r="R72" s="45"/>
      <c r="S72" s="45"/>
      <c r="T72" s="45"/>
      <c r="U72" s="45"/>
      <c r="V72" s="45"/>
      <c r="W72" s="45"/>
      <c r="X72" s="45"/>
      <c r="Y72" s="45"/>
      <c r="Z72" s="45"/>
    </row>
    <row r="73">
      <c r="A73" s="51">
        <v>72.0</v>
      </c>
      <c r="B73" s="47" t="str">
        <f>'Project Stocktaking Template'!B74</f>
        <v>RENOVATION OF REVENUE MAIN OFFICES</v>
      </c>
      <c r="C73" s="47" t="str">
        <f>'Project Stocktaking Template'!H74</f>
        <v>GarissaTownship</v>
      </c>
      <c r="D73" s="47" t="str">
        <f>'Project Stocktaking Template'!I74</f>
        <v>Township</v>
      </c>
      <c r="E73" s="48" t="str">
        <f>'Project Stocktaking Template'!O74</f>
        <v>1st aug 2023</v>
      </c>
      <c r="F73" s="48" t="str">
        <f>'Project Stocktaking Template'!P74</f>
        <v>30th june 2024</v>
      </c>
      <c r="G73" s="48" t="str">
        <f>'Project Stocktaking Template'!Q74</f>
        <v>30th june 2024</v>
      </c>
      <c r="H73" s="49">
        <f>'Project Stocktaking Template'!R74</f>
        <v>1354419.75</v>
      </c>
      <c r="I73" s="50" t="str">
        <f>'Project Stocktaking Template'!AD74</f>
        <v>Completed</v>
      </c>
      <c r="J73" s="45"/>
      <c r="K73" s="45"/>
      <c r="L73" s="45"/>
      <c r="M73" s="45"/>
      <c r="N73" s="45"/>
      <c r="O73" s="45"/>
      <c r="P73" s="45"/>
      <c r="Q73" s="45"/>
      <c r="R73" s="45"/>
      <c r="S73" s="45"/>
      <c r="T73" s="45"/>
      <c r="U73" s="45"/>
      <c r="V73" s="45"/>
      <c r="W73" s="45"/>
      <c r="X73" s="45"/>
      <c r="Y73" s="45"/>
      <c r="Z73" s="45"/>
    </row>
    <row r="74">
      <c r="A74" s="46">
        <v>73.0</v>
      </c>
      <c r="B74" s="47" t="str">
        <f>'Project Stocktaking Template'!B75</f>
        <v>RENOVATION OF ECD CLASSROOMS</v>
      </c>
      <c r="C74" s="47" t="str">
        <f>'Project Stocktaking Template'!H75</f>
        <v>GarissaTownship</v>
      </c>
      <c r="D74" s="47" t="str">
        <f>'Project Stocktaking Template'!I75</f>
        <v>Township</v>
      </c>
      <c r="E74" s="48" t="str">
        <f>'Project Stocktaking Template'!O75</f>
        <v>1st aug 2023</v>
      </c>
      <c r="F74" s="48" t="str">
        <f>'Project Stocktaking Template'!P75</f>
        <v>30th june 2024</v>
      </c>
      <c r="G74" s="48" t="str">
        <f>'Project Stocktaking Template'!Q75</f>
        <v>30th june 2024</v>
      </c>
      <c r="H74" s="49">
        <f>'Project Stocktaking Template'!R75</f>
        <v>1500000</v>
      </c>
      <c r="I74" s="50" t="str">
        <f>'Project Stocktaking Template'!AD75</f>
        <v>Completed</v>
      </c>
      <c r="J74" s="45"/>
      <c r="K74" s="45"/>
      <c r="L74" s="45"/>
      <c r="M74" s="45"/>
      <c r="N74" s="45"/>
      <c r="O74" s="45"/>
      <c r="P74" s="45"/>
      <c r="Q74" s="45"/>
      <c r="R74" s="45"/>
      <c r="S74" s="45"/>
      <c r="T74" s="45"/>
      <c r="U74" s="45"/>
      <c r="V74" s="45"/>
      <c r="W74" s="45"/>
      <c r="X74" s="45"/>
      <c r="Y74" s="45"/>
      <c r="Z74" s="45"/>
    </row>
    <row r="75">
      <c r="A75" s="51">
        <v>74.0</v>
      </c>
      <c r="B75" s="47" t="str">
        <f>'Project Stocktaking Template'!B76</f>
        <v>RENOVATION OF ECD CLASSROOM AT KASHA PRIMARY</v>
      </c>
      <c r="C75" s="47" t="str">
        <f>'Project Stocktaking Template'!H76</f>
        <v>Balambala</v>
      </c>
      <c r="D75" s="47" t="str">
        <f>'Project Stocktaking Template'!I76</f>
        <v>Saka</v>
      </c>
      <c r="E75" s="48" t="str">
        <f>'Project Stocktaking Template'!O76</f>
        <v>1st aug 2023</v>
      </c>
      <c r="F75" s="48" t="str">
        <f>'Project Stocktaking Template'!P76</f>
        <v>30th june 2024</v>
      </c>
      <c r="G75" s="48" t="str">
        <f>'Project Stocktaking Template'!Q76</f>
        <v>30th june 2024</v>
      </c>
      <c r="H75" s="49">
        <f>'Project Stocktaking Template'!R76</f>
        <v>2048770</v>
      </c>
      <c r="I75" s="50" t="str">
        <f>'Project Stocktaking Template'!AD76</f>
        <v>Completed</v>
      </c>
      <c r="J75" s="45"/>
      <c r="K75" s="45"/>
      <c r="L75" s="45"/>
      <c r="M75" s="45"/>
      <c r="N75" s="45"/>
      <c r="O75" s="45"/>
      <c r="P75" s="45"/>
      <c r="Q75" s="45"/>
      <c r="R75" s="45"/>
      <c r="S75" s="45"/>
      <c r="T75" s="45"/>
      <c r="U75" s="45"/>
      <c r="V75" s="45"/>
      <c r="W75" s="45"/>
      <c r="X75" s="45"/>
      <c r="Y75" s="45"/>
      <c r="Z75" s="45"/>
    </row>
    <row r="76">
      <c r="A76" s="46">
        <v>75.0</v>
      </c>
      <c r="B76" s="47" t="str">
        <f>'Project Stocktaking Template'!B77</f>
        <v>RENOVATION DALEY DISPENSARY</v>
      </c>
      <c r="C76" s="47" t="str">
        <f>'Project Stocktaking Template'!H77</f>
        <v>Balambala</v>
      </c>
      <c r="D76" s="47" t="str">
        <f>'Project Stocktaking Template'!I77</f>
        <v>Sankuri</v>
      </c>
      <c r="E76" s="48" t="str">
        <f>'Project Stocktaking Template'!O77</f>
        <v>1st aug 2023</v>
      </c>
      <c r="F76" s="48" t="str">
        <f>'Project Stocktaking Template'!P77</f>
        <v>30th june 2024</v>
      </c>
      <c r="G76" s="48" t="str">
        <f>'Project Stocktaking Template'!Q77</f>
        <v>30th june 2024</v>
      </c>
      <c r="H76" s="49">
        <f>'Project Stocktaking Template'!R77</f>
        <v>2153859</v>
      </c>
      <c r="I76" s="50" t="str">
        <f>'Project Stocktaking Template'!AD77</f>
        <v>Completed</v>
      </c>
      <c r="J76" s="45"/>
      <c r="K76" s="45"/>
      <c r="L76" s="45"/>
      <c r="M76" s="45"/>
      <c r="N76" s="45"/>
      <c r="O76" s="45"/>
      <c r="P76" s="45"/>
      <c r="Q76" s="45"/>
      <c r="R76" s="45"/>
      <c r="S76" s="45"/>
      <c r="T76" s="45"/>
      <c r="U76" s="45"/>
      <c r="V76" s="45"/>
      <c r="W76" s="45"/>
      <c r="X76" s="45"/>
      <c r="Y76" s="45"/>
      <c r="Z76" s="45"/>
    </row>
    <row r="77">
      <c r="A77" s="51">
        <v>76.0</v>
      </c>
      <c r="B77" s="47" t="str">
        <f>'Project Stocktaking Template'!B78</f>
        <v>RENOVATION OF AMUMA PRIMARY</v>
      </c>
      <c r="C77" s="47" t="str">
        <f>'Project Stocktaking Template'!H78</f>
        <v>Fafi</v>
      </c>
      <c r="D77" s="47" t="str">
        <f>'Project Stocktaking Template'!I78</f>
        <v>Fafi</v>
      </c>
      <c r="E77" s="48" t="str">
        <f>'Project Stocktaking Template'!O78</f>
        <v>1st aug 2023</v>
      </c>
      <c r="F77" s="48" t="str">
        <f>'Project Stocktaking Template'!P78</f>
        <v>30th june 2024</v>
      </c>
      <c r="G77" s="48" t="str">
        <f>'Project Stocktaking Template'!Q78</f>
        <v>30th june 2024</v>
      </c>
      <c r="H77" s="49">
        <f>'Project Stocktaking Template'!R78</f>
        <v>2193068.35</v>
      </c>
      <c r="I77" s="50" t="str">
        <f>'Project Stocktaking Template'!AD78</f>
        <v>Completed</v>
      </c>
      <c r="J77" s="45"/>
      <c r="K77" s="45"/>
      <c r="L77" s="45"/>
      <c r="M77" s="45"/>
      <c r="N77" s="45"/>
      <c r="O77" s="45"/>
      <c r="P77" s="45"/>
      <c r="Q77" s="45"/>
      <c r="R77" s="45"/>
      <c r="S77" s="45"/>
      <c r="T77" s="45"/>
      <c r="U77" s="45"/>
      <c r="V77" s="45"/>
      <c r="W77" s="45"/>
      <c r="X77" s="45"/>
      <c r="Y77" s="45"/>
      <c r="Z77" s="45"/>
    </row>
    <row r="78">
      <c r="A78" s="46">
        <v>77.0</v>
      </c>
      <c r="B78" s="47" t="str">
        <f>'Project Stocktaking Template'!B79</f>
        <v>RENOVATION OF POLICE LINE DISPENSARY</v>
      </c>
      <c r="C78" s="47" t="str">
        <f>'Project Stocktaking Template'!H79</f>
        <v>GarissaTownship</v>
      </c>
      <c r="D78" s="47" t="str">
        <f>'Project Stocktaking Template'!I79</f>
        <v>Township</v>
      </c>
      <c r="E78" s="48" t="str">
        <f>'Project Stocktaking Template'!O79</f>
        <v>1st aug 2023</v>
      </c>
      <c r="F78" s="48" t="str">
        <f>'Project Stocktaking Template'!P79</f>
        <v>30th june 2024</v>
      </c>
      <c r="G78" s="48" t="str">
        <f>'Project Stocktaking Template'!Q79</f>
        <v>30th june 2024</v>
      </c>
      <c r="H78" s="49">
        <f>'Project Stocktaking Template'!R79</f>
        <v>2427748.75</v>
      </c>
      <c r="I78" s="50" t="str">
        <f>'Project Stocktaking Template'!AD79</f>
        <v>Completed</v>
      </c>
      <c r="J78" s="45"/>
      <c r="K78" s="45"/>
      <c r="L78" s="45"/>
      <c r="M78" s="45"/>
      <c r="N78" s="45"/>
      <c r="O78" s="45"/>
      <c r="P78" s="45"/>
      <c r="Q78" s="45"/>
      <c r="R78" s="45"/>
      <c r="S78" s="45"/>
      <c r="T78" s="45"/>
      <c r="U78" s="45"/>
      <c r="V78" s="45"/>
      <c r="W78" s="45"/>
      <c r="X78" s="45"/>
      <c r="Y78" s="45"/>
      <c r="Z78" s="45"/>
    </row>
    <row r="79">
      <c r="A79" s="51">
        <v>78.0</v>
      </c>
      <c r="B79" s="47" t="str">
        <f>'Project Stocktaking Template'!B80</f>
        <v>RENNOVATION AND CHAINLINK FENCE AT HARA PRIMARY</v>
      </c>
      <c r="C79" s="47" t="str">
        <f>'Project Stocktaking Template'!H80</f>
        <v>Ijara</v>
      </c>
      <c r="D79" s="47" t="str">
        <f>'Project Stocktaking Template'!I80</f>
        <v>Ijara</v>
      </c>
      <c r="E79" s="48" t="str">
        <f>'Project Stocktaking Template'!O80</f>
        <v>1st aug 2023</v>
      </c>
      <c r="F79" s="48" t="str">
        <f>'Project Stocktaking Template'!P80</f>
        <v>30th june 2024</v>
      </c>
      <c r="G79" s="48" t="str">
        <f>'Project Stocktaking Template'!Q80</f>
        <v>30th june 2024</v>
      </c>
      <c r="H79" s="49">
        <f>'Project Stocktaking Template'!R80</f>
        <v>3487465</v>
      </c>
      <c r="I79" s="50" t="str">
        <f>'Project Stocktaking Template'!AD80</f>
        <v>Completed</v>
      </c>
      <c r="J79" s="45"/>
      <c r="K79" s="45"/>
      <c r="L79" s="45"/>
      <c r="M79" s="45"/>
      <c r="N79" s="45"/>
      <c r="O79" s="45"/>
      <c r="P79" s="45"/>
      <c r="Q79" s="45"/>
      <c r="R79" s="45"/>
      <c r="S79" s="45"/>
      <c r="T79" s="45"/>
      <c r="U79" s="45"/>
      <c r="V79" s="45"/>
      <c r="W79" s="45"/>
      <c r="X79" s="45"/>
      <c r="Y79" s="45"/>
      <c r="Z79" s="45"/>
    </row>
    <row r="80">
      <c r="A80" s="46">
        <v>79.0</v>
      </c>
      <c r="B80" s="47" t="str">
        <f>'Project Stocktaking Template'!B81</f>
        <v>RENOVATION OF BURA SUB COUNTY OFFICES</v>
      </c>
      <c r="C80" s="47" t="str">
        <f>'Project Stocktaking Template'!H81</f>
        <v>Fafi</v>
      </c>
      <c r="D80" s="47" t="str">
        <f>'Project Stocktaking Template'!I81</f>
        <v>Fafi</v>
      </c>
      <c r="E80" s="48" t="str">
        <f>'Project Stocktaking Template'!O81</f>
        <v>1st aug 2023</v>
      </c>
      <c r="F80" s="48" t="str">
        <f>'Project Stocktaking Template'!P81</f>
        <v>30th june 2024</v>
      </c>
      <c r="G80" s="48" t="str">
        <f>'Project Stocktaking Template'!Q81</f>
        <v>30th june 2024</v>
      </c>
      <c r="H80" s="49">
        <f>'Project Stocktaking Template'!R81</f>
        <v>2939634</v>
      </c>
      <c r="I80" s="50" t="str">
        <f>'Project Stocktaking Template'!AD81</f>
        <v>Completed</v>
      </c>
      <c r="J80" s="45"/>
      <c r="K80" s="45"/>
      <c r="L80" s="45"/>
      <c r="M80" s="45"/>
      <c r="N80" s="45"/>
      <c r="O80" s="45"/>
      <c r="P80" s="45"/>
      <c r="Q80" s="45"/>
      <c r="R80" s="45"/>
      <c r="S80" s="45"/>
      <c r="T80" s="45"/>
      <c r="U80" s="45"/>
      <c r="V80" s="45"/>
      <c r="W80" s="45"/>
      <c r="X80" s="45"/>
      <c r="Y80" s="45"/>
      <c r="Z80" s="45"/>
    </row>
    <row r="81">
      <c r="A81" s="51">
        <v>80.0</v>
      </c>
      <c r="B81" s="47" t="str">
        <f>'Project Stocktaking Template'!B82</f>
        <v>RENOVATION OF CECM AGRICULTURE OFFICESS</v>
      </c>
      <c r="C81" s="47" t="str">
        <f>'Project Stocktaking Template'!H82</f>
        <v>GarissaTownship</v>
      </c>
      <c r="D81" s="47" t="str">
        <f>'Project Stocktaking Template'!I82</f>
        <v>Township</v>
      </c>
      <c r="E81" s="48" t="str">
        <f>'Project Stocktaking Template'!O82</f>
        <v>1st aug 2023</v>
      </c>
      <c r="F81" s="48" t="str">
        <f>'Project Stocktaking Template'!P82</f>
        <v>30th june 2024</v>
      </c>
      <c r="G81" s="48" t="str">
        <f>'Project Stocktaking Template'!Q82</f>
        <v>30th june 2024</v>
      </c>
      <c r="H81" s="49">
        <f>'Project Stocktaking Template'!R82</f>
        <v>3587892.55</v>
      </c>
      <c r="I81" s="50" t="str">
        <f>'Project Stocktaking Template'!AD82</f>
        <v>Completed</v>
      </c>
      <c r="J81" s="45"/>
      <c r="K81" s="45"/>
      <c r="L81" s="45"/>
      <c r="M81" s="45"/>
      <c r="N81" s="45"/>
      <c r="O81" s="45"/>
      <c r="P81" s="45"/>
      <c r="Q81" s="45"/>
      <c r="R81" s="45"/>
      <c r="S81" s="45"/>
      <c r="T81" s="45"/>
      <c r="U81" s="45"/>
      <c r="V81" s="45"/>
      <c r="W81" s="45"/>
      <c r="X81" s="45"/>
      <c r="Y81" s="45"/>
      <c r="Z81" s="45"/>
    </row>
    <row r="82">
      <c r="A82" s="46">
        <v>81.0</v>
      </c>
      <c r="B82" s="47" t="str">
        <f>'Project Stocktaking Template'!B83</f>
        <v>RENOVATION OF GOVERNMENET OFFICES AND STAFF QIUATERS AT SHANTABAQ SUB COUNTY</v>
      </c>
      <c r="C82" s="47" t="str">
        <f>'Project Stocktaking Template'!H83</f>
        <v>Lagdera</v>
      </c>
      <c r="D82" s="47" t="str">
        <f>'Project Stocktaking Template'!I83</f>
        <v>Modogashe</v>
      </c>
      <c r="E82" s="48" t="str">
        <f>'Project Stocktaking Template'!O83</f>
        <v>1st aug 2023</v>
      </c>
      <c r="F82" s="48" t="str">
        <f>'Project Stocktaking Template'!P83</f>
        <v>30th june 2024</v>
      </c>
      <c r="G82" s="48" t="str">
        <f>'Project Stocktaking Template'!Q83</f>
        <v>30th june 2024</v>
      </c>
      <c r="H82" s="49">
        <f>'Project Stocktaking Template'!R83</f>
        <v>4643879</v>
      </c>
      <c r="I82" s="50" t="str">
        <f>'Project Stocktaking Template'!AD83</f>
        <v>Completed</v>
      </c>
      <c r="J82" s="45"/>
      <c r="K82" s="45"/>
      <c r="L82" s="45"/>
      <c r="M82" s="45"/>
      <c r="N82" s="45"/>
      <c r="O82" s="45"/>
      <c r="P82" s="45"/>
      <c r="Q82" s="45"/>
      <c r="R82" s="45"/>
      <c r="S82" s="45"/>
      <c r="T82" s="45"/>
      <c r="U82" s="45"/>
      <c r="V82" s="45"/>
      <c r="W82" s="45"/>
      <c r="X82" s="45"/>
      <c r="Y82" s="45"/>
      <c r="Z82" s="45"/>
    </row>
    <row r="83">
      <c r="A83" s="51">
        <v>82.0</v>
      </c>
      <c r="B83" s="47" t="str">
        <f>'Project Stocktaking Template'!B84</f>
        <v>REHABILTATION OF SLAUTHER HOUSE</v>
      </c>
      <c r="C83" s="47" t="str">
        <f>'Project Stocktaking Template'!H84</f>
        <v>GarissaTownship</v>
      </c>
      <c r="D83" s="47" t="str">
        <f>'Project Stocktaking Template'!I84</f>
        <v>Township</v>
      </c>
      <c r="E83" s="48" t="str">
        <f>'Project Stocktaking Template'!O84</f>
        <v>1st aug 2023</v>
      </c>
      <c r="F83" s="48" t="str">
        <f>'Project Stocktaking Template'!P84</f>
        <v>30th june 2024</v>
      </c>
      <c r="G83" s="48" t="str">
        <f>'Project Stocktaking Template'!Q84</f>
        <v>30th june 2024</v>
      </c>
      <c r="H83" s="49">
        <f>'Project Stocktaking Template'!R84</f>
        <v>6807246</v>
      </c>
      <c r="I83" s="50" t="str">
        <f>'Project Stocktaking Template'!AD84</f>
        <v>Completed</v>
      </c>
      <c r="J83" s="45"/>
      <c r="K83" s="45"/>
      <c r="L83" s="45"/>
      <c r="M83" s="45"/>
      <c r="N83" s="45"/>
      <c r="O83" s="45"/>
      <c r="P83" s="45"/>
      <c r="Q83" s="45"/>
      <c r="R83" s="45"/>
      <c r="S83" s="45"/>
      <c r="T83" s="45"/>
      <c r="U83" s="45"/>
      <c r="V83" s="45"/>
      <c r="W83" s="45"/>
      <c r="X83" s="45"/>
      <c r="Y83" s="45"/>
      <c r="Z83" s="45"/>
    </row>
    <row r="84">
      <c r="A84" s="46">
        <v>83.0</v>
      </c>
      <c r="B84" s="47" t="str">
        <f>'Project Stocktaking Template'!B85</f>
        <v>RENOVATION AND EXPANSION OF EYE UNIT AT GARISSA REFERAL</v>
      </c>
      <c r="C84" s="47" t="str">
        <f>'Project Stocktaking Template'!H85</f>
        <v>GarissaTownship</v>
      </c>
      <c r="D84" s="47" t="str">
        <f>'Project Stocktaking Template'!I85</f>
        <v>Township</v>
      </c>
      <c r="E84" s="48" t="str">
        <f>'Project Stocktaking Template'!O85</f>
        <v>1st aug 2023</v>
      </c>
      <c r="F84" s="48" t="str">
        <f>'Project Stocktaking Template'!P85</f>
        <v>30th june 2024</v>
      </c>
      <c r="G84" s="48" t="str">
        <f>'Project Stocktaking Template'!Q85</f>
        <v>30th june 2024</v>
      </c>
      <c r="H84" s="49">
        <f>'Project Stocktaking Template'!R85</f>
        <v>10532386</v>
      </c>
      <c r="I84" s="50" t="str">
        <f>'Project Stocktaking Template'!AD85</f>
        <v>Completed</v>
      </c>
      <c r="J84" s="45"/>
      <c r="K84" s="45"/>
      <c r="L84" s="45"/>
      <c r="M84" s="45"/>
      <c r="N84" s="45"/>
      <c r="O84" s="45"/>
      <c r="P84" s="45"/>
      <c r="Q84" s="45"/>
      <c r="R84" s="45"/>
      <c r="S84" s="45"/>
      <c r="T84" s="45"/>
      <c r="U84" s="45"/>
      <c r="V84" s="45"/>
      <c r="W84" s="45"/>
      <c r="X84" s="45"/>
      <c r="Y84" s="45"/>
      <c r="Z84" s="45"/>
    </row>
    <row r="85">
      <c r="A85" s="51">
        <v>84.0</v>
      </c>
      <c r="B85" s="47" t="str">
        <f>'Project Stocktaking Template'!B86</f>
        <v>RENOVATION OF MODOGASHE MUNICIPALITY HEADQUATER</v>
      </c>
      <c r="C85" s="47" t="str">
        <f>'Project Stocktaking Template'!H86</f>
        <v>Lagdera</v>
      </c>
      <c r="D85" s="47" t="str">
        <f>'Project Stocktaking Template'!I86</f>
        <v>Modogashe</v>
      </c>
      <c r="E85" s="48" t="str">
        <f>'Project Stocktaking Template'!O86</f>
        <v>1st aug 2023</v>
      </c>
      <c r="F85" s="48" t="str">
        <f>'Project Stocktaking Template'!P86</f>
        <v>30th june 2024</v>
      </c>
      <c r="G85" s="48" t="str">
        <f>'Project Stocktaking Template'!Q86</f>
        <v>30th june 2024</v>
      </c>
      <c r="H85" s="49">
        <f>'Project Stocktaking Template'!R86</f>
        <v>13530937</v>
      </c>
      <c r="I85" s="50" t="str">
        <f>'Project Stocktaking Template'!AD86</f>
        <v>Completed</v>
      </c>
      <c r="J85" s="45"/>
      <c r="K85" s="45"/>
      <c r="L85" s="45"/>
      <c r="M85" s="45"/>
      <c r="N85" s="45"/>
      <c r="O85" s="45"/>
      <c r="P85" s="45"/>
      <c r="Q85" s="45"/>
      <c r="R85" s="45"/>
      <c r="S85" s="45"/>
      <c r="T85" s="45"/>
      <c r="U85" s="45"/>
      <c r="V85" s="45"/>
      <c r="W85" s="45"/>
      <c r="X85" s="45"/>
      <c r="Y85" s="45"/>
      <c r="Z85" s="45"/>
    </row>
    <row r="86">
      <c r="A86" s="46">
        <v>85.0</v>
      </c>
      <c r="B86" s="47" t="str">
        <f>'Project Stocktaking Template'!B87</f>
        <v>RENOVATION OF HOSPITAL MAIN KITCHEN</v>
      </c>
      <c r="C86" s="47" t="str">
        <f>'Project Stocktaking Template'!H87</f>
        <v>GarissaTownship</v>
      </c>
      <c r="D86" s="47" t="str">
        <f>'Project Stocktaking Template'!I87</f>
        <v>Township</v>
      </c>
      <c r="E86" s="48" t="str">
        <f>'Project Stocktaking Template'!O87</f>
        <v>1st aug 2023</v>
      </c>
      <c r="F86" s="48" t="str">
        <f>'Project Stocktaking Template'!P87</f>
        <v>30th june 2024</v>
      </c>
      <c r="G86" s="48" t="str">
        <f>'Project Stocktaking Template'!Q87</f>
        <v>30th june 2024</v>
      </c>
      <c r="H86" s="49">
        <f>'Project Stocktaking Template'!R87</f>
        <v>1960000</v>
      </c>
      <c r="I86" s="50" t="str">
        <f>'Project Stocktaking Template'!AD87</f>
        <v>Completed</v>
      </c>
      <c r="J86" s="45"/>
      <c r="K86" s="45"/>
      <c r="L86" s="45"/>
      <c r="M86" s="45"/>
      <c r="N86" s="45"/>
      <c r="O86" s="45"/>
      <c r="P86" s="45"/>
      <c r="Q86" s="45"/>
      <c r="R86" s="45"/>
      <c r="S86" s="45"/>
      <c r="T86" s="45"/>
      <c r="U86" s="45"/>
      <c r="V86" s="45"/>
      <c r="W86" s="45"/>
      <c r="X86" s="45"/>
      <c r="Y86" s="45"/>
      <c r="Z86" s="45"/>
    </row>
    <row r="87">
      <c r="A87" s="51">
        <v>86.0</v>
      </c>
      <c r="B87" s="47" t="str">
        <f>'Project Stocktaking Template'!B88</f>
        <v>RENOVATION OF SHIMBIREY DISPENSARY</v>
      </c>
      <c r="C87" s="47" t="str">
        <f>'Project Stocktaking Template'!H88</f>
        <v>Balambala</v>
      </c>
      <c r="D87" s="47" t="str">
        <f>'Project Stocktaking Template'!I88</f>
        <v>Sankuri</v>
      </c>
      <c r="E87" s="48" t="str">
        <f>'Project Stocktaking Template'!O88</f>
        <v>1st aug 2023</v>
      </c>
      <c r="F87" s="48" t="str">
        <f>'Project Stocktaking Template'!P88</f>
        <v>30th june 2024</v>
      </c>
      <c r="G87" s="48" t="str">
        <f>'Project Stocktaking Template'!Q88</f>
        <v>30th june 2024</v>
      </c>
      <c r="H87" s="49">
        <f>'Project Stocktaking Template'!R88</f>
        <v>2679697</v>
      </c>
      <c r="I87" s="50" t="str">
        <f>'Project Stocktaking Template'!AD88</f>
        <v>Completed</v>
      </c>
      <c r="J87" s="45"/>
      <c r="K87" s="45"/>
      <c r="L87" s="45"/>
      <c r="M87" s="45"/>
      <c r="N87" s="45"/>
      <c r="O87" s="45"/>
      <c r="P87" s="45"/>
      <c r="Q87" s="45"/>
      <c r="R87" s="45"/>
      <c r="S87" s="45"/>
      <c r="T87" s="45"/>
      <c r="U87" s="45"/>
      <c r="V87" s="45"/>
      <c r="W87" s="45"/>
      <c r="X87" s="45"/>
      <c r="Y87" s="45"/>
      <c r="Z87" s="45"/>
    </row>
    <row r="88">
      <c r="A88" s="46">
        <v>87.0</v>
      </c>
      <c r="B88" s="47" t="str">
        <f>'Project Stocktaking Template'!B89</f>
        <v>RENOVATION OF OPD AND LAB IN IFTIN HOSPITAL</v>
      </c>
      <c r="C88" s="47" t="str">
        <f>'Project Stocktaking Template'!H89</f>
        <v>GarissaTownship</v>
      </c>
      <c r="D88" s="47" t="str">
        <f>'Project Stocktaking Template'!I89</f>
        <v>Iftin</v>
      </c>
      <c r="E88" s="48" t="str">
        <f>'Project Stocktaking Template'!O89</f>
        <v>1st aug 2023</v>
      </c>
      <c r="F88" s="48" t="str">
        <f>'Project Stocktaking Template'!P89</f>
        <v>30th june 2024</v>
      </c>
      <c r="G88" s="48" t="str">
        <f>'Project Stocktaking Template'!Q89</f>
        <v>30th june 2024</v>
      </c>
      <c r="H88" s="49">
        <f>'Project Stocktaking Template'!R89</f>
        <v>4697265</v>
      </c>
      <c r="I88" s="50" t="str">
        <f>'Project Stocktaking Template'!AD89</f>
        <v>Completed</v>
      </c>
      <c r="J88" s="45"/>
      <c r="K88" s="45"/>
      <c r="L88" s="45"/>
      <c r="M88" s="45"/>
      <c r="N88" s="45"/>
      <c r="O88" s="45"/>
      <c r="P88" s="45"/>
      <c r="Q88" s="45"/>
      <c r="R88" s="45"/>
      <c r="S88" s="45"/>
      <c r="T88" s="45"/>
      <c r="U88" s="45"/>
      <c r="V88" s="45"/>
      <c r="W88" s="45"/>
      <c r="X88" s="45"/>
      <c r="Y88" s="45"/>
      <c r="Z88" s="45"/>
    </row>
    <row r="89">
      <c r="A89" s="51">
        <v>88.0</v>
      </c>
      <c r="B89" s="47" t="str">
        <f>'Project Stocktaking Template'!B90</f>
        <v>RENOVATION OF MODOGASHE MUNICIPALITY HEADQUATER</v>
      </c>
      <c r="C89" s="47" t="str">
        <f>'Project Stocktaking Template'!H90</f>
        <v>Lagdera</v>
      </c>
      <c r="D89" s="47" t="str">
        <f>'Project Stocktaking Template'!I90</f>
        <v>Modogashe</v>
      </c>
      <c r="E89" s="48" t="str">
        <f>'Project Stocktaking Template'!O90</f>
        <v>1st aug 2023</v>
      </c>
      <c r="F89" s="48" t="str">
        <f>'Project Stocktaking Template'!P90</f>
        <v>30th june 2024</v>
      </c>
      <c r="G89" s="48" t="str">
        <f>'Project Stocktaking Template'!Q90</f>
        <v>30th june 2024</v>
      </c>
      <c r="H89" s="49">
        <f>'Project Stocktaking Template'!R90</f>
        <v>13300000</v>
      </c>
      <c r="I89" s="50" t="str">
        <f>'Project Stocktaking Template'!AD90</f>
        <v>Completed</v>
      </c>
      <c r="J89" s="45"/>
      <c r="K89" s="45"/>
      <c r="L89" s="45"/>
      <c r="M89" s="45"/>
      <c r="N89" s="45"/>
      <c r="O89" s="45"/>
      <c r="P89" s="45"/>
      <c r="Q89" s="45"/>
      <c r="R89" s="45"/>
      <c r="S89" s="45"/>
      <c r="T89" s="45"/>
      <c r="U89" s="45"/>
      <c r="V89" s="45"/>
      <c r="W89" s="45"/>
      <c r="X89" s="45"/>
      <c r="Y89" s="45"/>
      <c r="Z89" s="45"/>
    </row>
    <row r="90">
      <c r="A90" s="46">
        <v>89.0</v>
      </c>
      <c r="B90" s="47" t="str">
        <f>'Project Stocktaking Template'!B91</f>
        <v>RENOVATION OF MAALIM DISPENSARY</v>
      </c>
      <c r="C90" s="47" t="str">
        <f>'Project Stocktaking Template'!H91</f>
        <v>Lagdera</v>
      </c>
      <c r="D90" s="47" t="str">
        <f>'Project Stocktaking Template'!I91</f>
        <v>Maalimin</v>
      </c>
      <c r="E90" s="48" t="str">
        <f>'Project Stocktaking Template'!O91</f>
        <v>1st aug 2023</v>
      </c>
      <c r="F90" s="48" t="str">
        <f>'Project Stocktaking Template'!P91</f>
        <v>30th june 2024</v>
      </c>
      <c r="G90" s="48" t="str">
        <f>'Project Stocktaking Template'!Q91</f>
        <v>30th june 2024</v>
      </c>
      <c r="H90" s="49">
        <f>'Project Stocktaking Template'!R91</f>
        <v>3000000</v>
      </c>
      <c r="I90" s="50" t="str">
        <f>'Project Stocktaking Template'!AD91</f>
        <v>Completed</v>
      </c>
      <c r="J90" s="45"/>
      <c r="K90" s="45"/>
      <c r="L90" s="45"/>
      <c r="M90" s="45"/>
      <c r="N90" s="45"/>
      <c r="O90" s="45"/>
      <c r="P90" s="45"/>
      <c r="Q90" s="45"/>
      <c r="R90" s="45"/>
      <c r="S90" s="45"/>
      <c r="T90" s="45"/>
      <c r="U90" s="45"/>
      <c r="V90" s="45"/>
      <c r="W90" s="45"/>
      <c r="X90" s="45"/>
      <c r="Y90" s="45"/>
      <c r="Z90" s="45"/>
    </row>
    <row r="91">
      <c r="A91" s="51">
        <v>90.0</v>
      </c>
      <c r="B91" s="47" t="str">
        <f>'Project Stocktaking Template'!B92</f>
        <v>ECD CLASSROOM AT ABAKAILE PRIMARY</v>
      </c>
      <c r="C91" s="47" t="str">
        <f>'Project Stocktaking Template'!H92</f>
        <v>Lagdera</v>
      </c>
      <c r="D91" s="47" t="str">
        <f>'Project Stocktaking Template'!I92</f>
        <v>Abakaile</v>
      </c>
      <c r="E91" s="48" t="str">
        <f>'Project Stocktaking Template'!O92</f>
        <v>1st aug 2023</v>
      </c>
      <c r="F91" s="48" t="str">
        <f>'Project Stocktaking Template'!P92</f>
        <v>30th june 2024</v>
      </c>
      <c r="G91" s="48" t="str">
        <f>'Project Stocktaking Template'!Q92</f>
        <v>30th june 2024</v>
      </c>
      <c r="H91" s="49">
        <f>'Project Stocktaking Template'!R92</f>
        <v>2375000</v>
      </c>
      <c r="I91" s="50" t="str">
        <f>'Project Stocktaking Template'!AD92</f>
        <v>Completed</v>
      </c>
      <c r="J91" s="45"/>
      <c r="K91" s="45"/>
      <c r="L91" s="45"/>
      <c r="M91" s="45"/>
      <c r="N91" s="45"/>
      <c r="O91" s="45"/>
      <c r="P91" s="45"/>
      <c r="Q91" s="45"/>
      <c r="R91" s="45"/>
      <c r="S91" s="45"/>
      <c r="T91" s="45"/>
      <c r="U91" s="45"/>
      <c r="V91" s="45"/>
      <c r="W91" s="45"/>
      <c r="X91" s="45"/>
      <c r="Y91" s="45"/>
      <c r="Z91" s="45"/>
    </row>
    <row r="92">
      <c r="A92" s="46">
        <v>91.0</v>
      </c>
      <c r="B92" s="47" t="str">
        <f>'Project Stocktaking Template'!B93</f>
        <v>REHABILITATION OF MASALANI WATER SUPPLY</v>
      </c>
      <c r="C92" s="47" t="str">
        <f>'Project Stocktaking Template'!H93</f>
        <v>Ijara</v>
      </c>
      <c r="D92" s="47" t="str">
        <f>'Project Stocktaking Template'!I93</f>
        <v>Masalani</v>
      </c>
      <c r="E92" s="48" t="str">
        <f>'Project Stocktaking Template'!O93</f>
        <v>1st aug 2023</v>
      </c>
      <c r="F92" s="48" t="str">
        <f>'Project Stocktaking Template'!P93</f>
        <v>30th june 2024</v>
      </c>
      <c r="G92" s="48" t="str">
        <f>'Project Stocktaking Template'!Q93</f>
        <v>30th june 2024</v>
      </c>
      <c r="H92" s="49">
        <f>'Project Stocktaking Template'!R93</f>
        <v>4275000</v>
      </c>
      <c r="I92" s="50" t="str">
        <f>'Project Stocktaking Template'!AD93</f>
        <v>Completed</v>
      </c>
      <c r="J92" s="45"/>
      <c r="K92" s="45"/>
      <c r="L92" s="45"/>
      <c r="M92" s="45"/>
      <c r="N92" s="45"/>
      <c r="O92" s="45"/>
      <c r="P92" s="45"/>
      <c r="Q92" s="45"/>
      <c r="R92" s="45"/>
      <c r="S92" s="45"/>
      <c r="T92" s="45"/>
      <c r="U92" s="45"/>
      <c r="V92" s="45"/>
      <c r="W92" s="45"/>
      <c r="X92" s="45"/>
      <c r="Y92" s="45"/>
      <c r="Z92" s="45"/>
    </row>
    <row r="93">
      <c r="A93" s="51">
        <v>92.0</v>
      </c>
      <c r="B93" s="47" t="str">
        <f>'Project Stocktaking Template'!B94</f>
        <v>EXTENSION OF QONE MODOGASHE PIPELINE</v>
      </c>
      <c r="C93" s="47" t="str">
        <f>'Project Stocktaking Template'!H94</f>
        <v>Balambala</v>
      </c>
      <c r="D93" s="47" t="str">
        <f>'Project Stocktaking Template'!I94</f>
        <v>Jarajara</v>
      </c>
      <c r="E93" s="48" t="str">
        <f>'Project Stocktaking Template'!O94</f>
        <v>1st aug 2023</v>
      </c>
      <c r="F93" s="48" t="str">
        <f>'Project Stocktaking Template'!P94</f>
        <v>30th june 2024</v>
      </c>
      <c r="G93" s="48" t="str">
        <f>'Project Stocktaking Template'!Q94</f>
        <v>30th june 2024</v>
      </c>
      <c r="H93" s="49">
        <f>'Project Stocktaking Template'!R94</f>
        <v>42000000</v>
      </c>
      <c r="I93" s="50" t="str">
        <f>'Project Stocktaking Template'!AD94</f>
        <v>Completed</v>
      </c>
      <c r="J93" s="45"/>
      <c r="K93" s="45"/>
      <c r="L93" s="45"/>
      <c r="M93" s="45"/>
      <c r="N93" s="45"/>
      <c r="O93" s="45"/>
      <c r="P93" s="45"/>
      <c r="Q93" s="45"/>
      <c r="R93" s="45"/>
      <c r="S93" s="45"/>
      <c r="T93" s="45"/>
      <c r="U93" s="45"/>
      <c r="V93" s="45"/>
      <c r="W93" s="45"/>
      <c r="X93" s="45"/>
      <c r="Y93" s="45"/>
      <c r="Z93" s="45"/>
    </row>
    <row r="94">
      <c r="A94" s="46">
        <v>93.0</v>
      </c>
      <c r="B94" s="47" t="str">
        <f>'Project Stocktaking Template'!B95</f>
        <v>CHAINLINK FENCE AT SHANTABAQ SUB COUNTY OFFICES</v>
      </c>
      <c r="C94" s="47" t="str">
        <f>'Project Stocktaking Template'!H95</f>
        <v>Lagdera</v>
      </c>
      <c r="D94" s="47" t="str">
        <f>'Project Stocktaking Template'!I95</f>
        <v>Modogashe</v>
      </c>
      <c r="E94" s="48" t="str">
        <f>'Project Stocktaking Template'!O95</f>
        <v>1st aug 2023</v>
      </c>
      <c r="F94" s="48" t="str">
        <f>'Project Stocktaking Template'!P95</f>
        <v>30th june 2024</v>
      </c>
      <c r="G94" s="48" t="str">
        <f>'Project Stocktaking Template'!Q95</f>
        <v>30th june 2024</v>
      </c>
      <c r="H94" s="49">
        <f>'Project Stocktaking Template'!R95</f>
        <v>2371200</v>
      </c>
      <c r="I94" s="50" t="str">
        <f>'Project Stocktaking Template'!AD95</f>
        <v>Completed</v>
      </c>
      <c r="J94" s="45"/>
      <c r="K94" s="45"/>
      <c r="L94" s="45"/>
      <c r="M94" s="45"/>
      <c r="N94" s="45"/>
      <c r="O94" s="45"/>
      <c r="P94" s="45"/>
      <c r="Q94" s="45"/>
      <c r="R94" s="45"/>
      <c r="S94" s="45"/>
      <c r="T94" s="45"/>
      <c r="U94" s="45"/>
      <c r="V94" s="45"/>
      <c r="W94" s="45"/>
      <c r="X94" s="45"/>
      <c r="Y94" s="45"/>
      <c r="Z94" s="45"/>
    </row>
    <row r="95">
      <c r="A95" s="51">
        <v>94.0</v>
      </c>
      <c r="B95" s="47" t="str">
        <f>'Project Stocktaking Template'!B96</f>
        <v>RENOVATION OF ECD AT BOYSTWON PRIMARY</v>
      </c>
      <c r="C95" s="47" t="str">
        <f>'Project Stocktaking Template'!H96</f>
        <v>GarissaTownship</v>
      </c>
      <c r="D95" s="47" t="str">
        <f>'Project Stocktaking Template'!I96</f>
        <v>Township</v>
      </c>
      <c r="E95" s="48" t="str">
        <f>'Project Stocktaking Template'!O96</f>
        <v>1st aug 2023</v>
      </c>
      <c r="F95" s="48" t="str">
        <f>'Project Stocktaking Template'!P96</f>
        <v>30th june 2024</v>
      </c>
      <c r="G95" s="48" t="str">
        <f>'Project Stocktaking Template'!Q96</f>
        <v>30th june 2024</v>
      </c>
      <c r="H95" s="49">
        <f>'Project Stocktaking Template'!R96</f>
        <v>2000000</v>
      </c>
      <c r="I95" s="50" t="str">
        <f>'Project Stocktaking Template'!AD96</f>
        <v>Completed</v>
      </c>
      <c r="J95" s="45"/>
      <c r="K95" s="45"/>
      <c r="L95" s="45"/>
      <c r="M95" s="45"/>
      <c r="N95" s="45"/>
      <c r="O95" s="45"/>
      <c r="P95" s="45"/>
      <c r="Q95" s="45"/>
      <c r="R95" s="45"/>
      <c r="S95" s="45"/>
      <c r="T95" s="45"/>
      <c r="U95" s="45"/>
      <c r="V95" s="45"/>
      <c r="W95" s="45"/>
      <c r="X95" s="45"/>
      <c r="Y95" s="45"/>
      <c r="Z95" s="45"/>
    </row>
    <row r="96">
      <c r="A96" s="46">
        <v>95.0</v>
      </c>
      <c r="B96" s="47" t="str">
        <f>'Project Stocktaking Template'!B97</f>
        <v>RENOVATION OF ECD AT TETU PRIMARY</v>
      </c>
      <c r="C96" s="47" t="str">
        <f>'Project Stocktaking Template'!H97</f>
        <v>GarissaTownship</v>
      </c>
      <c r="D96" s="47" t="str">
        <f>'Project Stocktaking Template'!I97</f>
        <v>Galbet</v>
      </c>
      <c r="E96" s="48" t="str">
        <f>'Project Stocktaking Template'!O97</f>
        <v>1st aug 2023</v>
      </c>
      <c r="F96" s="48" t="str">
        <f>'Project Stocktaking Template'!P97</f>
        <v>30th june 2024</v>
      </c>
      <c r="G96" s="48" t="str">
        <f>'Project Stocktaking Template'!Q97</f>
        <v>30th june 2024</v>
      </c>
      <c r="H96" s="49">
        <f>'Project Stocktaking Template'!R97</f>
        <v>2000000</v>
      </c>
      <c r="I96" s="50" t="str">
        <f>'Project Stocktaking Template'!AD97</f>
        <v>Completed</v>
      </c>
      <c r="J96" s="45"/>
      <c r="K96" s="45"/>
      <c r="L96" s="45"/>
      <c r="M96" s="45"/>
      <c r="N96" s="45"/>
      <c r="O96" s="45"/>
      <c r="P96" s="45"/>
      <c r="Q96" s="45"/>
      <c r="R96" s="45"/>
      <c r="S96" s="45"/>
      <c r="T96" s="45"/>
      <c r="U96" s="45"/>
      <c r="V96" s="45"/>
      <c r="W96" s="45"/>
      <c r="X96" s="45"/>
      <c r="Y96" s="45"/>
      <c r="Z96" s="45"/>
    </row>
    <row r="97">
      <c r="A97" s="51">
        <v>96.0</v>
      </c>
      <c r="B97" s="47" t="str">
        <f>'Project Stocktaking Template'!B98</f>
        <v>RENOVATION OF ECD AT SPECIAL SCHOOL</v>
      </c>
      <c r="C97" s="47" t="str">
        <f>'Project Stocktaking Template'!H98</f>
        <v>GarissaTownship</v>
      </c>
      <c r="D97" s="47" t="str">
        <f>'Project Stocktaking Template'!I98</f>
        <v>Township</v>
      </c>
      <c r="E97" s="48" t="str">
        <f>'Project Stocktaking Template'!O98</f>
        <v>1st aug 2023</v>
      </c>
      <c r="F97" s="48" t="str">
        <f>'Project Stocktaking Template'!P98</f>
        <v>30th june 2024</v>
      </c>
      <c r="G97" s="48" t="str">
        <f>'Project Stocktaking Template'!Q98</f>
        <v>30th june 2024</v>
      </c>
      <c r="H97" s="49">
        <f>'Project Stocktaking Template'!R98</f>
        <v>2000000</v>
      </c>
      <c r="I97" s="50" t="str">
        <f>'Project Stocktaking Template'!AD98</f>
        <v>Completed</v>
      </c>
      <c r="J97" s="45"/>
      <c r="K97" s="45"/>
      <c r="L97" s="45"/>
      <c r="M97" s="45"/>
      <c r="N97" s="45"/>
      <c r="O97" s="45"/>
      <c r="P97" s="45"/>
      <c r="Q97" s="45"/>
      <c r="R97" s="45"/>
      <c r="S97" s="45"/>
      <c r="T97" s="45"/>
      <c r="U97" s="45"/>
      <c r="V97" s="45"/>
      <c r="W97" s="45"/>
      <c r="X97" s="45"/>
      <c r="Y97" s="45"/>
      <c r="Z97" s="45"/>
    </row>
    <row r="98">
      <c r="A98" s="46">
        <v>97.0</v>
      </c>
      <c r="B98" s="47" t="str">
        <f>'Project Stocktaking Template'!B99</f>
        <v>MAINTAINANCE OF ROAD</v>
      </c>
      <c r="C98" s="47" t="str">
        <f>'Project Stocktaking Template'!H99</f>
        <v>GarissaTownship</v>
      </c>
      <c r="D98" s="47" t="str">
        <f>'Project Stocktaking Template'!I99</f>
        <v>Township</v>
      </c>
      <c r="E98" s="48" t="str">
        <f>'Project Stocktaking Template'!O99</f>
        <v>1st aug 2023</v>
      </c>
      <c r="F98" s="48" t="str">
        <f>'Project Stocktaking Template'!P99</f>
        <v>30th june 2024</v>
      </c>
      <c r="G98" s="48" t="str">
        <f>'Project Stocktaking Template'!Q99</f>
        <v>30th june 2024</v>
      </c>
      <c r="H98" s="49">
        <f>'Project Stocktaking Template'!R99</f>
        <v>4500000</v>
      </c>
      <c r="I98" s="50" t="str">
        <f>'Project Stocktaking Template'!AD99</f>
        <v>Completed</v>
      </c>
      <c r="J98" s="45"/>
      <c r="K98" s="45"/>
      <c r="L98" s="45"/>
      <c r="M98" s="45"/>
      <c r="N98" s="45"/>
      <c r="O98" s="45"/>
      <c r="P98" s="45"/>
      <c r="Q98" s="45"/>
      <c r="R98" s="45"/>
      <c r="S98" s="45"/>
      <c r="T98" s="45"/>
      <c r="U98" s="45"/>
      <c r="V98" s="45"/>
      <c r="W98" s="45"/>
      <c r="X98" s="45"/>
      <c r="Y98" s="45"/>
      <c r="Z98" s="45"/>
    </row>
    <row r="99">
      <c r="A99" s="51">
        <v>98.0</v>
      </c>
      <c r="B99" s="47" t="str">
        <f>'Project Stocktaking Template'!B100</f>
        <v>POWER UPDGRADE AT GARISSA REFERAL HOSPITAL</v>
      </c>
      <c r="C99" s="47" t="str">
        <f>'Project Stocktaking Template'!H100</f>
        <v>GarissaTownship</v>
      </c>
      <c r="D99" s="47" t="str">
        <f>'Project Stocktaking Template'!I100</f>
        <v>Township</v>
      </c>
      <c r="E99" s="48" t="str">
        <f>'Project Stocktaking Template'!O100</f>
        <v>1st aug 2023</v>
      </c>
      <c r="F99" s="48" t="str">
        <f>'Project Stocktaking Template'!P100</f>
        <v>30th june 2024</v>
      </c>
      <c r="G99" s="48" t="str">
        <f>'Project Stocktaking Template'!Q100</f>
        <v>30th june 2024</v>
      </c>
      <c r="H99" s="49">
        <f>'Project Stocktaking Template'!R100</f>
        <v>2850000</v>
      </c>
      <c r="I99" s="50" t="str">
        <f>'Project Stocktaking Template'!AD100</f>
        <v>Completed</v>
      </c>
      <c r="J99" s="45"/>
      <c r="K99" s="45"/>
      <c r="L99" s="45"/>
      <c r="M99" s="45"/>
      <c r="N99" s="45"/>
      <c r="O99" s="45"/>
      <c r="P99" s="45"/>
      <c r="Q99" s="45"/>
      <c r="R99" s="45"/>
      <c r="S99" s="45"/>
      <c r="T99" s="45"/>
      <c r="U99" s="45"/>
      <c r="V99" s="45"/>
      <c r="W99" s="45"/>
      <c r="X99" s="45"/>
      <c r="Y99" s="45"/>
      <c r="Z99" s="45"/>
    </row>
    <row r="100">
      <c r="A100" s="46">
        <v>99.0</v>
      </c>
      <c r="B100" s="47" t="str">
        <f>'Project Stocktaking Template'!B101</f>
        <v>SUPPLY OF DOUBLE DECKER BEDS</v>
      </c>
      <c r="C100" s="47" t="str">
        <f>'Project Stocktaking Template'!H101</f>
        <v>GarissaTownship</v>
      </c>
      <c r="D100" s="47" t="str">
        <f>'Project Stocktaking Template'!I101</f>
        <v>Township</v>
      </c>
      <c r="E100" s="48" t="str">
        <f>'Project Stocktaking Template'!O101</f>
        <v>1st aug 2023</v>
      </c>
      <c r="F100" s="48" t="str">
        <f>'Project Stocktaking Template'!P101</f>
        <v>30th june 2024</v>
      </c>
      <c r="G100" s="48" t="str">
        <f>'Project Stocktaking Template'!Q101</f>
        <v>30th june 2024</v>
      </c>
      <c r="H100" s="49">
        <f>'Project Stocktaking Template'!R101</f>
        <v>6612000</v>
      </c>
      <c r="I100" s="50" t="str">
        <f>'Project Stocktaking Template'!AD101</f>
        <v>Completed</v>
      </c>
      <c r="J100" s="45"/>
      <c r="K100" s="45"/>
      <c r="L100" s="45"/>
      <c r="M100" s="45"/>
      <c r="N100" s="45"/>
      <c r="O100" s="45"/>
      <c r="P100" s="45"/>
      <c r="Q100" s="45"/>
      <c r="R100" s="45"/>
      <c r="S100" s="45"/>
      <c r="T100" s="45"/>
      <c r="U100" s="45"/>
      <c r="V100" s="45"/>
      <c r="W100" s="45"/>
      <c r="X100" s="45"/>
      <c r="Y100" s="45"/>
      <c r="Z100" s="45"/>
    </row>
    <row r="101">
      <c r="A101" s="51">
        <v>100.0</v>
      </c>
      <c r="B101" s="47" t="str">
        <f>'Project Stocktaking Template'!B102</f>
        <v>EXTESION OF QONE PIPLEINE</v>
      </c>
      <c r="C101" s="47" t="str">
        <f>'Project Stocktaking Template'!H102</f>
        <v>Balambala</v>
      </c>
      <c r="D101" s="47" t="str">
        <f>'Project Stocktaking Template'!I102</f>
        <v>Jarajila</v>
      </c>
      <c r="E101" s="48" t="str">
        <f>'Project Stocktaking Template'!O102</f>
        <v>1st aug 2023</v>
      </c>
      <c r="F101" s="48" t="str">
        <f>'Project Stocktaking Template'!P102</f>
        <v>30th june 2024</v>
      </c>
      <c r="G101" s="48" t="str">
        <f>'Project Stocktaking Template'!Q102</f>
        <v>30th june 2024</v>
      </c>
      <c r="H101" s="49">
        <f>'Project Stocktaking Template'!R102</f>
        <v>30780000</v>
      </c>
      <c r="I101" s="50" t="str">
        <f>'Project Stocktaking Template'!AD102</f>
        <v>Completed</v>
      </c>
      <c r="J101" s="45"/>
      <c r="K101" s="45"/>
      <c r="L101" s="45"/>
      <c r="M101" s="45"/>
      <c r="N101" s="45"/>
      <c r="O101" s="45"/>
      <c r="P101" s="45"/>
      <c r="Q101" s="45"/>
      <c r="R101" s="45"/>
      <c r="S101" s="45"/>
      <c r="T101" s="45"/>
      <c r="U101" s="45"/>
      <c r="V101" s="45"/>
      <c r="W101" s="45"/>
      <c r="X101" s="45"/>
      <c r="Y101" s="45"/>
      <c r="Z101" s="45"/>
    </row>
    <row r="102">
      <c r="A102" s="46">
        <v>101.0</v>
      </c>
      <c r="B102" s="47" t="str">
        <f>'Project Stocktaking Template'!B103</f>
        <v>RENOVATION AT MASALANI ECD CLASSROM</v>
      </c>
      <c r="C102" s="47" t="str">
        <f>'Project Stocktaking Template'!H103</f>
        <v>Ijara</v>
      </c>
      <c r="D102" s="47" t="str">
        <f>'Project Stocktaking Template'!I103</f>
        <v>Masalani</v>
      </c>
      <c r="E102" s="48" t="str">
        <f>'Project Stocktaking Template'!O103</f>
        <v>1st aug 2023</v>
      </c>
      <c r="F102" s="48" t="str">
        <f>'Project Stocktaking Template'!P103</f>
        <v>30th june 2024</v>
      </c>
      <c r="G102" s="48" t="str">
        <f>'Project Stocktaking Template'!Q103</f>
        <v>30th june 2024</v>
      </c>
      <c r="H102" s="49">
        <f>'Project Stocktaking Template'!R103</f>
        <v>1520000</v>
      </c>
      <c r="I102" s="50" t="str">
        <f>'Project Stocktaking Template'!AD103</f>
        <v>Completed</v>
      </c>
      <c r="J102" s="45"/>
      <c r="K102" s="45"/>
      <c r="L102" s="45"/>
      <c r="M102" s="45"/>
      <c r="N102" s="45"/>
      <c r="O102" s="45"/>
      <c r="P102" s="45"/>
      <c r="Q102" s="45"/>
      <c r="R102" s="45"/>
      <c r="S102" s="45"/>
      <c r="T102" s="45"/>
      <c r="U102" s="45"/>
      <c r="V102" s="45"/>
      <c r="W102" s="45"/>
      <c r="X102" s="45"/>
      <c r="Y102" s="45"/>
      <c r="Z102" s="45"/>
    </row>
    <row r="103">
      <c r="A103" s="51">
        <v>102.0</v>
      </c>
      <c r="B103" s="47" t="str">
        <f>'Project Stocktaking Template'!B104</f>
        <v>MAINTAINANCE OF ROAD</v>
      </c>
      <c r="C103" s="47" t="str">
        <f>'Project Stocktaking Template'!H104</f>
        <v>GarissaTownship</v>
      </c>
      <c r="D103" s="47" t="str">
        <f>'Project Stocktaking Template'!I104</f>
        <v>Township</v>
      </c>
      <c r="E103" s="48" t="str">
        <f>'Project Stocktaking Template'!O104</f>
        <v>1st aug 2023</v>
      </c>
      <c r="F103" s="48" t="str">
        <f>'Project Stocktaking Template'!P104</f>
        <v>30th june 2024</v>
      </c>
      <c r="G103" s="48" t="str">
        <f>'Project Stocktaking Template'!Q104</f>
        <v>30th june 2024</v>
      </c>
      <c r="H103" s="49">
        <f>'Project Stocktaking Template'!R104</f>
        <v>855000</v>
      </c>
      <c r="I103" s="50" t="str">
        <f>'Project Stocktaking Template'!AD104</f>
        <v>Completed</v>
      </c>
      <c r="J103" s="45"/>
      <c r="K103" s="45"/>
      <c r="L103" s="45"/>
      <c r="M103" s="45"/>
      <c r="N103" s="45"/>
      <c r="O103" s="45"/>
      <c r="P103" s="45"/>
      <c r="Q103" s="45"/>
      <c r="R103" s="45"/>
      <c r="S103" s="45"/>
      <c r="T103" s="45"/>
      <c r="U103" s="45"/>
      <c r="V103" s="45"/>
      <c r="W103" s="45"/>
      <c r="X103" s="45"/>
      <c r="Y103" s="45"/>
      <c r="Z103" s="45"/>
    </row>
    <row r="104">
      <c r="A104" s="46">
        <v>103.0</v>
      </c>
      <c r="B104" s="47" t="str">
        <f>'Project Stocktaking Template'!B105</f>
        <v>RENOVATION OF DADAAB MUNICIPALITY OFFICES</v>
      </c>
      <c r="C104" s="47" t="str">
        <f>'Project Stocktaking Template'!H105</f>
        <v>Dadaab</v>
      </c>
      <c r="D104" s="47" t="str">
        <f>'Project Stocktaking Template'!I105</f>
        <v>Dadaab</v>
      </c>
      <c r="E104" s="48" t="str">
        <f>'Project Stocktaking Template'!O105</f>
        <v>1st aug 2023</v>
      </c>
      <c r="F104" s="48" t="str">
        <f>'Project Stocktaking Template'!P105</f>
        <v>30th june 2024</v>
      </c>
      <c r="G104" s="48" t="str">
        <f>'Project Stocktaking Template'!Q105</f>
        <v>30th june 2024</v>
      </c>
      <c r="H104" s="49">
        <f>'Project Stocktaking Template'!R105</f>
        <v>3476956</v>
      </c>
      <c r="I104" s="50" t="str">
        <f>'Project Stocktaking Template'!AD105</f>
        <v>Completed</v>
      </c>
      <c r="J104" s="45"/>
      <c r="K104" s="45"/>
      <c r="L104" s="45"/>
      <c r="M104" s="45"/>
      <c r="N104" s="45"/>
      <c r="O104" s="45"/>
      <c r="P104" s="45"/>
      <c r="Q104" s="45"/>
      <c r="R104" s="45"/>
      <c r="S104" s="45"/>
      <c r="T104" s="45"/>
      <c r="U104" s="45"/>
      <c r="V104" s="45"/>
      <c r="W104" s="45"/>
      <c r="X104" s="45"/>
      <c r="Y104" s="45"/>
      <c r="Z104" s="45"/>
    </row>
    <row r="105">
      <c r="A105" s="51">
        <v>104.0</v>
      </c>
      <c r="B105" s="47" t="str">
        <f>'Project Stocktaking Template'!B106</f>
        <v>EXTENSION OF QONE MODOGASHE PIPELINE</v>
      </c>
      <c r="C105" s="47" t="str">
        <f>'Project Stocktaking Template'!H106</f>
        <v>Lagdera</v>
      </c>
      <c r="D105" s="47" t="str">
        <f>'Project Stocktaking Template'!I106</f>
        <v>Modogashe</v>
      </c>
      <c r="E105" s="48" t="str">
        <f>'Project Stocktaking Template'!O106</f>
        <v>1st aug 2023</v>
      </c>
      <c r="F105" s="48" t="str">
        <f>'Project Stocktaking Template'!P106</f>
        <v>30th june 2024</v>
      </c>
      <c r="G105" s="48" t="str">
        <f>'Project Stocktaking Template'!Q106</f>
        <v>30th june 2024</v>
      </c>
      <c r="H105" s="49">
        <f>'Project Stocktaking Template'!R106</f>
        <v>29900637</v>
      </c>
      <c r="I105" s="50" t="str">
        <f>'Project Stocktaking Template'!AD106</f>
        <v>Completed</v>
      </c>
      <c r="J105" s="45"/>
      <c r="K105" s="45"/>
      <c r="L105" s="45"/>
      <c r="M105" s="45"/>
      <c r="N105" s="45"/>
      <c r="O105" s="45"/>
      <c r="P105" s="45"/>
      <c r="Q105" s="45"/>
      <c r="R105" s="45"/>
      <c r="S105" s="45"/>
      <c r="T105" s="45"/>
      <c r="U105" s="45"/>
      <c r="V105" s="45"/>
      <c r="W105" s="45"/>
      <c r="X105" s="45"/>
      <c r="Y105" s="45"/>
      <c r="Z105" s="45"/>
    </row>
    <row r="106">
      <c r="A106" s="46">
        <v>105.0</v>
      </c>
      <c r="B106" s="47" t="str">
        <f>'Project Stocktaking Template'!B107</f>
        <v>RENOVATION OF ECD CLASSROOM</v>
      </c>
      <c r="C106" s="47" t="str">
        <f>'Project Stocktaking Template'!H107</f>
        <v>GarissaTownship</v>
      </c>
      <c r="D106" s="47" t="str">
        <f>'Project Stocktaking Template'!I107</f>
        <v>Township</v>
      </c>
      <c r="E106" s="48" t="str">
        <f>'Project Stocktaking Template'!O107</f>
        <v>1st aug 2023</v>
      </c>
      <c r="F106" s="48" t="str">
        <f>'Project Stocktaking Template'!P107</f>
        <v>30th june 2024</v>
      </c>
      <c r="G106" s="48" t="str">
        <f>'Project Stocktaking Template'!Q107</f>
        <v>30th june 2024</v>
      </c>
      <c r="H106" s="49">
        <f>'Project Stocktaking Template'!R107</f>
        <v>2102437</v>
      </c>
      <c r="I106" s="50" t="str">
        <f>'Project Stocktaking Template'!AD107</f>
        <v>Completed</v>
      </c>
      <c r="J106" s="45"/>
      <c r="K106" s="45"/>
      <c r="L106" s="45"/>
      <c r="M106" s="45"/>
      <c r="N106" s="45"/>
      <c r="O106" s="45"/>
      <c r="P106" s="45"/>
      <c r="Q106" s="45"/>
      <c r="R106" s="45"/>
      <c r="S106" s="45"/>
      <c r="T106" s="45"/>
      <c r="U106" s="45"/>
      <c r="V106" s="45"/>
      <c r="W106" s="45"/>
      <c r="X106" s="45"/>
      <c r="Y106" s="45"/>
      <c r="Z106" s="45"/>
    </row>
    <row r="107">
      <c r="A107" s="51">
        <v>106.0</v>
      </c>
      <c r="B107" s="47" t="str">
        <f>'Project Stocktaking Template'!B108</f>
        <v>RENOVATION OF WORKS OFFICES</v>
      </c>
      <c r="C107" s="47" t="str">
        <f>'Project Stocktaking Template'!H108</f>
        <v>GarissaTownship</v>
      </c>
      <c r="D107" s="47" t="str">
        <f>'Project Stocktaking Template'!I108</f>
        <v>Township</v>
      </c>
      <c r="E107" s="48" t="str">
        <f>'Project Stocktaking Template'!O108</f>
        <v>1st aug 2023</v>
      </c>
      <c r="F107" s="48" t="str">
        <f>'Project Stocktaking Template'!P108</f>
        <v>30th june 2024</v>
      </c>
      <c r="G107" s="48" t="str">
        <f>'Project Stocktaking Template'!Q108</f>
        <v>30th june 2024</v>
      </c>
      <c r="H107" s="49">
        <f>'Project Stocktaking Template'!R108</f>
        <v>3484638</v>
      </c>
      <c r="I107" s="50" t="str">
        <f>'Project Stocktaking Template'!AD108</f>
        <v>Completed</v>
      </c>
      <c r="J107" s="45"/>
      <c r="K107" s="45"/>
      <c r="L107" s="45"/>
      <c r="M107" s="45"/>
      <c r="N107" s="45"/>
      <c r="O107" s="45"/>
      <c r="P107" s="45"/>
      <c r="Q107" s="45"/>
      <c r="R107" s="45"/>
      <c r="S107" s="45"/>
      <c r="T107" s="45"/>
      <c r="U107" s="45"/>
      <c r="V107" s="45"/>
      <c r="W107" s="45"/>
      <c r="X107" s="45"/>
      <c r="Y107" s="45"/>
      <c r="Z107" s="45"/>
    </row>
    <row r="108">
      <c r="A108" s="46">
        <v>107.0</v>
      </c>
      <c r="B108" s="47" t="str">
        <f>'Project Stocktaking Template'!B109</f>
        <v>RENOVATION OF DADAAB MUNICIPALITY OFFICES</v>
      </c>
      <c r="C108" s="47" t="str">
        <f>'Project Stocktaking Template'!H109</f>
        <v>Dadaab</v>
      </c>
      <c r="D108" s="47" t="str">
        <f>'Project Stocktaking Template'!I109</f>
        <v>Dadaab</v>
      </c>
      <c r="E108" s="48" t="str">
        <f>'Project Stocktaking Template'!O109</f>
        <v>1st aug 2023</v>
      </c>
      <c r="F108" s="48" t="str">
        <f>'Project Stocktaking Template'!P109</f>
        <v>30th june 2024</v>
      </c>
      <c r="G108" s="48" t="str">
        <f>'Project Stocktaking Template'!Q109</f>
        <v>30th june 2024</v>
      </c>
      <c r="H108" s="49">
        <f>'Project Stocktaking Template'!R109</f>
        <v>12350000</v>
      </c>
      <c r="I108" s="50" t="str">
        <f>'Project Stocktaking Template'!AD109</f>
        <v>Completed</v>
      </c>
      <c r="J108" s="45"/>
      <c r="K108" s="45"/>
      <c r="L108" s="45"/>
      <c r="M108" s="45"/>
      <c r="N108" s="45"/>
      <c r="O108" s="45"/>
      <c r="P108" s="45"/>
      <c r="Q108" s="45"/>
      <c r="R108" s="45"/>
      <c r="S108" s="45"/>
      <c r="T108" s="45"/>
      <c r="U108" s="45"/>
      <c r="V108" s="45"/>
      <c r="W108" s="45"/>
      <c r="X108" s="45"/>
      <c r="Y108" s="45"/>
      <c r="Z108" s="45"/>
    </row>
    <row r="109">
      <c r="A109" s="51">
        <v>108.0</v>
      </c>
      <c r="B109" s="47" t="str">
        <f>'Project Stocktaking Template'!B110</f>
        <v>Proposed Drilling and Equiping of Makah Borehole in Dadaab Sub County</v>
      </c>
      <c r="C109" s="47" t="str">
        <f>'Project Stocktaking Template'!H110</f>
        <v>Dadaab</v>
      </c>
      <c r="D109" s="47" t="str">
        <f>'Project Stocktaking Template'!I110</f>
        <v>Dadaab</v>
      </c>
      <c r="E109" s="48" t="str">
        <f>'Project Stocktaking Template'!O110</f>
        <v>1st aug 2023</v>
      </c>
      <c r="F109" s="48" t="str">
        <f>'Project Stocktaking Template'!P110</f>
        <v>30th june 2024</v>
      </c>
      <c r="G109" s="48" t="str">
        <f>'Project Stocktaking Template'!Q110</f>
        <v>30th june 2024</v>
      </c>
      <c r="H109" s="49">
        <f>'Project Stocktaking Template'!R110</f>
        <v>12350000</v>
      </c>
      <c r="I109" s="50" t="str">
        <f>'Project Stocktaking Template'!AD110</f>
        <v>Completed</v>
      </c>
      <c r="J109" s="45"/>
      <c r="K109" s="45"/>
      <c r="L109" s="45"/>
      <c r="M109" s="45"/>
      <c r="N109" s="45"/>
      <c r="O109" s="45"/>
      <c r="P109" s="45"/>
      <c r="Q109" s="45"/>
      <c r="R109" s="45"/>
      <c r="S109" s="45"/>
      <c r="T109" s="45"/>
      <c r="U109" s="45"/>
      <c r="V109" s="45"/>
      <c r="W109" s="45"/>
      <c r="X109" s="45"/>
      <c r="Y109" s="45"/>
      <c r="Z109" s="45"/>
    </row>
    <row r="110">
      <c r="A110" s="46">
        <v>109.0</v>
      </c>
      <c r="B110" s="47" t="str">
        <f>'Project Stocktaking Template'!B111</f>
        <v>CONSTRUCTION OF NEW MAIN GATE AT COUNTY HEADQUATER</v>
      </c>
      <c r="C110" s="47" t="str">
        <f>'Project Stocktaking Template'!H111</f>
        <v>GarissaTownship</v>
      </c>
      <c r="D110" s="47" t="str">
        <f>'Project Stocktaking Template'!I111</f>
        <v>Township</v>
      </c>
      <c r="E110" s="48" t="str">
        <f>'Project Stocktaking Template'!O111</f>
        <v>1st aug 2023</v>
      </c>
      <c r="F110" s="48" t="str">
        <f>'Project Stocktaking Template'!P111</f>
        <v>30th june 2024</v>
      </c>
      <c r="G110" s="48" t="str">
        <f>'Project Stocktaking Template'!Q111</f>
        <v>30th june 2024</v>
      </c>
      <c r="H110" s="49">
        <f>'Project Stocktaking Template'!R111</f>
        <v>3473447</v>
      </c>
      <c r="I110" s="50" t="str">
        <f>'Project Stocktaking Template'!AD111</f>
        <v>Completed</v>
      </c>
      <c r="J110" s="45"/>
      <c r="K110" s="45"/>
      <c r="L110" s="45"/>
      <c r="M110" s="45"/>
      <c r="N110" s="45"/>
      <c r="O110" s="45"/>
      <c r="P110" s="45"/>
      <c r="Q110" s="45"/>
      <c r="R110" s="45"/>
      <c r="S110" s="45"/>
      <c r="T110" s="45"/>
      <c r="U110" s="45"/>
      <c r="V110" s="45"/>
      <c r="W110" s="45"/>
      <c r="X110" s="45"/>
      <c r="Y110" s="45"/>
      <c r="Z110" s="45"/>
    </row>
    <row r="111">
      <c r="A111" s="51">
        <v>110.0</v>
      </c>
      <c r="B111" s="47" t="str">
        <f>'Project Stocktaking Template'!B112</f>
        <v>CONSTRUCTION OF ECD CLASSROOM AT TOGDUB PRIMARY</v>
      </c>
      <c r="C111" s="47" t="str">
        <f>'Project Stocktaking Template'!H112</f>
        <v>Balambala</v>
      </c>
      <c r="D111" s="47" t="str">
        <f>'Project Stocktaking Template'!I112</f>
        <v>Danyere</v>
      </c>
      <c r="E111" s="48" t="str">
        <f>'Project Stocktaking Template'!O112</f>
        <v>1st aug 2023</v>
      </c>
      <c r="F111" s="48" t="str">
        <f>'Project Stocktaking Template'!P112</f>
        <v>30th june 2024</v>
      </c>
      <c r="G111" s="48" t="str">
        <f>'Project Stocktaking Template'!Q112</f>
        <v>30th june 2024</v>
      </c>
      <c r="H111" s="49">
        <f>'Project Stocktaking Template'!R112</f>
        <v>3669500</v>
      </c>
      <c r="I111" s="50" t="str">
        <f>'Project Stocktaking Template'!AD112</f>
        <v>Completed</v>
      </c>
      <c r="J111" s="45"/>
      <c r="K111" s="45"/>
      <c r="L111" s="45"/>
      <c r="M111" s="45"/>
      <c r="N111" s="45"/>
      <c r="O111" s="45"/>
      <c r="P111" s="45"/>
      <c r="Q111" s="45"/>
      <c r="R111" s="45"/>
      <c r="S111" s="45"/>
      <c r="T111" s="45"/>
      <c r="U111" s="45"/>
      <c r="V111" s="45"/>
      <c r="W111" s="45"/>
      <c r="X111" s="45"/>
      <c r="Y111" s="45"/>
      <c r="Z111" s="45"/>
    </row>
    <row r="112">
      <c r="A112" s="46">
        <v>111.0</v>
      </c>
      <c r="B112" s="47" t="str">
        <f>'Project Stocktaking Template'!B113</f>
        <v>CONSTRUCTION OF SUSPENDED SLAB AT QORAHEY MARKET</v>
      </c>
      <c r="C112" s="47" t="str">
        <f>'Project Stocktaking Template'!H113</f>
        <v>GarissaTownship</v>
      </c>
      <c r="D112" s="47" t="str">
        <f>'Project Stocktaking Template'!I113</f>
        <v>Township</v>
      </c>
      <c r="E112" s="48" t="str">
        <f>'Project Stocktaking Template'!O113</f>
        <v>1st aug 2023</v>
      </c>
      <c r="F112" s="48" t="str">
        <f>'Project Stocktaking Template'!P113</f>
        <v>30th june 2024</v>
      </c>
      <c r="G112" s="48" t="str">
        <f>'Project Stocktaking Template'!Q113</f>
        <v>30th june 2024</v>
      </c>
      <c r="H112" s="49">
        <f>'Project Stocktaking Template'!R113</f>
        <v>4171540</v>
      </c>
      <c r="I112" s="50" t="str">
        <f>'Project Stocktaking Template'!AD113</f>
        <v>Completed</v>
      </c>
      <c r="J112" s="45"/>
      <c r="K112" s="45"/>
      <c r="L112" s="45"/>
      <c r="M112" s="45"/>
      <c r="N112" s="45"/>
      <c r="O112" s="45"/>
      <c r="P112" s="45"/>
      <c r="Q112" s="45"/>
      <c r="R112" s="45"/>
      <c r="S112" s="45"/>
      <c r="T112" s="45"/>
      <c r="U112" s="45"/>
      <c r="V112" s="45"/>
      <c r="W112" s="45"/>
      <c r="X112" s="45"/>
      <c r="Y112" s="45"/>
      <c r="Z112" s="45"/>
    </row>
    <row r="113">
      <c r="A113" s="51">
        <v>112.0</v>
      </c>
      <c r="B113" s="47" t="str">
        <f>'Project Stocktaking Template'!B114</f>
        <v>CONSTRUCTION OF OUTPATIENT BLOCK AT MADINA HEALTH CENTRE</v>
      </c>
      <c r="C113" s="47" t="str">
        <f>'Project Stocktaking Template'!H114</f>
        <v>GarissaTownship</v>
      </c>
      <c r="D113" s="47" t="str">
        <f>'Project Stocktaking Template'!I114</f>
        <v>Waberi</v>
      </c>
      <c r="E113" s="48" t="str">
        <f>'Project Stocktaking Template'!O114</f>
        <v>1st aug 2023</v>
      </c>
      <c r="F113" s="48" t="str">
        <f>'Project Stocktaking Template'!P114</f>
        <v>30th june 2024</v>
      </c>
      <c r="G113" s="48" t="str">
        <f>'Project Stocktaking Template'!Q114</f>
        <v>30th june 2024</v>
      </c>
      <c r="H113" s="49">
        <f>'Project Stocktaking Template'!R114</f>
        <v>6000000</v>
      </c>
      <c r="I113" s="50" t="str">
        <f>'Project Stocktaking Template'!AD114</f>
        <v>Completed</v>
      </c>
      <c r="J113" s="45"/>
      <c r="K113" s="45"/>
      <c r="L113" s="45"/>
      <c r="M113" s="45"/>
      <c r="N113" s="45"/>
      <c r="O113" s="45"/>
      <c r="P113" s="45"/>
      <c r="Q113" s="45"/>
      <c r="R113" s="45"/>
      <c r="S113" s="45"/>
      <c r="T113" s="45"/>
      <c r="U113" s="45"/>
      <c r="V113" s="45"/>
      <c r="W113" s="45"/>
      <c r="X113" s="45"/>
      <c r="Y113" s="45"/>
      <c r="Z113" s="45"/>
    </row>
    <row r="114">
      <c r="A114" s="46">
        <v>113.0</v>
      </c>
      <c r="B114" s="47" t="str">
        <f>'Project Stocktaking Template'!B115</f>
        <v>CONSTRUCTION OF STEEL TANK AT COUNTY HEADQUATERS</v>
      </c>
      <c r="C114" s="47" t="str">
        <f>'Project Stocktaking Template'!H115</f>
        <v>GarissaTownship</v>
      </c>
      <c r="D114" s="47" t="str">
        <f>'Project Stocktaking Template'!I115</f>
        <v>Township</v>
      </c>
      <c r="E114" s="48" t="str">
        <f>'Project Stocktaking Template'!O115</f>
        <v>1st aug 2023</v>
      </c>
      <c r="F114" s="48" t="str">
        <f>'Project Stocktaking Template'!P115</f>
        <v>30th june 2024</v>
      </c>
      <c r="G114" s="48" t="str">
        <f>'Project Stocktaking Template'!Q115</f>
        <v>30th june 2024</v>
      </c>
      <c r="H114" s="49">
        <f>'Project Stocktaking Template'!R115</f>
        <v>4190404</v>
      </c>
      <c r="I114" s="50" t="str">
        <f>'Project Stocktaking Template'!AD115</f>
        <v>Completed</v>
      </c>
      <c r="J114" s="45"/>
      <c r="K114" s="45"/>
      <c r="L114" s="45"/>
      <c r="M114" s="45"/>
      <c r="N114" s="45"/>
      <c r="O114" s="45"/>
      <c r="P114" s="45"/>
      <c r="Q114" s="45"/>
      <c r="R114" s="45"/>
      <c r="S114" s="45"/>
      <c r="T114" s="45"/>
      <c r="U114" s="45"/>
      <c r="V114" s="45"/>
      <c r="W114" s="45"/>
      <c r="X114" s="45"/>
      <c r="Y114" s="45"/>
      <c r="Z114" s="45"/>
    </row>
    <row r="115">
      <c r="A115" s="51">
        <v>114.0</v>
      </c>
      <c r="B115" s="47" t="str">
        <f>'Project Stocktaking Template'!B116</f>
        <v>CONSTRUCTION OF GARISSA COUNTY REFERAL MEDICAL RECORDS OFFICES</v>
      </c>
      <c r="C115" s="47" t="str">
        <f>'Project Stocktaking Template'!H116</f>
        <v>GarissaTownship</v>
      </c>
      <c r="D115" s="47" t="str">
        <f>'Project Stocktaking Template'!I116</f>
        <v>Township</v>
      </c>
      <c r="E115" s="48" t="str">
        <f>'Project Stocktaking Template'!O116</f>
        <v>1st aug 2023</v>
      </c>
      <c r="F115" s="48" t="str">
        <f>'Project Stocktaking Template'!P116</f>
        <v>30th june 2024</v>
      </c>
      <c r="G115" s="48" t="str">
        <f>'Project Stocktaking Template'!Q116</f>
        <v>30th june 2024</v>
      </c>
      <c r="H115" s="49">
        <f>'Project Stocktaking Template'!R116</f>
        <v>5527134.2</v>
      </c>
      <c r="I115" s="50" t="str">
        <f>'Project Stocktaking Template'!AD116</f>
        <v>Completed</v>
      </c>
      <c r="J115" s="45"/>
      <c r="K115" s="45"/>
      <c r="L115" s="45"/>
      <c r="M115" s="45"/>
      <c r="N115" s="45"/>
      <c r="O115" s="45"/>
      <c r="P115" s="45"/>
      <c r="Q115" s="45"/>
      <c r="R115" s="45"/>
      <c r="S115" s="45"/>
      <c r="T115" s="45"/>
      <c r="U115" s="45"/>
      <c r="V115" s="45"/>
      <c r="W115" s="45"/>
      <c r="X115" s="45"/>
      <c r="Y115" s="45"/>
      <c r="Z115" s="45"/>
    </row>
    <row r="116">
      <c r="A116" s="46">
        <v>115.0</v>
      </c>
      <c r="B116" s="47" t="str">
        <f>'Project Stocktaking Template'!B117</f>
        <v>CONSTRCTION OF PERIMETER WALL AT FTC</v>
      </c>
      <c r="C116" s="47" t="str">
        <f>'Project Stocktaking Template'!H117</f>
        <v>GarissaTownship</v>
      </c>
      <c r="D116" s="47" t="str">
        <f>'Project Stocktaking Template'!I117</f>
        <v>Township</v>
      </c>
      <c r="E116" s="48" t="str">
        <f>'Project Stocktaking Template'!O117</f>
        <v>1st aug 2023</v>
      </c>
      <c r="F116" s="48" t="str">
        <f>'Project Stocktaking Template'!P117</f>
        <v>30th june 2024</v>
      </c>
      <c r="G116" s="48" t="str">
        <f>'Project Stocktaking Template'!Q117</f>
        <v>30th june 2024</v>
      </c>
      <c r="H116" s="49">
        <f>'Project Stocktaking Template'!R117</f>
        <v>7001103.45</v>
      </c>
      <c r="I116" s="50" t="str">
        <f>'Project Stocktaking Template'!AD117</f>
        <v>Completed</v>
      </c>
      <c r="J116" s="45"/>
      <c r="K116" s="45"/>
      <c r="L116" s="45"/>
      <c r="M116" s="45"/>
      <c r="N116" s="45"/>
      <c r="O116" s="45"/>
      <c r="P116" s="45"/>
      <c r="Q116" s="45"/>
      <c r="R116" s="45"/>
      <c r="S116" s="45"/>
      <c r="T116" s="45"/>
      <c r="U116" s="45"/>
      <c r="V116" s="45"/>
      <c r="W116" s="45"/>
      <c r="X116" s="45"/>
      <c r="Y116" s="45"/>
      <c r="Z116" s="45"/>
    </row>
    <row r="117">
      <c r="A117" s="51">
        <v>116.0</v>
      </c>
      <c r="B117" s="47" t="str">
        <f>'Project Stocktaking Template'!B118</f>
        <v>CONSTRUCTION OF PARKING SLOT AT DADAAB MUNICIPALITIES</v>
      </c>
      <c r="C117" s="47" t="str">
        <f>'Project Stocktaking Template'!H118</f>
        <v>Dadaab</v>
      </c>
      <c r="D117" s="47" t="str">
        <f>'Project Stocktaking Template'!I118</f>
        <v>Dadaab</v>
      </c>
      <c r="E117" s="48" t="str">
        <f>'Project Stocktaking Template'!O118</f>
        <v>1st aug 2023</v>
      </c>
      <c r="F117" s="48" t="str">
        <f>'Project Stocktaking Template'!P118</f>
        <v>30th june 2024</v>
      </c>
      <c r="G117" s="48" t="str">
        <f>'Project Stocktaking Template'!Q118</f>
        <v>30th june 2024</v>
      </c>
      <c r="H117" s="49">
        <f>'Project Stocktaking Template'!R118</f>
        <v>3040000</v>
      </c>
      <c r="I117" s="50" t="str">
        <f>'Project Stocktaking Template'!AD118</f>
        <v>Completed</v>
      </c>
      <c r="J117" s="45"/>
      <c r="K117" s="45"/>
      <c r="L117" s="45"/>
      <c r="M117" s="45"/>
      <c r="N117" s="45"/>
      <c r="O117" s="45"/>
      <c r="P117" s="45"/>
      <c r="Q117" s="45"/>
      <c r="R117" s="45"/>
      <c r="S117" s="45"/>
      <c r="T117" s="45"/>
      <c r="U117" s="45"/>
      <c r="V117" s="45"/>
      <c r="W117" s="45"/>
      <c r="X117" s="45"/>
      <c r="Y117" s="45"/>
      <c r="Z117" s="45"/>
    </row>
    <row r="118">
      <c r="A118" s="46">
        <v>117.0</v>
      </c>
      <c r="B118" s="47" t="str">
        <f>'Project Stocktaking Template'!B119</f>
        <v>CONSTRUCTION WALKWAYS AND CONSTRUCTIONS OF AT BURA SUB COUNTY</v>
      </c>
      <c r="C118" s="47" t="str">
        <f>'Project Stocktaking Template'!H119</f>
        <v>Fafi</v>
      </c>
      <c r="D118" s="47" t="str">
        <f>'Project Stocktaking Template'!I119</f>
        <v>Bura</v>
      </c>
      <c r="E118" s="48" t="str">
        <f>'Project Stocktaking Template'!O119</f>
        <v>1st aug 2023</v>
      </c>
      <c r="F118" s="48" t="str">
        <f>'Project Stocktaking Template'!P119</f>
        <v>30th june 2024</v>
      </c>
      <c r="G118" s="48" t="str">
        <f>'Project Stocktaking Template'!Q119</f>
        <v>30th june 2024</v>
      </c>
      <c r="H118" s="49">
        <f>'Project Stocktaking Template'!R119</f>
        <v>4074976</v>
      </c>
      <c r="I118" s="50" t="str">
        <f>'Project Stocktaking Template'!AD119</f>
        <v>Completed</v>
      </c>
      <c r="J118" s="45"/>
      <c r="K118" s="45"/>
      <c r="L118" s="45"/>
      <c r="M118" s="45"/>
      <c r="N118" s="45"/>
      <c r="O118" s="45"/>
      <c r="P118" s="45"/>
      <c r="Q118" s="45"/>
      <c r="R118" s="45"/>
      <c r="S118" s="45"/>
      <c r="T118" s="45"/>
      <c r="U118" s="45"/>
      <c r="V118" s="45"/>
      <c r="W118" s="45"/>
      <c r="X118" s="45"/>
      <c r="Y118" s="45"/>
      <c r="Z118" s="45"/>
    </row>
    <row r="119">
      <c r="A119" s="51">
        <v>118.0</v>
      </c>
      <c r="B119" s="47" t="str">
        <f>'Project Stocktaking Template'!B120</f>
        <v>PROPOSED EXTENSION OF COUNTY HQS</v>
      </c>
      <c r="C119" s="47" t="str">
        <f>'Project Stocktaking Template'!H120</f>
        <v>GarissaTownship</v>
      </c>
      <c r="D119" s="47" t="str">
        <f>'Project Stocktaking Template'!I120</f>
        <v>Township</v>
      </c>
      <c r="E119" s="48" t="str">
        <f>'Project Stocktaking Template'!O120</f>
        <v>1st aug 2023</v>
      </c>
      <c r="F119" s="48" t="str">
        <f>'Project Stocktaking Template'!P120</f>
        <v>30th june 2024</v>
      </c>
      <c r="G119" s="48" t="str">
        <f>'Project Stocktaking Template'!Q120</f>
        <v>30th june 2024</v>
      </c>
      <c r="H119" s="49">
        <f>'Project Stocktaking Template'!R120</f>
        <v>7600000</v>
      </c>
      <c r="I119" s="50" t="str">
        <f>'Project Stocktaking Template'!AD120</f>
        <v>Completed</v>
      </c>
      <c r="J119" s="45"/>
      <c r="K119" s="45"/>
      <c r="L119" s="45"/>
      <c r="M119" s="45"/>
      <c r="N119" s="45"/>
      <c r="O119" s="45"/>
      <c r="P119" s="45"/>
      <c r="Q119" s="45"/>
      <c r="R119" s="45"/>
      <c r="S119" s="45"/>
      <c r="T119" s="45"/>
      <c r="U119" s="45"/>
      <c r="V119" s="45"/>
      <c r="W119" s="45"/>
      <c r="X119" s="45"/>
      <c r="Y119" s="45"/>
      <c r="Z119" s="45"/>
    </row>
    <row r="120">
      <c r="A120" s="46">
        <v>119.0</v>
      </c>
      <c r="B120" s="47" t="str">
        <f>'Project Stocktaking Template'!B121</f>
        <v>CONSTRUCTION OF MASONARY WALL AT LAND OFFICES</v>
      </c>
      <c r="C120" s="47" t="str">
        <f>'Project Stocktaking Template'!H121</f>
        <v>GarissaTownship</v>
      </c>
      <c r="D120" s="47" t="str">
        <f>'Project Stocktaking Template'!I121</f>
        <v>Township</v>
      </c>
      <c r="E120" s="48" t="str">
        <f>'Project Stocktaking Template'!O121</f>
        <v>1st aug 2023</v>
      </c>
      <c r="F120" s="48" t="str">
        <f>'Project Stocktaking Template'!P121</f>
        <v>30th june 2024</v>
      </c>
      <c r="G120" s="48" t="str">
        <f>'Project Stocktaking Template'!Q121</f>
        <v>30th june 2024</v>
      </c>
      <c r="H120" s="49">
        <f>'Project Stocktaking Template'!R121</f>
        <v>9010000</v>
      </c>
      <c r="I120" s="50" t="str">
        <f>'Project Stocktaking Template'!AD121</f>
        <v>Completed</v>
      </c>
      <c r="J120" s="45"/>
      <c r="K120" s="45"/>
      <c r="L120" s="45"/>
      <c r="M120" s="45"/>
      <c r="N120" s="45"/>
      <c r="O120" s="45"/>
      <c r="P120" s="45"/>
      <c r="Q120" s="45"/>
      <c r="R120" s="45"/>
      <c r="S120" s="45"/>
      <c r="T120" s="45"/>
      <c r="U120" s="45"/>
      <c r="V120" s="45"/>
      <c r="W120" s="45"/>
      <c r="X120" s="45"/>
      <c r="Y120" s="45"/>
      <c r="Z120" s="45"/>
    </row>
    <row r="121">
      <c r="A121" s="51">
        <v>120.0</v>
      </c>
      <c r="B121" s="47" t="str">
        <f>'Project Stocktaking Template'!B122</f>
        <v>CONSTRUCTION OF OUTPATIENT BLOCK AT MADINA HEALTH CENTRE</v>
      </c>
      <c r="C121" s="47" t="str">
        <f>'Project Stocktaking Template'!H122</f>
        <v>GarissaTownship</v>
      </c>
      <c r="D121" s="47" t="str">
        <f>'Project Stocktaking Template'!I122</f>
        <v>Waberi</v>
      </c>
      <c r="E121" s="48" t="str">
        <f>'Project Stocktaking Template'!O122</f>
        <v>1st aug 2023</v>
      </c>
      <c r="F121" s="48" t="str">
        <f>'Project Stocktaking Template'!P122</f>
        <v>30th june 2024</v>
      </c>
      <c r="G121" s="48" t="str">
        <f>'Project Stocktaking Template'!Q122</f>
        <v>30th june 2024</v>
      </c>
      <c r="H121" s="49">
        <f>'Project Stocktaking Template'!R122</f>
        <v>9500000</v>
      </c>
      <c r="I121" s="50" t="str">
        <f>'Project Stocktaking Template'!AD122</f>
        <v>Completed</v>
      </c>
      <c r="J121" s="45"/>
      <c r="K121" s="45"/>
      <c r="L121" s="45"/>
      <c r="M121" s="45"/>
      <c r="N121" s="45"/>
      <c r="O121" s="45"/>
      <c r="P121" s="45"/>
      <c r="Q121" s="45"/>
      <c r="R121" s="45"/>
      <c r="S121" s="45"/>
      <c r="T121" s="45"/>
      <c r="U121" s="45"/>
      <c r="V121" s="45"/>
      <c r="W121" s="45"/>
      <c r="X121" s="45"/>
      <c r="Y121" s="45"/>
      <c r="Z121" s="45"/>
    </row>
    <row r="122">
      <c r="A122" s="46">
        <v>121.0</v>
      </c>
      <c r="B122" s="47" t="str">
        <f>'Project Stocktaking Template'!B123</f>
        <v>CONSTRUCTION OF MOTHER AND CHILD HOPSITAL</v>
      </c>
      <c r="C122" s="47" t="str">
        <f>'Project Stocktaking Template'!H123</f>
        <v>GarissaTownship</v>
      </c>
      <c r="D122" s="47" t="str">
        <f>'Project Stocktaking Template'!I123</f>
        <v>Township</v>
      </c>
      <c r="E122" s="48" t="str">
        <f>'Project Stocktaking Template'!O123</f>
        <v>1st aug 2023</v>
      </c>
      <c r="F122" s="48" t="str">
        <f>'Project Stocktaking Template'!P123</f>
        <v>30th june 2024</v>
      </c>
      <c r="G122" s="48" t="str">
        <f>'Project Stocktaking Template'!Q123</f>
        <v>30th june 2024</v>
      </c>
      <c r="H122" s="49">
        <f>'Project Stocktaking Template'!R123</f>
        <v>42500000</v>
      </c>
      <c r="I122" s="50" t="str">
        <f>'Project Stocktaking Template'!AD123</f>
        <v>Completed</v>
      </c>
      <c r="J122" s="45"/>
      <c r="K122" s="45"/>
      <c r="L122" s="45"/>
      <c r="M122" s="45"/>
      <c r="N122" s="45"/>
      <c r="O122" s="45"/>
      <c r="P122" s="45"/>
      <c r="Q122" s="45"/>
      <c r="R122" s="45"/>
      <c r="S122" s="45"/>
      <c r="T122" s="45"/>
      <c r="U122" s="45"/>
      <c r="V122" s="45"/>
      <c r="W122" s="45"/>
      <c r="X122" s="45"/>
      <c r="Y122" s="45"/>
      <c r="Z122" s="45"/>
    </row>
    <row r="123">
      <c r="A123" s="51">
        <v>122.0</v>
      </c>
      <c r="B123" s="47" t="str">
        <f>'Project Stocktaking Template'!B124</f>
        <v>CONSTRUCTION OF PARKING AND FENCING AT QORAHEY MARKET</v>
      </c>
      <c r="C123" s="47" t="str">
        <f>'Project Stocktaking Template'!H124</f>
        <v>GarissaTownship</v>
      </c>
      <c r="D123" s="47" t="str">
        <f>'Project Stocktaking Template'!I124</f>
        <v>Township</v>
      </c>
      <c r="E123" s="48" t="str">
        <f>'Project Stocktaking Template'!O124</f>
        <v>1st aug 2023</v>
      </c>
      <c r="F123" s="48" t="str">
        <f>'Project Stocktaking Template'!P124</f>
        <v>30th june 2024</v>
      </c>
      <c r="G123" s="48" t="str">
        <f>'Project Stocktaking Template'!Q124</f>
        <v>30th june 2024</v>
      </c>
      <c r="H123" s="49">
        <f>'Project Stocktaking Template'!R124</f>
        <v>8575350</v>
      </c>
      <c r="I123" s="50" t="str">
        <f>'Project Stocktaking Template'!AD124</f>
        <v>Completed</v>
      </c>
      <c r="J123" s="45"/>
      <c r="K123" s="45"/>
      <c r="L123" s="45"/>
      <c r="M123" s="45"/>
      <c r="N123" s="45"/>
      <c r="O123" s="45"/>
      <c r="P123" s="45"/>
      <c r="Q123" s="45"/>
      <c r="R123" s="45"/>
      <c r="S123" s="45"/>
      <c r="T123" s="45"/>
      <c r="U123" s="45"/>
      <c r="V123" s="45"/>
      <c r="W123" s="45"/>
      <c r="X123" s="45"/>
      <c r="Y123" s="45"/>
      <c r="Z123" s="45"/>
    </row>
    <row r="124">
      <c r="A124" s="46">
        <v>123.0</v>
      </c>
      <c r="B124" s="47" t="str">
        <f>'Project Stocktaking Template'!B125</f>
        <v>CONSTRUCTION OF COUNTY HEADQUATERS</v>
      </c>
      <c r="C124" s="47" t="str">
        <f>'Project Stocktaking Template'!H125</f>
        <v>GarissaTownship</v>
      </c>
      <c r="D124" s="47" t="str">
        <f>'Project Stocktaking Template'!I125</f>
        <v>Township</v>
      </c>
      <c r="E124" s="48" t="str">
        <f>'Project Stocktaking Template'!O125</f>
        <v>1st aug 2023</v>
      </c>
      <c r="F124" s="48" t="str">
        <f>'Project Stocktaking Template'!P125</f>
        <v>30th june 2024</v>
      </c>
      <c r="G124" s="48" t="str">
        <f>'Project Stocktaking Template'!Q125</f>
        <v>30th june 2024</v>
      </c>
      <c r="H124" s="49">
        <f>'Project Stocktaking Template'!R125</f>
        <v>2000000</v>
      </c>
      <c r="I124" s="50" t="str">
        <f>'Project Stocktaking Template'!AD125</f>
        <v>Completed</v>
      </c>
      <c r="J124" s="45"/>
      <c r="K124" s="45"/>
      <c r="L124" s="45"/>
      <c r="M124" s="45"/>
      <c r="N124" s="45"/>
      <c r="O124" s="45"/>
      <c r="P124" s="45"/>
      <c r="Q124" s="45"/>
      <c r="R124" s="45"/>
      <c r="S124" s="45"/>
      <c r="T124" s="45"/>
      <c r="U124" s="45"/>
      <c r="V124" s="45"/>
      <c r="W124" s="45"/>
      <c r="X124" s="45"/>
      <c r="Y124" s="45"/>
      <c r="Z124" s="45"/>
    </row>
    <row r="125">
      <c r="A125" s="51">
        <v>124.0</v>
      </c>
      <c r="B125" s="47" t="str">
        <f>'Project Stocktaking Template'!B126</f>
        <v>CONSTRUCTION OF WABERI POLICE POST</v>
      </c>
      <c r="C125" s="47" t="str">
        <f>'Project Stocktaking Template'!H126</f>
        <v>GarissaTownship</v>
      </c>
      <c r="D125" s="47" t="str">
        <f>'Project Stocktaking Template'!I126</f>
        <v>Waberi</v>
      </c>
      <c r="E125" s="48" t="str">
        <f>'Project Stocktaking Template'!O126</f>
        <v>1st aug 2023</v>
      </c>
      <c r="F125" s="48" t="str">
        <f>'Project Stocktaking Template'!P126</f>
        <v>30th june 2024</v>
      </c>
      <c r="G125" s="48" t="str">
        <f>'Project Stocktaking Template'!Q126</f>
        <v>30th june 2024</v>
      </c>
      <c r="H125" s="49">
        <f>'Project Stocktaking Template'!R126</f>
        <v>3000000</v>
      </c>
      <c r="I125" s="50" t="str">
        <f>'Project Stocktaking Template'!AD126</f>
        <v>Completed</v>
      </c>
      <c r="J125" s="45"/>
      <c r="K125" s="45"/>
      <c r="L125" s="45"/>
      <c r="M125" s="45"/>
      <c r="N125" s="45"/>
      <c r="O125" s="45"/>
      <c r="P125" s="45"/>
      <c r="Q125" s="45"/>
      <c r="R125" s="45"/>
      <c r="S125" s="45"/>
      <c r="T125" s="45"/>
      <c r="U125" s="45"/>
      <c r="V125" s="45"/>
      <c r="W125" s="45"/>
      <c r="X125" s="45"/>
      <c r="Y125" s="45"/>
      <c r="Z125" s="45"/>
    </row>
    <row r="126">
      <c r="A126" s="46">
        <v>125.0</v>
      </c>
      <c r="B126" s="47" t="str">
        <f>'Project Stocktaking Template'!B127</f>
        <v>CONSTRUCTION OF PARKING LOT AT DADAAB MUNICIPALITY OFFICES</v>
      </c>
      <c r="C126" s="47" t="str">
        <f>'Project Stocktaking Template'!H127</f>
        <v>Dadaab</v>
      </c>
      <c r="D126" s="47" t="str">
        <f>'Project Stocktaking Template'!I127</f>
        <v>Dadaab</v>
      </c>
      <c r="E126" s="48" t="str">
        <f>'Project Stocktaking Template'!O127</f>
        <v>1st aug 2023</v>
      </c>
      <c r="F126" s="48" t="str">
        <f>'Project Stocktaking Template'!P127</f>
        <v>30th june 2024</v>
      </c>
      <c r="G126" s="48" t="str">
        <f>'Project Stocktaking Template'!Q127</f>
        <v>30th june 2024</v>
      </c>
      <c r="H126" s="49">
        <f>'Project Stocktaking Template'!R127</f>
        <v>12350000</v>
      </c>
      <c r="I126" s="50" t="str">
        <f>'Project Stocktaking Template'!AD127</f>
        <v>Completed</v>
      </c>
      <c r="J126" s="45"/>
      <c r="K126" s="45"/>
      <c r="L126" s="45"/>
      <c r="M126" s="45"/>
      <c r="N126" s="45"/>
      <c r="O126" s="45"/>
      <c r="P126" s="45"/>
      <c r="Q126" s="45"/>
      <c r="R126" s="45"/>
      <c r="S126" s="45"/>
      <c r="T126" s="45"/>
      <c r="U126" s="45"/>
      <c r="V126" s="45"/>
      <c r="W126" s="45"/>
      <c r="X126" s="45"/>
      <c r="Y126" s="45"/>
      <c r="Z126" s="45"/>
    </row>
    <row r="127">
      <c r="A127" s="51">
        <v>126.0</v>
      </c>
      <c r="B127" s="47" t="str">
        <f>'Project Stocktaking Template'!B128</f>
        <v>CONSTRUCTION OF PARKING LOT AT DADAAB MUNICIPALITY OFFICES</v>
      </c>
      <c r="C127" s="47" t="str">
        <f>'Project Stocktaking Template'!H128</f>
        <v>Dadaab</v>
      </c>
      <c r="D127" s="47" t="str">
        <f>'Project Stocktaking Template'!I128</f>
        <v>Dadaab</v>
      </c>
      <c r="E127" s="48" t="str">
        <f>'Project Stocktaking Template'!O128</f>
        <v>1st aug 2023</v>
      </c>
      <c r="F127" s="48" t="str">
        <f>'Project Stocktaking Template'!P128</f>
        <v>30th june 2024</v>
      </c>
      <c r="G127" s="48" t="str">
        <f>'Project Stocktaking Template'!Q128</f>
        <v>30th june 2024</v>
      </c>
      <c r="H127" s="49">
        <f>'Project Stocktaking Template'!R128</f>
        <v>1600000</v>
      </c>
      <c r="I127" s="50" t="str">
        <f>'Project Stocktaking Template'!AD128</f>
        <v>Completed</v>
      </c>
      <c r="J127" s="45"/>
      <c r="K127" s="45"/>
      <c r="L127" s="45"/>
      <c r="M127" s="45"/>
      <c r="N127" s="45"/>
      <c r="O127" s="45"/>
      <c r="P127" s="45"/>
      <c r="Q127" s="45"/>
      <c r="R127" s="45"/>
      <c r="S127" s="45"/>
      <c r="T127" s="45"/>
      <c r="U127" s="45"/>
      <c r="V127" s="45"/>
      <c r="W127" s="45"/>
      <c r="X127" s="45"/>
      <c r="Y127" s="45"/>
      <c r="Z127" s="45"/>
    </row>
    <row r="128">
      <c r="A128" s="46">
        <v>127.0</v>
      </c>
      <c r="B128" s="47" t="str">
        <f>'Project Stocktaking Template'!B129</f>
        <v>MAINATANCE OF LIKOLEY ACCESS FARM ROAD</v>
      </c>
      <c r="C128" s="47" t="str">
        <f>'Project Stocktaking Template'!H129</f>
        <v>GarissaTownship</v>
      </c>
      <c r="D128" s="47" t="str">
        <f>'Project Stocktaking Template'!I129</f>
        <v>Township</v>
      </c>
      <c r="E128" s="48" t="str">
        <f>'Project Stocktaking Template'!O129</f>
        <v>1st aug 2023</v>
      </c>
      <c r="F128" s="48" t="str">
        <f>'Project Stocktaking Template'!P129</f>
        <v>30th june 2024</v>
      </c>
      <c r="G128" s="48" t="str">
        <f>'Project Stocktaking Template'!Q129</f>
        <v>30th june 2024</v>
      </c>
      <c r="H128" s="49">
        <f>'Project Stocktaking Template'!R129</f>
        <v>1963650</v>
      </c>
      <c r="I128" s="50" t="str">
        <f>'Project Stocktaking Template'!AD129</f>
        <v>Completed</v>
      </c>
      <c r="J128" s="45"/>
      <c r="K128" s="45"/>
      <c r="L128" s="45"/>
      <c r="M128" s="45"/>
      <c r="N128" s="45"/>
      <c r="O128" s="45"/>
      <c r="P128" s="45"/>
      <c r="Q128" s="45"/>
      <c r="R128" s="45"/>
      <c r="S128" s="45"/>
      <c r="T128" s="45"/>
      <c r="U128" s="45"/>
      <c r="V128" s="45"/>
      <c r="W128" s="45"/>
      <c r="X128" s="45"/>
      <c r="Y128" s="45"/>
      <c r="Z128" s="45"/>
    </row>
    <row r="129">
      <c r="A129" s="51">
        <v>128.0</v>
      </c>
      <c r="B129" s="47" t="str">
        <f>'Project Stocktaking Template'!B130</f>
        <v>MAINATAINACE OF AINUSHAMSI GRAYE YARD ROAD</v>
      </c>
      <c r="C129" s="47" t="str">
        <f>'Project Stocktaking Template'!H130</f>
        <v>GarissaTownship</v>
      </c>
      <c r="D129" s="47" t="str">
        <f>'Project Stocktaking Template'!I130</f>
        <v>Galbet</v>
      </c>
      <c r="E129" s="48" t="str">
        <f>'Project Stocktaking Template'!O130</f>
        <v>1st aug 2023</v>
      </c>
      <c r="F129" s="48" t="str">
        <f>'Project Stocktaking Template'!P130</f>
        <v>30th june 2024</v>
      </c>
      <c r="G129" s="48" t="str">
        <f>'Project Stocktaking Template'!Q130</f>
        <v>30th june 2024</v>
      </c>
      <c r="H129" s="49">
        <f>'Project Stocktaking Template'!R130</f>
        <v>2293041.6</v>
      </c>
      <c r="I129" s="50" t="str">
        <f>'Project Stocktaking Template'!AD130</f>
        <v>Completed</v>
      </c>
      <c r="J129" s="45"/>
      <c r="K129" s="45"/>
      <c r="L129" s="45"/>
      <c r="M129" s="45"/>
      <c r="N129" s="45"/>
      <c r="O129" s="45"/>
      <c r="P129" s="45"/>
      <c r="Q129" s="45"/>
      <c r="R129" s="45"/>
      <c r="S129" s="45"/>
      <c r="T129" s="45"/>
      <c r="U129" s="45"/>
      <c r="V129" s="45"/>
      <c r="W129" s="45"/>
      <c r="X129" s="45"/>
      <c r="Y129" s="45"/>
      <c r="Z129" s="45"/>
    </row>
    <row r="130">
      <c r="A130" s="46">
        <v>129.0</v>
      </c>
      <c r="B130" s="47" t="str">
        <f>'Project Stocktaking Template'!B131</f>
        <v>MAINATAINACE OF NAJAH MADARASA ROAD</v>
      </c>
      <c r="C130" s="47" t="str">
        <f>'Project Stocktaking Template'!H131</f>
        <v>GarissaTownship</v>
      </c>
      <c r="D130" s="47" t="str">
        <f>'Project Stocktaking Template'!I131</f>
        <v>Iftin</v>
      </c>
      <c r="E130" s="48" t="str">
        <f>'Project Stocktaking Template'!O131</f>
        <v>1st aug 2023</v>
      </c>
      <c r="F130" s="48" t="str">
        <f>'Project Stocktaking Template'!P131</f>
        <v>30th june 2024</v>
      </c>
      <c r="G130" s="48" t="str">
        <f>'Project Stocktaking Template'!Q131</f>
        <v>30th june 2024</v>
      </c>
      <c r="H130" s="49">
        <f>'Project Stocktaking Template'!R131</f>
        <v>2354533.2</v>
      </c>
      <c r="I130" s="50" t="str">
        <f>'Project Stocktaking Template'!AD131</f>
        <v>Completed</v>
      </c>
      <c r="J130" s="45"/>
      <c r="K130" s="45"/>
      <c r="L130" s="45"/>
      <c r="M130" s="45"/>
      <c r="N130" s="45"/>
      <c r="O130" s="45"/>
      <c r="P130" s="45"/>
      <c r="Q130" s="45"/>
      <c r="R130" s="45"/>
      <c r="S130" s="45"/>
      <c r="T130" s="45"/>
      <c r="U130" s="45"/>
      <c r="V130" s="45"/>
      <c r="W130" s="45"/>
      <c r="X130" s="45"/>
      <c r="Y130" s="45"/>
      <c r="Z130" s="45"/>
    </row>
    <row r="131">
      <c r="A131" s="51">
        <v>130.0</v>
      </c>
      <c r="B131" s="47" t="str">
        <f>'Project Stocktaking Template'!B132</f>
        <v>MIANTAINANCE OF EID GROUND GALTOTHOW ROAD</v>
      </c>
      <c r="C131" s="47" t="str">
        <f>'Project Stocktaking Template'!H132</f>
        <v>Fafi</v>
      </c>
      <c r="D131" s="47" t="str">
        <f>'Project Stocktaking Template'!I132</f>
        <v>Fafi</v>
      </c>
      <c r="E131" s="48" t="str">
        <f>'Project Stocktaking Template'!O132</f>
        <v>1st aug 2023</v>
      </c>
      <c r="F131" s="48" t="str">
        <f>'Project Stocktaking Template'!P132</f>
        <v>30th june 2024</v>
      </c>
      <c r="G131" s="48" t="str">
        <f>'Project Stocktaking Template'!Q132</f>
        <v>30th june 2024</v>
      </c>
      <c r="H131" s="49">
        <f>'Project Stocktaking Template'!R132</f>
        <v>2377014</v>
      </c>
      <c r="I131" s="50" t="str">
        <f>'Project Stocktaking Template'!AD132</f>
        <v>Completed</v>
      </c>
      <c r="J131" s="45"/>
      <c r="K131" s="45"/>
      <c r="L131" s="45"/>
      <c r="M131" s="45"/>
      <c r="N131" s="45"/>
      <c r="O131" s="45"/>
      <c r="P131" s="45"/>
      <c r="Q131" s="45"/>
      <c r="R131" s="45"/>
      <c r="S131" s="45"/>
      <c r="T131" s="45"/>
      <c r="U131" s="45"/>
      <c r="V131" s="45"/>
      <c r="W131" s="45"/>
      <c r="X131" s="45"/>
      <c r="Y131" s="45"/>
      <c r="Z131" s="45"/>
    </row>
    <row r="132">
      <c r="A132" s="46">
        <v>131.0</v>
      </c>
      <c r="B132" s="47" t="str">
        <f>'Project Stocktaking Template'!B133</f>
        <v>MAINTAINANCE OF NASIB BATHIA FARM ROAD </v>
      </c>
      <c r="C132" s="47" t="str">
        <f>'Project Stocktaking Template'!H133</f>
        <v>GarissaTownship</v>
      </c>
      <c r="D132" s="47" t="str">
        <f>'Project Stocktaking Template'!I133</f>
        <v>Waberi</v>
      </c>
      <c r="E132" s="48" t="str">
        <f>'Project Stocktaking Template'!O133</f>
        <v>1st aug 2023</v>
      </c>
      <c r="F132" s="48" t="str">
        <f>'Project Stocktaking Template'!P133</f>
        <v>30th june 2024</v>
      </c>
      <c r="G132" s="48" t="str">
        <f>'Project Stocktaking Template'!Q133</f>
        <v>30th june 2024</v>
      </c>
      <c r="H132" s="49">
        <f>'Project Stocktaking Template'!R133</f>
        <v>2421398</v>
      </c>
      <c r="I132" s="50" t="str">
        <f>'Project Stocktaking Template'!AD133</f>
        <v>Completed</v>
      </c>
      <c r="J132" s="45"/>
      <c r="K132" s="45"/>
      <c r="L132" s="45"/>
      <c r="M132" s="45"/>
      <c r="N132" s="45"/>
      <c r="O132" s="45"/>
      <c r="P132" s="45"/>
      <c r="Q132" s="45"/>
      <c r="R132" s="45"/>
      <c r="S132" s="45"/>
      <c r="T132" s="45"/>
      <c r="U132" s="45"/>
      <c r="V132" s="45"/>
      <c r="W132" s="45"/>
      <c r="X132" s="45"/>
      <c r="Y132" s="45"/>
      <c r="Z132" s="45"/>
    </row>
    <row r="133">
      <c r="A133" s="51">
        <v>132.0</v>
      </c>
      <c r="B133" s="47" t="str">
        <f>'Project Stocktaking Template'!B134</f>
        <v>MAINATAINANCE OF BULLA GAME ACCESS ROAD</v>
      </c>
      <c r="C133" s="47" t="str">
        <f>'Project Stocktaking Template'!H134</f>
        <v>GarissaTownship</v>
      </c>
      <c r="D133" s="47" t="str">
        <f>'Project Stocktaking Template'!I134</f>
        <v>Iftin</v>
      </c>
      <c r="E133" s="48" t="str">
        <f>'Project Stocktaking Template'!O134</f>
        <v>1st aug 2023</v>
      </c>
      <c r="F133" s="48" t="str">
        <f>'Project Stocktaking Template'!P134</f>
        <v>30th june 2024</v>
      </c>
      <c r="G133" s="48" t="str">
        <f>'Project Stocktaking Template'!Q134</f>
        <v>30th june 2024</v>
      </c>
      <c r="H133" s="49">
        <f>'Project Stocktaking Template'!R134</f>
        <v>2790704.8</v>
      </c>
      <c r="I133" s="50" t="str">
        <f>'Project Stocktaking Template'!AD134</f>
        <v>Completed</v>
      </c>
      <c r="J133" s="45"/>
      <c r="K133" s="45"/>
      <c r="L133" s="45"/>
      <c r="M133" s="45"/>
      <c r="N133" s="45"/>
      <c r="O133" s="45"/>
      <c r="P133" s="45"/>
      <c r="Q133" s="45"/>
      <c r="R133" s="45"/>
      <c r="S133" s="45"/>
      <c r="T133" s="45"/>
      <c r="U133" s="45"/>
      <c r="V133" s="45"/>
      <c r="W133" s="45"/>
      <c r="X133" s="45"/>
      <c r="Y133" s="45"/>
      <c r="Z133" s="45"/>
    </row>
    <row r="134">
      <c r="A134" s="46">
        <v>133.0</v>
      </c>
      <c r="B134" s="47" t="str">
        <f>'Project Stocktaking Template'!B135</f>
        <v>MAINTAINACE OF IFTIN DEKABUREY ROAD</v>
      </c>
      <c r="C134" s="47" t="str">
        <f>'Project Stocktaking Template'!H135</f>
        <v>GarissaTownship</v>
      </c>
      <c r="D134" s="47" t="str">
        <f>'Project Stocktaking Template'!I135</f>
        <v>Iftin</v>
      </c>
      <c r="E134" s="48" t="str">
        <f>'Project Stocktaking Template'!O135</f>
        <v>1st aug 2023</v>
      </c>
      <c r="F134" s="48" t="str">
        <f>'Project Stocktaking Template'!P135</f>
        <v>30th june 2024</v>
      </c>
      <c r="G134" s="48" t="str">
        <f>'Project Stocktaking Template'!Q135</f>
        <v>30th june 2024</v>
      </c>
      <c r="H134" s="49">
        <f>'Project Stocktaking Template'!R135</f>
        <v>2817814</v>
      </c>
      <c r="I134" s="50" t="str">
        <f>'Project Stocktaking Template'!AD135</f>
        <v>Completed</v>
      </c>
      <c r="J134" s="45"/>
      <c r="K134" s="45"/>
      <c r="L134" s="45"/>
      <c r="M134" s="45"/>
      <c r="N134" s="45"/>
      <c r="O134" s="45"/>
      <c r="P134" s="45"/>
      <c r="Q134" s="45"/>
      <c r="R134" s="45"/>
      <c r="S134" s="45"/>
      <c r="T134" s="45"/>
      <c r="U134" s="45"/>
      <c r="V134" s="45"/>
      <c r="W134" s="45"/>
      <c r="X134" s="45"/>
      <c r="Y134" s="45"/>
      <c r="Z134" s="45"/>
    </row>
    <row r="135">
      <c r="A135" s="51">
        <v>134.0</v>
      </c>
      <c r="B135" s="47" t="str">
        <f>'Project Stocktaking Template'!B136</f>
        <v>MAINATAINANCE OF SHANTABAQ ROAD</v>
      </c>
      <c r="C135" s="47" t="str">
        <f>'Project Stocktaking Template'!H136</f>
        <v>Lagdera</v>
      </c>
      <c r="D135" s="47" t="str">
        <f>'Project Stocktaking Template'!I136</f>
        <v>Modogashe</v>
      </c>
      <c r="E135" s="48" t="str">
        <f>'Project Stocktaking Template'!O136</f>
        <v>1st aug 2023</v>
      </c>
      <c r="F135" s="48" t="str">
        <f>'Project Stocktaking Template'!P136</f>
        <v>30th june 2024</v>
      </c>
      <c r="G135" s="48" t="str">
        <f>'Project Stocktaking Template'!Q136</f>
        <v>30th june 2024</v>
      </c>
      <c r="H135" s="49">
        <f>'Project Stocktaking Template'!R136</f>
        <v>2836327.6</v>
      </c>
      <c r="I135" s="50" t="str">
        <f>'Project Stocktaking Template'!AD136</f>
        <v>Completed</v>
      </c>
      <c r="J135" s="45"/>
      <c r="K135" s="45"/>
      <c r="L135" s="45"/>
      <c r="M135" s="45"/>
      <c r="N135" s="45"/>
      <c r="O135" s="45"/>
      <c r="P135" s="45"/>
      <c r="Q135" s="45"/>
      <c r="R135" s="45"/>
      <c r="S135" s="45"/>
      <c r="T135" s="45"/>
      <c r="U135" s="45"/>
      <c r="V135" s="45"/>
      <c r="W135" s="45"/>
      <c r="X135" s="45"/>
      <c r="Y135" s="45"/>
      <c r="Z135" s="45"/>
    </row>
    <row r="136">
      <c r="A136" s="46">
        <v>135.0</v>
      </c>
      <c r="B136" s="47" t="str">
        <f>'Project Stocktaking Template'!B137</f>
        <v>MAINTAINANCE OF SOKO NGOMBE IQRA ROAD</v>
      </c>
      <c r="C136" s="47" t="str">
        <f>'Project Stocktaking Template'!H137</f>
        <v>GarissaTownship</v>
      </c>
      <c r="D136" s="47" t="str">
        <f>'Project Stocktaking Template'!I137</f>
        <v>Waberi</v>
      </c>
      <c r="E136" s="48" t="str">
        <f>'Project Stocktaking Template'!O137</f>
        <v>1st aug 2023</v>
      </c>
      <c r="F136" s="48" t="str">
        <f>'Project Stocktaking Template'!P137</f>
        <v>30th june 2024</v>
      </c>
      <c r="G136" s="48" t="str">
        <f>'Project Stocktaking Template'!Q137</f>
        <v>30th june 2024</v>
      </c>
      <c r="H136" s="49">
        <f>'Project Stocktaking Template'!R137</f>
        <v>2836548</v>
      </c>
      <c r="I136" s="50" t="str">
        <f>'Project Stocktaking Template'!AD137</f>
        <v>Completed</v>
      </c>
      <c r="J136" s="45"/>
      <c r="K136" s="45"/>
      <c r="L136" s="45"/>
      <c r="M136" s="45"/>
      <c r="N136" s="45"/>
      <c r="O136" s="45"/>
      <c r="P136" s="45"/>
      <c r="Q136" s="45"/>
      <c r="R136" s="45"/>
      <c r="S136" s="45"/>
      <c r="T136" s="45"/>
      <c r="U136" s="45"/>
      <c r="V136" s="45"/>
      <c r="W136" s="45"/>
      <c r="X136" s="45"/>
      <c r="Y136" s="45"/>
      <c r="Z136" s="45"/>
    </row>
    <row r="137">
      <c r="A137" s="51">
        <v>136.0</v>
      </c>
      <c r="B137" s="47" t="str">
        <f>'Project Stocktaking Template'!B138</f>
        <v>MAINATAINANCE OF MIKONO GARISSA ACADEMAY ROAD</v>
      </c>
      <c r="C137" s="47" t="str">
        <f>'Project Stocktaking Template'!H138</f>
        <v>GarissaTownship</v>
      </c>
      <c r="D137" s="47" t="str">
        <f>'Project Stocktaking Template'!I138</f>
        <v>Iftin</v>
      </c>
      <c r="E137" s="48" t="str">
        <f>'Project Stocktaking Template'!O138</f>
        <v>1st aug 2023</v>
      </c>
      <c r="F137" s="48" t="str">
        <f>'Project Stocktaking Template'!P138</f>
        <v>30th june 2024</v>
      </c>
      <c r="G137" s="48" t="str">
        <f>'Project Stocktaking Template'!Q138</f>
        <v>30th june 2024</v>
      </c>
      <c r="H137" s="49">
        <f>'Project Stocktaking Template'!R138</f>
        <v>2843160</v>
      </c>
      <c r="I137" s="50" t="str">
        <f>'Project Stocktaking Template'!AD138</f>
        <v>Completed</v>
      </c>
      <c r="J137" s="45"/>
      <c r="K137" s="45"/>
      <c r="L137" s="45"/>
      <c r="M137" s="45"/>
      <c r="N137" s="45"/>
      <c r="O137" s="45"/>
      <c r="P137" s="45"/>
      <c r="Q137" s="45"/>
      <c r="R137" s="45"/>
      <c r="S137" s="45"/>
      <c r="T137" s="45"/>
      <c r="U137" s="45"/>
      <c r="V137" s="45"/>
      <c r="W137" s="45"/>
      <c r="X137" s="45"/>
      <c r="Y137" s="45"/>
      <c r="Z137" s="45"/>
    </row>
    <row r="138">
      <c r="A138" s="46">
        <v>137.0</v>
      </c>
      <c r="B138" s="47" t="str">
        <f>'Project Stocktaking Template'!B139</f>
        <v>MAINATAINNACE OF BULA BASHAL TAWAKAL ROAD</v>
      </c>
      <c r="C138" s="47" t="str">
        <f>'Project Stocktaking Template'!H139</f>
        <v>GarissaTownship</v>
      </c>
      <c r="D138" s="47" t="str">
        <f>'Project Stocktaking Template'!I139</f>
        <v>Iftin</v>
      </c>
      <c r="E138" s="48" t="str">
        <f>'Project Stocktaking Template'!O139</f>
        <v>1st aug 2023</v>
      </c>
      <c r="F138" s="48" t="str">
        <f>'Project Stocktaking Template'!P139</f>
        <v>30th june 2024</v>
      </c>
      <c r="G138" s="48" t="str">
        <f>'Project Stocktaking Template'!Q139</f>
        <v>30th june 2024</v>
      </c>
      <c r="H138" s="49">
        <f>'Project Stocktaking Template'!R139</f>
        <v>2843160</v>
      </c>
      <c r="I138" s="50" t="str">
        <f>'Project Stocktaking Template'!AD139</f>
        <v>Completed</v>
      </c>
      <c r="J138" s="45"/>
      <c r="K138" s="45"/>
      <c r="L138" s="45"/>
      <c r="M138" s="45"/>
      <c r="N138" s="45"/>
      <c r="O138" s="45"/>
      <c r="P138" s="45"/>
      <c r="Q138" s="45"/>
      <c r="R138" s="45"/>
      <c r="S138" s="45"/>
      <c r="T138" s="45"/>
      <c r="U138" s="45"/>
      <c r="V138" s="45"/>
      <c r="W138" s="45"/>
      <c r="X138" s="45"/>
      <c r="Y138" s="45"/>
      <c r="Z138" s="45"/>
    </row>
    <row r="139">
      <c r="A139" s="51">
        <v>138.0</v>
      </c>
      <c r="B139" s="47" t="str">
        <f>'Project Stocktaking Template'!B140</f>
        <v>MAINATAINACE OF MUSTAQBAL UNIVERSITY ROAD</v>
      </c>
      <c r="C139" s="47" t="str">
        <f>'Project Stocktaking Template'!H140</f>
        <v>GarissaTownship</v>
      </c>
      <c r="D139" s="47" t="str">
        <f>'Project Stocktaking Template'!I140</f>
        <v>Waberi</v>
      </c>
      <c r="E139" s="48" t="str">
        <f>'Project Stocktaking Template'!O140</f>
        <v>1st aug 2023</v>
      </c>
      <c r="F139" s="48" t="str">
        <f>'Project Stocktaking Template'!P140</f>
        <v>30th june 2024</v>
      </c>
      <c r="G139" s="48" t="str">
        <f>'Project Stocktaking Template'!Q140</f>
        <v>30th june 2024</v>
      </c>
      <c r="H139" s="49">
        <f>'Project Stocktaking Template'!R140</f>
        <v>2845584.4</v>
      </c>
      <c r="I139" s="50" t="str">
        <f>'Project Stocktaking Template'!AD140</f>
        <v>Completed</v>
      </c>
      <c r="J139" s="45"/>
      <c r="K139" s="45"/>
      <c r="L139" s="45"/>
      <c r="M139" s="45"/>
      <c r="N139" s="45"/>
      <c r="O139" s="45"/>
      <c r="P139" s="45"/>
      <c r="Q139" s="45"/>
      <c r="R139" s="45"/>
      <c r="S139" s="45"/>
      <c r="T139" s="45"/>
      <c r="U139" s="45"/>
      <c r="V139" s="45"/>
      <c r="W139" s="45"/>
      <c r="X139" s="45"/>
      <c r="Y139" s="45"/>
      <c r="Z139" s="45"/>
    </row>
    <row r="140">
      <c r="A140" s="46">
        <v>139.0</v>
      </c>
      <c r="B140" s="47" t="str">
        <f>'Project Stocktaking Template'!B141</f>
        <v>MAINATAINANACE OF IFTIN GIRLS BULLA RAHMA ROAD</v>
      </c>
      <c r="C140" s="47" t="str">
        <f>'Project Stocktaking Template'!H141</f>
        <v>GarissaTownship</v>
      </c>
      <c r="D140" s="47" t="str">
        <f>'Project Stocktaking Template'!I141</f>
        <v>Iftin</v>
      </c>
      <c r="E140" s="48" t="str">
        <f>'Project Stocktaking Template'!O141</f>
        <v>1st aug 2023</v>
      </c>
      <c r="F140" s="48" t="str">
        <f>'Project Stocktaking Template'!P141</f>
        <v>30th june 2024</v>
      </c>
      <c r="G140" s="48" t="str">
        <f>'Project Stocktaking Template'!Q141</f>
        <v>30th june 2024</v>
      </c>
      <c r="H140" s="49">
        <f>'Project Stocktaking Template'!R141</f>
        <v>2846466</v>
      </c>
      <c r="I140" s="50" t="str">
        <f>'Project Stocktaking Template'!AD141</f>
        <v>Completed</v>
      </c>
      <c r="J140" s="45"/>
      <c r="K140" s="45"/>
      <c r="L140" s="45"/>
      <c r="M140" s="45"/>
      <c r="N140" s="45"/>
      <c r="O140" s="45"/>
      <c r="P140" s="45"/>
      <c r="Q140" s="45"/>
      <c r="R140" s="45"/>
      <c r="S140" s="45"/>
      <c r="T140" s="45"/>
      <c r="U140" s="45"/>
      <c r="V140" s="45"/>
      <c r="W140" s="45"/>
      <c r="X140" s="45"/>
      <c r="Y140" s="45"/>
      <c r="Z140" s="45"/>
    </row>
    <row r="141">
      <c r="A141" s="51">
        <v>140.0</v>
      </c>
      <c r="B141" s="47" t="str">
        <f>'Project Stocktaking Template'!B142</f>
        <v>MAINATANACE OF DOBALE BULLA HIGHLAND ROAD</v>
      </c>
      <c r="C141" s="47" t="str">
        <f>'Project Stocktaking Template'!H142</f>
        <v>GarissaTownship</v>
      </c>
      <c r="D141" s="47" t="str">
        <f>'Project Stocktaking Template'!I142</f>
        <v>Galbet</v>
      </c>
      <c r="E141" s="48" t="str">
        <f>'Project Stocktaking Template'!O142</f>
        <v>1st aug 2023</v>
      </c>
      <c r="F141" s="48" t="str">
        <f>'Project Stocktaking Template'!P142</f>
        <v>30th june 2024</v>
      </c>
      <c r="G141" s="48" t="str">
        <f>'Project Stocktaking Template'!Q142</f>
        <v>30th june 2024</v>
      </c>
      <c r="H141" s="49">
        <f>'Project Stocktaking Template'!R142</f>
        <v>2848449.6</v>
      </c>
      <c r="I141" s="50" t="str">
        <f>'Project Stocktaking Template'!AD142</f>
        <v>Completed</v>
      </c>
      <c r="J141" s="45"/>
      <c r="K141" s="45"/>
      <c r="L141" s="45"/>
      <c r="M141" s="45"/>
      <c r="N141" s="45"/>
      <c r="O141" s="45"/>
      <c r="P141" s="45"/>
      <c r="Q141" s="45"/>
      <c r="R141" s="45"/>
      <c r="S141" s="45"/>
      <c r="T141" s="45"/>
      <c r="U141" s="45"/>
      <c r="V141" s="45"/>
      <c r="W141" s="45"/>
      <c r="X141" s="45"/>
      <c r="Y141" s="45"/>
      <c r="Z141" s="45"/>
    </row>
    <row r="142">
      <c r="A142" s="46">
        <v>141.0</v>
      </c>
      <c r="B142" s="47" t="str">
        <f>'Project Stocktaking Template'!B143</f>
        <v>MAINTAINANCE OF BULLA KAMOR JUNCTION</v>
      </c>
      <c r="C142" s="47" t="str">
        <f>'Project Stocktaking Template'!H143</f>
        <v>GarissaTownship</v>
      </c>
      <c r="D142" s="47" t="str">
        <f>'Project Stocktaking Template'!I143</f>
        <v>Galbet</v>
      </c>
      <c r="E142" s="48" t="str">
        <f>'Project Stocktaking Template'!O143</f>
        <v>1st aug 2023</v>
      </c>
      <c r="F142" s="48" t="str">
        <f>'Project Stocktaking Template'!P143</f>
        <v>30th june 2024</v>
      </c>
      <c r="G142" s="48" t="str">
        <f>'Project Stocktaking Template'!Q143</f>
        <v>30th june 2024</v>
      </c>
      <c r="H142" s="49">
        <f>'Project Stocktaking Template'!R143</f>
        <v>2850477</v>
      </c>
      <c r="I142" s="50" t="str">
        <f>'Project Stocktaking Template'!AD143</f>
        <v>Completed</v>
      </c>
      <c r="J142" s="45"/>
      <c r="K142" s="45"/>
      <c r="L142" s="45"/>
      <c r="M142" s="45"/>
      <c r="N142" s="45"/>
      <c r="O142" s="45"/>
      <c r="P142" s="45"/>
      <c r="Q142" s="45"/>
      <c r="R142" s="45"/>
      <c r="S142" s="45"/>
      <c r="T142" s="45"/>
      <c r="U142" s="45"/>
      <c r="V142" s="45"/>
      <c r="W142" s="45"/>
      <c r="X142" s="45"/>
      <c r="Y142" s="45"/>
      <c r="Z142" s="45"/>
    </row>
    <row r="143">
      <c r="A143" s="51">
        <v>142.0</v>
      </c>
      <c r="B143" s="47" t="str">
        <f>'Project Stocktaking Template'!B144</f>
        <v>MAINTAIANCE OF ORE MARKET GARISSA NDOGO ROAD</v>
      </c>
      <c r="C143" s="47" t="str">
        <f>'Project Stocktaking Template'!H144</f>
        <v>GarissaTownship</v>
      </c>
      <c r="D143" s="47" t="str">
        <f>'Project Stocktaking Template'!I144</f>
        <v>Galbet</v>
      </c>
      <c r="E143" s="48" t="str">
        <f>'Project Stocktaking Template'!O144</f>
        <v>1st aug 2023</v>
      </c>
      <c r="F143" s="48" t="str">
        <f>'Project Stocktaking Template'!P144</f>
        <v>30th june 2024</v>
      </c>
      <c r="G143" s="48" t="str">
        <f>'Project Stocktaking Template'!Q144</f>
        <v>30th june 2024</v>
      </c>
      <c r="H143" s="49">
        <f>'Project Stocktaking Template'!R144</f>
        <v>3000000</v>
      </c>
      <c r="I143" s="50" t="str">
        <f>'Project Stocktaking Template'!AD144</f>
        <v>Completed</v>
      </c>
      <c r="J143" s="45"/>
      <c r="K143" s="45"/>
      <c r="L143" s="45"/>
      <c r="M143" s="45"/>
      <c r="N143" s="45"/>
      <c r="O143" s="45"/>
      <c r="P143" s="45"/>
      <c r="Q143" s="45"/>
      <c r="R143" s="45"/>
      <c r="S143" s="45"/>
      <c r="T143" s="45"/>
      <c r="U143" s="45"/>
      <c r="V143" s="45"/>
      <c r="W143" s="45"/>
      <c r="X143" s="45"/>
      <c r="Y143" s="45"/>
      <c r="Z143" s="45"/>
    </row>
    <row r="144">
      <c r="A144" s="46">
        <v>143.0</v>
      </c>
      <c r="B144" s="47" t="str">
        <f>'Project Stocktaking Template'!B145</f>
        <v>MAINTAINACE OF DPP -IHSAN ACCESS ROAD</v>
      </c>
      <c r="C144" s="47" t="str">
        <f>'Project Stocktaking Template'!H145</f>
        <v>GarissaTownship</v>
      </c>
      <c r="D144" s="47" t="str">
        <f>'Project Stocktaking Template'!I145</f>
        <v>Township</v>
      </c>
      <c r="E144" s="48" t="str">
        <f>'Project Stocktaking Template'!O145</f>
        <v>1st aug 2023</v>
      </c>
      <c r="F144" s="48" t="str">
        <f>'Project Stocktaking Template'!P145</f>
        <v>30th june 2024</v>
      </c>
      <c r="G144" s="48" t="str">
        <f>'Project Stocktaking Template'!Q145</f>
        <v>30th june 2024</v>
      </c>
      <c r="H144" s="49">
        <f>'Project Stocktaking Template'!R145</f>
        <v>3037112</v>
      </c>
      <c r="I144" s="50" t="str">
        <f>'Project Stocktaking Template'!AD145</f>
        <v>Completed</v>
      </c>
      <c r="J144" s="45"/>
      <c r="K144" s="45"/>
      <c r="L144" s="45"/>
      <c r="M144" s="45"/>
      <c r="N144" s="45"/>
      <c r="O144" s="45"/>
      <c r="P144" s="45"/>
      <c r="Q144" s="45"/>
      <c r="R144" s="45"/>
      <c r="S144" s="45"/>
      <c r="T144" s="45"/>
      <c r="U144" s="45"/>
      <c r="V144" s="45"/>
      <c r="W144" s="45"/>
      <c r="X144" s="45"/>
      <c r="Y144" s="45"/>
      <c r="Z144" s="45"/>
    </row>
    <row r="145">
      <c r="A145" s="51">
        <v>144.0</v>
      </c>
      <c r="B145" s="47" t="str">
        <f>'Project Stocktaking Template'!B146</f>
        <v>MAINATAINANACE OF WATHAJIR ADC FARM ACCESS</v>
      </c>
      <c r="C145" s="47" t="str">
        <f>'Project Stocktaking Template'!H146</f>
        <v>GarissaTownship</v>
      </c>
      <c r="D145" s="47" t="str">
        <f>'Project Stocktaking Template'!I146</f>
        <v>Township</v>
      </c>
      <c r="E145" s="48" t="str">
        <f>'Project Stocktaking Template'!O146</f>
        <v>1st aug 2023</v>
      </c>
      <c r="F145" s="48" t="str">
        <f>'Project Stocktaking Template'!P146</f>
        <v>30th june 2024</v>
      </c>
      <c r="G145" s="48" t="str">
        <f>'Project Stocktaking Template'!Q146</f>
        <v>30th june 2024</v>
      </c>
      <c r="H145" s="49">
        <f>'Project Stocktaking Template'!R146</f>
        <v>3302200</v>
      </c>
      <c r="I145" s="50" t="str">
        <f>'Project Stocktaking Template'!AD146</f>
        <v>Completed</v>
      </c>
      <c r="J145" s="45"/>
      <c r="K145" s="45"/>
      <c r="L145" s="45"/>
      <c r="M145" s="45"/>
      <c r="N145" s="45"/>
      <c r="O145" s="45"/>
      <c r="P145" s="45"/>
      <c r="Q145" s="45"/>
      <c r="R145" s="45"/>
      <c r="S145" s="45"/>
      <c r="T145" s="45"/>
      <c r="U145" s="45"/>
      <c r="V145" s="45"/>
      <c r="W145" s="45"/>
      <c r="X145" s="45"/>
      <c r="Y145" s="45"/>
      <c r="Z145" s="45"/>
    </row>
    <row r="146">
      <c r="A146" s="46">
        <v>145.0</v>
      </c>
      <c r="B146" s="47" t="str">
        <f>'Project Stocktaking Template'!B147</f>
        <v>MAINTAINCE OF WATHAJIR ADC ROAD</v>
      </c>
      <c r="C146" s="47" t="str">
        <f>'Project Stocktaking Template'!H147</f>
        <v>GarissaTownship</v>
      </c>
      <c r="D146" s="47" t="str">
        <f>'Project Stocktaking Template'!I147</f>
        <v>Galbet</v>
      </c>
      <c r="E146" s="48" t="str">
        <f>'Project Stocktaking Template'!O147</f>
        <v>1st aug 2023</v>
      </c>
      <c r="F146" s="48" t="str">
        <f>'Project Stocktaking Template'!P147</f>
        <v>30th june 2024</v>
      </c>
      <c r="G146" s="48" t="str">
        <f>'Project Stocktaking Template'!Q147</f>
        <v>30th june 2024</v>
      </c>
      <c r="H146" s="49">
        <f>'Project Stocktaking Template'!R147</f>
        <v>3306000</v>
      </c>
      <c r="I146" s="50" t="str">
        <f>'Project Stocktaking Template'!AD147</f>
        <v>Completed</v>
      </c>
      <c r="J146" s="45"/>
      <c r="K146" s="45"/>
      <c r="L146" s="45"/>
      <c r="M146" s="45"/>
      <c r="N146" s="45"/>
      <c r="O146" s="45"/>
      <c r="P146" s="45"/>
      <c r="Q146" s="45"/>
      <c r="R146" s="45"/>
      <c r="S146" s="45"/>
      <c r="T146" s="45"/>
      <c r="U146" s="45"/>
      <c r="V146" s="45"/>
      <c r="W146" s="45"/>
      <c r="X146" s="45"/>
      <c r="Y146" s="45"/>
      <c r="Z146" s="45"/>
    </row>
    <row r="147">
      <c r="A147" s="51">
        <v>146.0</v>
      </c>
      <c r="B147" s="47" t="str">
        <f>'Project Stocktaking Template'!B148</f>
        <v>MAINATAINANCE OF BULLA MUNAWAR GARYEYARD ROAD</v>
      </c>
      <c r="C147" s="47" t="str">
        <f>'Project Stocktaking Template'!H148</f>
        <v>GarissaTownship</v>
      </c>
      <c r="D147" s="47" t="str">
        <f>'Project Stocktaking Template'!I148</f>
        <v>Township</v>
      </c>
      <c r="E147" s="48" t="str">
        <f>'Project Stocktaking Template'!O148</f>
        <v>1st aug 2023</v>
      </c>
      <c r="F147" s="48" t="str">
        <f>'Project Stocktaking Template'!P148</f>
        <v>30th june 2024</v>
      </c>
      <c r="G147" s="48" t="str">
        <f>'Project Stocktaking Template'!Q148</f>
        <v>30th june 2024</v>
      </c>
      <c r="H147" s="49">
        <f>'Project Stocktaking Template'!R148</f>
        <v>3317901.6</v>
      </c>
      <c r="I147" s="50" t="str">
        <f>'Project Stocktaking Template'!AD148</f>
        <v>Completed</v>
      </c>
      <c r="J147" s="45"/>
      <c r="K147" s="45"/>
      <c r="L147" s="45"/>
      <c r="M147" s="45"/>
      <c r="N147" s="45"/>
      <c r="O147" s="45"/>
      <c r="P147" s="45"/>
      <c r="Q147" s="45"/>
      <c r="R147" s="45"/>
      <c r="S147" s="45"/>
      <c r="T147" s="45"/>
      <c r="U147" s="45"/>
      <c r="V147" s="45"/>
      <c r="W147" s="45"/>
      <c r="X147" s="45"/>
      <c r="Y147" s="45"/>
      <c r="Z147" s="45"/>
    </row>
    <row r="148">
      <c r="A148" s="46">
        <v>147.0</v>
      </c>
      <c r="B148" s="47" t="str">
        <f>'Project Stocktaking Template'!B149</f>
        <v>MAINTAINANCE OF BULLA MADINA ACCESS ROAD</v>
      </c>
      <c r="C148" s="47" t="str">
        <f>'Project Stocktaking Template'!H149</f>
        <v>GarissaTownship</v>
      </c>
      <c r="D148" s="47" t="str">
        <f>'Project Stocktaking Template'!I149</f>
        <v>Waberi</v>
      </c>
      <c r="E148" s="48" t="str">
        <f>'Project Stocktaking Template'!O149</f>
        <v>1st aug 2023</v>
      </c>
      <c r="F148" s="48" t="str">
        <f>'Project Stocktaking Template'!P149</f>
        <v>30th june 2024</v>
      </c>
      <c r="G148" s="48" t="str">
        <f>'Project Stocktaking Template'!Q149</f>
        <v>30th june 2024</v>
      </c>
      <c r="H148" s="49">
        <f>'Project Stocktaking Template'!R149</f>
        <v>3783827.2</v>
      </c>
      <c r="I148" s="50" t="str">
        <f>'Project Stocktaking Template'!AD149</f>
        <v>Completed</v>
      </c>
      <c r="J148" s="45"/>
      <c r="K148" s="45"/>
      <c r="L148" s="45"/>
      <c r="M148" s="45"/>
      <c r="N148" s="45"/>
      <c r="O148" s="45"/>
      <c r="P148" s="45"/>
      <c r="Q148" s="45"/>
      <c r="R148" s="45"/>
      <c r="S148" s="45"/>
      <c r="T148" s="45"/>
      <c r="U148" s="45"/>
      <c r="V148" s="45"/>
      <c r="W148" s="45"/>
      <c r="X148" s="45"/>
      <c r="Y148" s="45"/>
      <c r="Z148" s="45"/>
    </row>
    <row r="149">
      <c r="A149" s="51">
        <v>148.0</v>
      </c>
      <c r="B149" s="47" t="str">
        <f>'Project Stocktaking Template'!B150</f>
        <v>MAINATAINANCE OF YATHRIOB KUNASO ROAD</v>
      </c>
      <c r="C149" s="47" t="str">
        <f>'Project Stocktaking Template'!H150</f>
        <v>GarissaTownship</v>
      </c>
      <c r="D149" s="47" t="str">
        <f>'Project Stocktaking Template'!I150</f>
        <v>Waberi</v>
      </c>
      <c r="E149" s="48" t="str">
        <f>'Project Stocktaking Template'!O150</f>
        <v>1st aug 2023</v>
      </c>
      <c r="F149" s="48" t="str">
        <f>'Project Stocktaking Template'!P150</f>
        <v>30th june 2024</v>
      </c>
      <c r="G149" s="48" t="str">
        <f>'Project Stocktaking Template'!Q150</f>
        <v>30th june 2024</v>
      </c>
      <c r="H149" s="49">
        <f>'Project Stocktaking Template'!R150</f>
        <v>3794814.3</v>
      </c>
      <c r="I149" s="50" t="str">
        <f>'Project Stocktaking Template'!AD150</f>
        <v>Completed</v>
      </c>
      <c r="J149" s="45"/>
      <c r="K149" s="45"/>
      <c r="L149" s="45"/>
      <c r="M149" s="45"/>
      <c r="N149" s="45"/>
      <c r="O149" s="45"/>
      <c r="P149" s="45"/>
      <c r="Q149" s="45"/>
      <c r="R149" s="45"/>
      <c r="S149" s="45"/>
      <c r="T149" s="45"/>
      <c r="U149" s="45"/>
      <c r="V149" s="45"/>
      <c r="W149" s="45"/>
      <c r="X149" s="45"/>
      <c r="Y149" s="45"/>
      <c r="Z149" s="45"/>
    </row>
    <row r="150">
      <c r="A150" s="46">
        <v>149.0</v>
      </c>
      <c r="B150" s="47" t="str">
        <f>'Project Stocktaking Template'!B151</f>
        <v>MAINATANCE OF KRA BULLA IJARA ROAD</v>
      </c>
      <c r="C150" s="47" t="str">
        <f>'Project Stocktaking Template'!H151</f>
        <v>GarissaTownship</v>
      </c>
      <c r="D150" s="47" t="str">
        <f>'Project Stocktaking Template'!I151</f>
        <v>Township</v>
      </c>
      <c r="E150" s="48" t="str">
        <f>'Project Stocktaking Template'!O151</f>
        <v>1st aug 2023</v>
      </c>
      <c r="F150" s="48" t="str">
        <f>'Project Stocktaking Template'!P151</f>
        <v>30th june 2024</v>
      </c>
      <c r="G150" s="48" t="str">
        <f>'Project Stocktaking Template'!Q151</f>
        <v>30th june 2024</v>
      </c>
      <c r="H150" s="49">
        <f>'Project Stocktaking Template'!R151</f>
        <v>4659412.65</v>
      </c>
      <c r="I150" s="50" t="str">
        <f>'Project Stocktaking Template'!AD151</f>
        <v>Completed</v>
      </c>
      <c r="J150" s="45"/>
      <c r="K150" s="45"/>
      <c r="L150" s="45"/>
      <c r="M150" s="45"/>
      <c r="N150" s="45"/>
      <c r="O150" s="45"/>
      <c r="P150" s="45"/>
      <c r="Q150" s="45"/>
      <c r="R150" s="45"/>
      <c r="S150" s="45"/>
      <c r="T150" s="45"/>
      <c r="U150" s="45"/>
      <c r="V150" s="45"/>
      <c r="W150" s="45"/>
      <c r="X150" s="45"/>
      <c r="Y150" s="45"/>
      <c r="Z150" s="45"/>
    </row>
    <row r="151">
      <c r="A151" s="51">
        <v>150.0</v>
      </c>
      <c r="B151" s="47" t="str">
        <f>'Project Stocktaking Template'!B152</f>
        <v>MAINATAINACE OF GARISSA UNIVERSITY ROAD</v>
      </c>
      <c r="C151" s="47" t="str">
        <f>'Project Stocktaking Template'!H152</f>
        <v>GarissaTownship</v>
      </c>
      <c r="D151" s="47" t="str">
        <f>'Project Stocktaking Template'!I152</f>
        <v>Waberi</v>
      </c>
      <c r="E151" s="48" t="str">
        <f>'Project Stocktaking Template'!O152</f>
        <v>1st aug 2023</v>
      </c>
      <c r="F151" s="48" t="str">
        <f>'Project Stocktaking Template'!P152</f>
        <v>30th june 2024</v>
      </c>
      <c r="G151" s="48" t="str">
        <f>'Project Stocktaking Template'!Q152</f>
        <v>30th june 2024</v>
      </c>
      <c r="H151" s="49">
        <f>'Project Stocktaking Template'!R152</f>
        <v>4674684</v>
      </c>
      <c r="I151" s="50" t="str">
        <f>'Project Stocktaking Template'!AD152</f>
        <v>Completed</v>
      </c>
      <c r="J151" s="45"/>
      <c r="K151" s="45"/>
      <c r="L151" s="45"/>
      <c r="M151" s="45"/>
      <c r="N151" s="45"/>
      <c r="O151" s="45"/>
      <c r="P151" s="45"/>
      <c r="Q151" s="45"/>
      <c r="R151" s="45"/>
      <c r="S151" s="45"/>
      <c r="T151" s="45"/>
      <c r="U151" s="45"/>
      <c r="V151" s="45"/>
      <c r="W151" s="45"/>
      <c r="X151" s="45"/>
      <c r="Y151" s="45"/>
      <c r="Z151" s="45"/>
    </row>
    <row r="152">
      <c r="A152" s="46">
        <v>151.0</v>
      </c>
      <c r="B152" s="47" t="str">
        <f>'Project Stocktaking Template'!B153</f>
        <v>MAINATAINACE OF LAGDERA FARM ACCESS</v>
      </c>
      <c r="C152" s="47" t="str">
        <f>'Project Stocktaking Template'!H153</f>
        <v>Lagdera</v>
      </c>
      <c r="D152" s="47" t="str">
        <f>'Project Stocktaking Template'!I153</f>
        <v>Township</v>
      </c>
      <c r="E152" s="48" t="str">
        <f>'Project Stocktaking Template'!O153</f>
        <v>1st aug 2023</v>
      </c>
      <c r="F152" s="48" t="str">
        <f>'Project Stocktaking Template'!P153</f>
        <v>30th june 2024</v>
      </c>
      <c r="G152" s="48" t="str">
        <f>'Project Stocktaking Template'!Q153</f>
        <v>30th june 2024</v>
      </c>
      <c r="H152" s="49">
        <f>'Project Stocktaking Template'!R153</f>
        <v>4701132</v>
      </c>
      <c r="I152" s="50" t="str">
        <f>'Project Stocktaking Template'!AD153</f>
        <v>Completed</v>
      </c>
      <c r="J152" s="45"/>
      <c r="K152" s="45"/>
      <c r="L152" s="45"/>
      <c r="M152" s="45"/>
      <c r="N152" s="45"/>
      <c r="O152" s="45"/>
      <c r="P152" s="45"/>
      <c r="Q152" s="45"/>
      <c r="R152" s="45"/>
      <c r="S152" s="45"/>
      <c r="T152" s="45"/>
      <c r="U152" s="45"/>
      <c r="V152" s="45"/>
      <c r="W152" s="45"/>
      <c r="X152" s="45"/>
      <c r="Y152" s="45"/>
      <c r="Z152" s="45"/>
    </row>
    <row r="153">
      <c r="A153" s="51">
        <v>152.0</v>
      </c>
      <c r="B153" s="47" t="str">
        <f>'Project Stocktaking Template'!B154</f>
        <v>MAINTAINANCE OF WATHAJIR DIYAT FARM ACCESS ROAD</v>
      </c>
      <c r="C153" s="47" t="str">
        <f>'Project Stocktaking Template'!H154</f>
        <v>GarissaTownship</v>
      </c>
      <c r="D153" s="47" t="str">
        <f>'Project Stocktaking Template'!I154</f>
        <v>Township</v>
      </c>
      <c r="E153" s="48" t="str">
        <f>'Project Stocktaking Template'!O154</f>
        <v>1st aug 2023</v>
      </c>
      <c r="F153" s="48" t="str">
        <f>'Project Stocktaking Template'!P154</f>
        <v>30th june 2024</v>
      </c>
      <c r="G153" s="48" t="str">
        <f>'Project Stocktaking Template'!Q154</f>
        <v>30th june 2024</v>
      </c>
      <c r="H153" s="49">
        <f>'Project Stocktaking Template'!R154</f>
        <v>3263250</v>
      </c>
      <c r="I153" s="50" t="str">
        <f>'Project Stocktaking Template'!AD154</f>
        <v>Completed</v>
      </c>
      <c r="J153" s="45"/>
      <c r="K153" s="45"/>
      <c r="L153" s="45"/>
      <c r="M153" s="45"/>
      <c r="N153" s="45"/>
      <c r="O153" s="45"/>
      <c r="P153" s="45"/>
      <c r="Q153" s="45"/>
      <c r="R153" s="45"/>
      <c r="S153" s="45"/>
      <c r="T153" s="45"/>
      <c r="U153" s="45"/>
      <c r="V153" s="45"/>
      <c r="W153" s="45"/>
      <c r="X153" s="45"/>
      <c r="Y153" s="45"/>
      <c r="Z153" s="45"/>
    </row>
    <row r="154">
      <c r="A154" s="46">
        <v>153.0</v>
      </c>
      <c r="B154" s="47" t="str">
        <f>'Project Stocktaking Template'!B155</f>
        <v>MAINATAINCE OF REDCROSS TOWFIQ ROAD</v>
      </c>
      <c r="C154" s="47" t="str">
        <f>'Project Stocktaking Template'!H155</f>
        <v>GarissaTownship</v>
      </c>
      <c r="D154" s="47" t="str">
        <f>'Project Stocktaking Template'!I155</f>
        <v>Waberi</v>
      </c>
      <c r="E154" s="48" t="str">
        <f>'Project Stocktaking Template'!O155</f>
        <v>1st aug 2023</v>
      </c>
      <c r="F154" s="48" t="str">
        <f>'Project Stocktaking Template'!P155</f>
        <v>30th june 2024</v>
      </c>
      <c r="G154" s="48" t="str">
        <f>'Project Stocktaking Template'!Q155</f>
        <v>30th june 2024</v>
      </c>
      <c r="H154" s="49">
        <f>'Project Stocktaking Template'!R155</f>
        <v>4277124</v>
      </c>
      <c r="I154" s="50" t="str">
        <f>'Project Stocktaking Template'!AD155</f>
        <v>Completed</v>
      </c>
      <c r="J154" s="45"/>
      <c r="K154" s="45"/>
      <c r="L154" s="45"/>
      <c r="M154" s="45"/>
      <c r="N154" s="45"/>
      <c r="O154" s="45"/>
      <c r="P154" s="45"/>
      <c r="Q154" s="45"/>
      <c r="R154" s="45"/>
      <c r="S154" s="45"/>
      <c r="T154" s="45"/>
      <c r="U154" s="45"/>
      <c r="V154" s="45"/>
      <c r="W154" s="45"/>
      <c r="X154" s="45"/>
      <c r="Y154" s="45"/>
      <c r="Z154" s="45"/>
    </row>
    <row r="155">
      <c r="A155" s="51">
        <v>154.0</v>
      </c>
      <c r="B155" s="47" t="str">
        <f>'Project Stocktaking Template'!B156</f>
        <v>MAINTAOINACE OF BULA NYUKLI ACCESS ROAD</v>
      </c>
      <c r="C155" s="47" t="str">
        <f>'Project Stocktaking Template'!H156</f>
        <v>GarissaTownship</v>
      </c>
      <c r="D155" s="47" t="str">
        <f>'Project Stocktaking Template'!I156</f>
        <v>Township</v>
      </c>
      <c r="E155" s="48" t="str">
        <f>'Project Stocktaking Template'!O156</f>
        <v>1st aug 2023</v>
      </c>
      <c r="F155" s="48" t="str">
        <f>'Project Stocktaking Template'!P156</f>
        <v>30th june 2024</v>
      </c>
      <c r="G155" s="48" t="str">
        <f>'Project Stocktaking Template'!Q156</f>
        <v>30th june 2024</v>
      </c>
      <c r="H155" s="49">
        <f>'Project Stocktaking Template'!R156</f>
        <v>2849209.6</v>
      </c>
      <c r="I155" s="50" t="str">
        <f>'Project Stocktaking Template'!AD156</f>
        <v>Completed</v>
      </c>
      <c r="J155" s="45"/>
      <c r="K155" s="45"/>
      <c r="L155" s="45"/>
      <c r="M155" s="45"/>
      <c r="N155" s="45"/>
      <c r="O155" s="45"/>
      <c r="P155" s="45"/>
      <c r="Q155" s="45"/>
      <c r="R155" s="45"/>
      <c r="S155" s="45"/>
      <c r="T155" s="45"/>
      <c r="U155" s="45"/>
      <c r="V155" s="45"/>
      <c r="W155" s="45"/>
      <c r="X155" s="45"/>
      <c r="Y155" s="45"/>
      <c r="Z155" s="45"/>
    </row>
    <row r="156">
      <c r="A156" s="46">
        <v>155.0</v>
      </c>
      <c r="B156" s="47" t="str">
        <f>'Project Stocktaking Template'!B157</f>
        <v>MAINTAINANCE OF BULLA GAME  BULA NURA ROAD</v>
      </c>
      <c r="C156" s="47" t="str">
        <f>'Project Stocktaking Template'!H157</f>
        <v>GarissaTownship</v>
      </c>
      <c r="D156" s="47" t="str">
        <f>'Project Stocktaking Template'!I157</f>
        <v>Iftin</v>
      </c>
      <c r="E156" s="48" t="str">
        <f>'Project Stocktaking Template'!O157</f>
        <v>1st aug 2023</v>
      </c>
      <c r="F156" s="48" t="str">
        <f>'Project Stocktaking Template'!P157</f>
        <v>30th june 2024</v>
      </c>
      <c r="G156" s="48" t="str">
        <f>'Project Stocktaking Template'!Q157</f>
        <v>30th june 2024</v>
      </c>
      <c r="H156" s="49">
        <f>'Project Stocktaking Template'!R157</f>
        <v>2100000</v>
      </c>
      <c r="I156" s="50" t="str">
        <f>'Project Stocktaking Template'!AD157</f>
        <v>Completed</v>
      </c>
      <c r="J156" s="45"/>
      <c r="K156" s="45"/>
      <c r="L156" s="45"/>
      <c r="M156" s="45"/>
      <c r="N156" s="45"/>
      <c r="O156" s="45"/>
      <c r="P156" s="45"/>
      <c r="Q156" s="45"/>
      <c r="R156" s="45"/>
      <c r="S156" s="45"/>
      <c r="T156" s="45"/>
      <c r="U156" s="45"/>
      <c r="V156" s="45"/>
      <c r="W156" s="45"/>
      <c r="X156" s="45"/>
      <c r="Y156" s="45"/>
      <c r="Z156" s="45"/>
    </row>
    <row r="157">
      <c r="A157" s="51">
        <v>156.0</v>
      </c>
      <c r="B157" s="47" t="str">
        <f>'Project Stocktaking Template'!B158</f>
        <v>MAINATINACE OF LEHELEY TASBIH FARM ACCESS</v>
      </c>
      <c r="C157" s="47" t="str">
        <f>'Project Stocktaking Template'!H158</f>
        <v>GarissaTownship</v>
      </c>
      <c r="D157" s="47" t="str">
        <f>'Project Stocktaking Template'!I158</f>
        <v>Township</v>
      </c>
      <c r="E157" s="48" t="str">
        <f>'Project Stocktaking Template'!O158</f>
        <v>1st aug 2023</v>
      </c>
      <c r="F157" s="48" t="str">
        <f>'Project Stocktaking Template'!P158</f>
        <v>30th june 2024</v>
      </c>
      <c r="G157" s="48" t="str">
        <f>'Project Stocktaking Template'!Q158</f>
        <v>30th june 2024</v>
      </c>
      <c r="H157" s="49">
        <f>'Project Stocktaking Template'!R158</f>
        <v>3705000</v>
      </c>
      <c r="I157" s="50" t="str">
        <f>'Project Stocktaking Template'!AD158</f>
        <v>Completed</v>
      </c>
      <c r="J157" s="45"/>
      <c r="K157" s="45"/>
      <c r="L157" s="45"/>
      <c r="M157" s="45"/>
      <c r="N157" s="45"/>
      <c r="O157" s="45"/>
      <c r="P157" s="45"/>
      <c r="Q157" s="45"/>
      <c r="R157" s="45"/>
      <c r="S157" s="45"/>
      <c r="T157" s="45"/>
      <c r="U157" s="45"/>
      <c r="V157" s="45"/>
      <c r="W157" s="45"/>
      <c r="X157" s="45"/>
      <c r="Y157" s="45"/>
      <c r="Z157" s="45"/>
    </row>
    <row r="158">
      <c r="A158" s="46">
        <v>157.0</v>
      </c>
      <c r="B158" s="47" t="str">
        <f>'Project Stocktaking Template'!B159</f>
        <v>UPGRADING AND GRAVELING OF ABDI SUGOW DAMAJALE ROAD</v>
      </c>
      <c r="C158" s="47" t="str">
        <f>'Project Stocktaking Template'!H159</f>
        <v>GarissaTownship</v>
      </c>
      <c r="D158" s="47" t="str">
        <f>'Project Stocktaking Template'!I159</f>
        <v>Township</v>
      </c>
      <c r="E158" s="48" t="str">
        <f>'Project Stocktaking Template'!O159</f>
        <v>1st aug 2023</v>
      </c>
      <c r="F158" s="48" t="str">
        <f>'Project Stocktaking Template'!P159</f>
        <v>30th june 2024</v>
      </c>
      <c r="G158" s="48" t="str">
        <f>'Project Stocktaking Template'!Q159</f>
        <v>30th june 2024</v>
      </c>
      <c r="H158" s="49">
        <f>'Project Stocktaking Template'!R159</f>
        <v>4702785</v>
      </c>
      <c r="I158" s="50" t="str">
        <f>'Project Stocktaking Template'!AD159</f>
        <v>Completed</v>
      </c>
      <c r="J158" s="45"/>
      <c r="K158" s="45"/>
      <c r="L158" s="45"/>
      <c r="M158" s="45"/>
      <c r="N158" s="45"/>
      <c r="O158" s="45"/>
      <c r="P158" s="45"/>
      <c r="Q158" s="45"/>
      <c r="R158" s="45"/>
      <c r="S158" s="45"/>
      <c r="T158" s="45"/>
      <c r="U158" s="45"/>
      <c r="V158" s="45"/>
      <c r="W158" s="45"/>
      <c r="X158" s="45"/>
      <c r="Y158" s="45"/>
      <c r="Z158" s="45"/>
    </row>
    <row r="159">
      <c r="A159" s="51">
        <v>158.0</v>
      </c>
      <c r="B159" s="47" t="str">
        <f>'Project Stocktaking Template'!B160</f>
        <v>MAINTAINACE OF CHANA FARM</v>
      </c>
      <c r="C159" s="47" t="str">
        <f>'Project Stocktaking Template'!H160</f>
        <v>GarissaTownship</v>
      </c>
      <c r="D159" s="47" t="str">
        <f>'Project Stocktaking Template'!I160</f>
        <v>Township</v>
      </c>
      <c r="E159" s="48" t="str">
        <f>'Project Stocktaking Template'!O160</f>
        <v>1st aug 2023</v>
      </c>
      <c r="F159" s="48" t="str">
        <f>'Project Stocktaking Template'!P160</f>
        <v>30th june 2024</v>
      </c>
      <c r="G159" s="48" t="str">
        <f>'Project Stocktaking Template'!Q160</f>
        <v>30th june 2024</v>
      </c>
      <c r="H159" s="49">
        <f>'Project Stocktaking Template'!R160</f>
        <v>4325790</v>
      </c>
      <c r="I159" s="50" t="str">
        <f>'Project Stocktaking Template'!AD160</f>
        <v>Completed</v>
      </c>
      <c r="J159" s="45"/>
      <c r="K159" s="45"/>
      <c r="L159" s="45"/>
      <c r="M159" s="45"/>
      <c r="N159" s="45"/>
      <c r="O159" s="45"/>
      <c r="P159" s="45"/>
      <c r="Q159" s="45"/>
      <c r="R159" s="45"/>
      <c r="S159" s="45"/>
      <c r="T159" s="45"/>
      <c r="U159" s="45"/>
      <c r="V159" s="45"/>
      <c r="W159" s="45"/>
      <c r="X159" s="45"/>
      <c r="Y159" s="45"/>
      <c r="Z159" s="45"/>
    </row>
    <row r="160">
      <c r="A160" s="46">
        <v>159.0</v>
      </c>
      <c r="B160" s="47" t="str">
        <f>'Project Stocktaking Template'!B161</f>
        <v>MAINATANCE OF FIRST DASHEKFARM ACCESS ROAD</v>
      </c>
      <c r="C160" s="47" t="str">
        <f>'Project Stocktaking Template'!H161</f>
        <v>GarissaTownship</v>
      </c>
      <c r="D160" s="47" t="str">
        <f>'Project Stocktaking Template'!I161</f>
        <v>Township</v>
      </c>
      <c r="E160" s="48" t="str">
        <f>'Project Stocktaking Template'!O161</f>
        <v>1st aug 2023</v>
      </c>
      <c r="F160" s="48" t="str">
        <f>'Project Stocktaking Template'!P161</f>
        <v>30th june 2024</v>
      </c>
      <c r="G160" s="48" t="str">
        <f>'Project Stocktaking Template'!Q161</f>
        <v>30th june 2024</v>
      </c>
      <c r="H160" s="49">
        <f>'Project Stocktaking Template'!R161</f>
        <v>2023500</v>
      </c>
      <c r="I160" s="50" t="str">
        <f>'Project Stocktaking Template'!AD161</f>
        <v>Completed</v>
      </c>
      <c r="J160" s="45"/>
      <c r="K160" s="45"/>
      <c r="L160" s="45"/>
      <c r="M160" s="45"/>
      <c r="N160" s="45"/>
      <c r="O160" s="45"/>
      <c r="P160" s="45"/>
      <c r="Q160" s="45"/>
      <c r="R160" s="45"/>
      <c r="S160" s="45"/>
      <c r="T160" s="45"/>
      <c r="U160" s="45"/>
      <c r="V160" s="45"/>
      <c r="W160" s="45"/>
      <c r="X160" s="45"/>
      <c r="Y160" s="45"/>
      <c r="Z160" s="45"/>
    </row>
    <row r="161">
      <c r="A161" s="51">
        <v>160.0</v>
      </c>
      <c r="B161" s="47" t="str">
        <f>'Project Stocktaking Template'!B162</f>
        <v>MAINATAINACE OF GENERAL MOHAMUD EID GROUND ROAD</v>
      </c>
      <c r="C161" s="47" t="str">
        <f>'Project Stocktaking Template'!H162</f>
        <v>GarissaTownship</v>
      </c>
      <c r="D161" s="47" t="str">
        <f>'Project Stocktaking Template'!I162</f>
        <v>Waberi</v>
      </c>
      <c r="E161" s="48" t="str">
        <f>'Project Stocktaking Template'!O162</f>
        <v>1st aug 2023</v>
      </c>
      <c r="F161" s="48" t="str">
        <f>'Project Stocktaking Template'!P162</f>
        <v>30th june 2024</v>
      </c>
      <c r="G161" s="48" t="str">
        <f>'Project Stocktaking Template'!Q162</f>
        <v>30th june 2024</v>
      </c>
      <c r="H161" s="49">
        <f>'Project Stocktaking Template'!R162</f>
        <v>4730335</v>
      </c>
      <c r="I161" s="50" t="str">
        <f>'Project Stocktaking Template'!AD162</f>
        <v>Completed</v>
      </c>
      <c r="J161" s="45"/>
      <c r="K161" s="45"/>
      <c r="L161" s="45"/>
      <c r="M161" s="45"/>
      <c r="N161" s="45"/>
      <c r="O161" s="45"/>
      <c r="P161" s="45"/>
      <c r="Q161" s="45"/>
      <c r="R161" s="45"/>
      <c r="S161" s="45"/>
      <c r="T161" s="45"/>
      <c r="U161" s="45"/>
      <c r="V161" s="45"/>
      <c r="W161" s="45"/>
      <c r="X161" s="45"/>
      <c r="Y161" s="45"/>
      <c r="Z161" s="45"/>
    </row>
    <row r="162">
      <c r="A162" s="46">
        <v>161.0</v>
      </c>
      <c r="B162" s="47" t="str">
        <f>'Project Stocktaking Template'!B163</f>
        <v>MAINTAINANCE OF ORE MARKET GARISSA NDOGO ROAD</v>
      </c>
      <c r="C162" s="47" t="str">
        <f>'Project Stocktaking Template'!H163</f>
        <v>GarissaTownship</v>
      </c>
      <c r="D162" s="47" t="str">
        <f>'Project Stocktaking Template'!I163</f>
        <v>Waberi</v>
      </c>
      <c r="E162" s="48" t="str">
        <f>'Project Stocktaking Template'!O163</f>
        <v>1st aug 2023</v>
      </c>
      <c r="F162" s="48" t="str">
        <f>'Project Stocktaking Template'!P163</f>
        <v>30th june 2024</v>
      </c>
      <c r="G162" s="48" t="str">
        <f>'Project Stocktaking Template'!Q163</f>
        <v>30th june 2024</v>
      </c>
      <c r="H162" s="49">
        <f>'Project Stocktaking Template'!R163</f>
        <v>1615000</v>
      </c>
      <c r="I162" s="50" t="str">
        <f>'Project Stocktaking Template'!AD163</f>
        <v>Completed</v>
      </c>
      <c r="J162" s="45"/>
      <c r="K162" s="45"/>
      <c r="L162" s="45"/>
      <c r="M162" s="45"/>
      <c r="N162" s="45"/>
      <c r="O162" s="45"/>
      <c r="P162" s="45"/>
      <c r="Q162" s="45"/>
      <c r="R162" s="45"/>
      <c r="S162" s="45"/>
      <c r="T162" s="45"/>
      <c r="U162" s="45"/>
      <c r="V162" s="45"/>
      <c r="W162" s="45"/>
      <c r="X162" s="45"/>
      <c r="Y162" s="45"/>
      <c r="Z162" s="45"/>
    </row>
    <row r="163">
      <c r="A163" s="51">
        <v>162.0</v>
      </c>
      <c r="B163" s="47" t="str">
        <f>'Project Stocktaking Template'!B164</f>
        <v>MAINATAINACE OF MASALANI TWO ACCESS ROAD</v>
      </c>
      <c r="C163" s="47" t="str">
        <f>'Project Stocktaking Template'!H164</f>
        <v>Ijara</v>
      </c>
      <c r="D163" s="47" t="str">
        <f>'Project Stocktaking Template'!I164</f>
        <v>Masalani</v>
      </c>
      <c r="E163" s="48" t="str">
        <f>'Project Stocktaking Template'!O164</f>
        <v>1st aug 2023</v>
      </c>
      <c r="F163" s="48" t="str">
        <f>'Project Stocktaking Template'!P164</f>
        <v>30th june 2024</v>
      </c>
      <c r="G163" s="48" t="str">
        <f>'Project Stocktaking Template'!Q164</f>
        <v>30th june 2024</v>
      </c>
      <c r="H163" s="49">
        <f>'Project Stocktaking Template'!R164</f>
        <v>2153308</v>
      </c>
      <c r="I163" s="50" t="str">
        <f>'Project Stocktaking Template'!AD164</f>
        <v>Completed</v>
      </c>
      <c r="J163" s="45"/>
      <c r="K163" s="45"/>
      <c r="L163" s="45"/>
      <c r="M163" s="45"/>
      <c r="N163" s="45"/>
      <c r="O163" s="45"/>
      <c r="P163" s="45"/>
      <c r="Q163" s="45"/>
      <c r="R163" s="45"/>
      <c r="S163" s="45"/>
      <c r="T163" s="45"/>
      <c r="U163" s="45"/>
      <c r="V163" s="45"/>
      <c r="W163" s="45"/>
      <c r="X163" s="45"/>
      <c r="Y163" s="45"/>
      <c r="Z163" s="45"/>
    </row>
    <row r="164">
      <c r="A164" s="46">
        <v>163.0</v>
      </c>
      <c r="B164" s="47" t="str">
        <f>'Project Stocktaking Template'!B165</f>
        <v>MAINATANANCE OF MASALANI 1 ACCESS ROAD</v>
      </c>
      <c r="C164" s="47" t="str">
        <f>'Project Stocktaking Template'!H165</f>
        <v>Ijara</v>
      </c>
      <c r="D164" s="47" t="str">
        <f>'Project Stocktaking Template'!I165</f>
        <v>Masalani</v>
      </c>
      <c r="E164" s="48" t="str">
        <f>'Project Stocktaking Template'!O165</f>
        <v>1st aug 2023</v>
      </c>
      <c r="F164" s="48" t="str">
        <f>'Project Stocktaking Template'!P165</f>
        <v>30th june 2024</v>
      </c>
      <c r="G164" s="48" t="str">
        <f>'Project Stocktaking Template'!Q165</f>
        <v>30th june 2024</v>
      </c>
      <c r="H164" s="49">
        <f>'Project Stocktaking Template'!R165</f>
        <v>2153308</v>
      </c>
      <c r="I164" s="50" t="str">
        <f>'Project Stocktaking Template'!AD165</f>
        <v>Completed</v>
      </c>
      <c r="J164" s="45"/>
      <c r="K164" s="45"/>
      <c r="L164" s="45"/>
      <c r="M164" s="45"/>
      <c r="N164" s="45"/>
      <c r="O164" s="45"/>
      <c r="P164" s="45"/>
      <c r="Q164" s="45"/>
      <c r="R164" s="45"/>
      <c r="S164" s="45"/>
      <c r="T164" s="45"/>
      <c r="U164" s="45"/>
      <c r="V164" s="45"/>
      <c r="W164" s="45"/>
      <c r="X164" s="45"/>
      <c r="Y164" s="45"/>
      <c r="Z164" s="45"/>
    </row>
    <row r="165">
      <c r="A165" s="51">
        <v>164.0</v>
      </c>
      <c r="B165" s="47" t="str">
        <f>'Project Stocktaking Template'!B166</f>
        <v>MAINTANCE OF ADC WATER POINT ACCESS ROAD</v>
      </c>
      <c r="C165" s="47" t="str">
        <f>'Project Stocktaking Template'!H166</f>
        <v>GarissaTownship</v>
      </c>
      <c r="D165" s="47" t="str">
        <f>'Project Stocktaking Template'!I166</f>
        <v>Galbet</v>
      </c>
      <c r="E165" s="48" t="str">
        <f>'Project Stocktaking Template'!O166</f>
        <v>1st aug 2023</v>
      </c>
      <c r="F165" s="48" t="str">
        <f>'Project Stocktaking Template'!P166</f>
        <v>30th june 2024</v>
      </c>
      <c r="G165" s="48" t="str">
        <f>'Project Stocktaking Template'!Q166</f>
        <v>30th june 2024</v>
      </c>
      <c r="H165" s="49">
        <f>'Project Stocktaking Template'!R166</f>
        <v>2906635</v>
      </c>
      <c r="I165" s="50" t="str">
        <f>'Project Stocktaking Template'!AD166</f>
        <v>Completed</v>
      </c>
      <c r="J165" s="45"/>
      <c r="K165" s="45"/>
      <c r="L165" s="45"/>
      <c r="M165" s="45"/>
      <c r="N165" s="45"/>
      <c r="O165" s="45"/>
      <c r="P165" s="45"/>
      <c r="Q165" s="45"/>
      <c r="R165" s="45"/>
      <c r="S165" s="45"/>
      <c r="T165" s="45"/>
      <c r="U165" s="45"/>
      <c r="V165" s="45"/>
      <c r="W165" s="45"/>
      <c r="X165" s="45"/>
      <c r="Y165" s="45"/>
      <c r="Z165" s="45"/>
    </row>
    <row r="166">
      <c r="A166" s="46">
        <v>165.0</v>
      </c>
      <c r="B166" s="47" t="str">
        <f>'Project Stocktaking Template'!B167</f>
        <v>MAINTAINANCE OF IFTIN MID PRISON MASJID ROAD</v>
      </c>
      <c r="C166" s="47" t="str">
        <f>'Project Stocktaking Template'!H167</f>
        <v>GarissaTownship</v>
      </c>
      <c r="D166" s="47" t="str">
        <f>'Project Stocktaking Template'!I167</f>
        <v>Iftin</v>
      </c>
      <c r="E166" s="48" t="str">
        <f>'Project Stocktaking Template'!O167</f>
        <v>1st aug 2023</v>
      </c>
      <c r="F166" s="48" t="str">
        <f>'Project Stocktaking Template'!P167</f>
        <v>30th june 2024</v>
      </c>
      <c r="G166" s="48" t="str">
        <f>'Project Stocktaking Template'!Q167</f>
        <v>30th june 2024</v>
      </c>
      <c r="H166" s="49">
        <f>'Project Stocktaking Template'!R167</f>
        <v>3320877</v>
      </c>
      <c r="I166" s="50" t="str">
        <f>'Project Stocktaking Template'!AD167</f>
        <v>Completed</v>
      </c>
      <c r="J166" s="45"/>
      <c r="K166" s="45"/>
      <c r="L166" s="45"/>
      <c r="M166" s="45"/>
      <c r="N166" s="45"/>
      <c r="O166" s="45"/>
      <c r="P166" s="45"/>
      <c r="Q166" s="45"/>
      <c r="R166" s="45"/>
      <c r="S166" s="45"/>
      <c r="T166" s="45"/>
      <c r="U166" s="45"/>
      <c r="V166" s="45"/>
      <c r="W166" s="45"/>
      <c r="X166" s="45"/>
      <c r="Y166" s="45"/>
      <c r="Z166" s="45"/>
    </row>
    <row r="167">
      <c r="A167" s="51">
        <v>166.0</v>
      </c>
      <c r="B167" s="47" t="str">
        <f>'Project Stocktaking Template'!B168</f>
        <v>MAINATAINANCE OF LIBOI DAQURA ROAD</v>
      </c>
      <c r="C167" s="47" t="str">
        <f>'Project Stocktaking Template'!H168</f>
        <v>Dadaab</v>
      </c>
      <c r="D167" s="47" t="str">
        <f>'Project Stocktaking Template'!I168</f>
        <v>Liboi</v>
      </c>
      <c r="E167" s="48" t="str">
        <f>'Project Stocktaking Template'!O168</f>
        <v>1st aug 2023</v>
      </c>
      <c r="F167" s="48" t="str">
        <f>'Project Stocktaking Template'!P168</f>
        <v>30th june 2024</v>
      </c>
      <c r="G167" s="48" t="str">
        <f>'Project Stocktaking Template'!Q168</f>
        <v>30th june 2024</v>
      </c>
      <c r="H167" s="49">
        <f>'Project Stocktaking Template'!R168</f>
        <v>4650440</v>
      </c>
      <c r="I167" s="50" t="str">
        <f>'Project Stocktaking Template'!AD168</f>
        <v>Completed</v>
      </c>
      <c r="J167" s="45"/>
      <c r="K167" s="45"/>
      <c r="L167" s="45"/>
      <c r="M167" s="45"/>
      <c r="N167" s="45"/>
      <c r="O167" s="45"/>
      <c r="P167" s="45"/>
      <c r="Q167" s="45"/>
      <c r="R167" s="45"/>
      <c r="S167" s="45"/>
      <c r="T167" s="45"/>
      <c r="U167" s="45"/>
      <c r="V167" s="45"/>
      <c r="W167" s="45"/>
      <c r="X167" s="45"/>
      <c r="Y167" s="45"/>
      <c r="Z167" s="45"/>
    </row>
    <row r="168">
      <c r="A168" s="46">
        <v>167.0</v>
      </c>
      <c r="B168" s="47" t="str">
        <f>'Project Stocktaking Template'!B169</f>
        <v>MAINTANACE AT QAHIRA ACCESS ROAD IN LADGERA</v>
      </c>
      <c r="C168" s="47" t="str">
        <f>'Project Stocktaking Template'!H169</f>
        <v>Lagdera</v>
      </c>
      <c r="D168" s="47" t="str">
        <f>'Project Stocktaking Template'!I169</f>
        <v>Modogashe</v>
      </c>
      <c r="E168" s="48" t="str">
        <f>'Project Stocktaking Template'!O169</f>
        <v>1st aug 2023</v>
      </c>
      <c r="F168" s="48" t="str">
        <f>'Project Stocktaking Template'!P169</f>
        <v>30th june 2024</v>
      </c>
      <c r="G168" s="48" t="str">
        <f>'Project Stocktaking Template'!Q169</f>
        <v>30th june 2024</v>
      </c>
      <c r="H168" s="49">
        <f>'Project Stocktaking Template'!R169</f>
        <v>4703792</v>
      </c>
      <c r="I168" s="50" t="str">
        <f>'Project Stocktaking Template'!AD169</f>
        <v>Completed</v>
      </c>
      <c r="J168" s="45"/>
      <c r="K168" s="45"/>
      <c r="L168" s="45"/>
      <c r="M168" s="45"/>
      <c r="N168" s="45"/>
      <c r="O168" s="45"/>
      <c r="P168" s="45"/>
      <c r="Q168" s="45"/>
      <c r="R168" s="45"/>
      <c r="S168" s="45"/>
      <c r="T168" s="45"/>
      <c r="U168" s="45"/>
      <c r="V168" s="45"/>
      <c r="W168" s="45"/>
      <c r="X168" s="45"/>
      <c r="Y168" s="45"/>
      <c r="Z168" s="45"/>
    </row>
    <row r="169">
      <c r="A169" s="51">
        <v>168.0</v>
      </c>
      <c r="B169" s="47" t="str">
        <f>'Project Stocktaking Template'!B170</f>
        <v>CONSTRUCTION OF NEW CULVERT AT DOBALE ROAD</v>
      </c>
      <c r="C169" s="47" t="str">
        <f>'Project Stocktaking Template'!H170</f>
        <v>GarissaTownship</v>
      </c>
      <c r="D169" s="47" t="str">
        <f>'Project Stocktaking Template'!I170</f>
        <v>Galbet</v>
      </c>
      <c r="E169" s="48" t="str">
        <f>'Project Stocktaking Template'!O170</f>
        <v>1st aug 2023</v>
      </c>
      <c r="F169" s="48" t="str">
        <f>'Project Stocktaking Template'!P170</f>
        <v>30th june 2024</v>
      </c>
      <c r="G169" s="48" t="str">
        <f>'Project Stocktaking Template'!Q170</f>
        <v>30th june 2024</v>
      </c>
      <c r="H169" s="49">
        <f>'Project Stocktaking Template'!R170</f>
        <v>13486397.5</v>
      </c>
      <c r="I169" s="50" t="str">
        <f>'Project Stocktaking Template'!AD170</f>
        <v>Completed</v>
      </c>
      <c r="J169" s="45"/>
      <c r="K169" s="45"/>
      <c r="L169" s="45"/>
      <c r="M169" s="45"/>
      <c r="N169" s="45"/>
      <c r="O169" s="45"/>
      <c r="P169" s="45"/>
      <c r="Q169" s="45"/>
      <c r="R169" s="45"/>
      <c r="S169" s="45"/>
      <c r="T169" s="45"/>
      <c r="U169" s="45"/>
      <c r="V169" s="45"/>
      <c r="W169" s="45"/>
      <c r="X169" s="45"/>
      <c r="Y169" s="45"/>
      <c r="Z169" s="45"/>
    </row>
    <row r="170">
      <c r="A170" s="46">
        <v>169.0</v>
      </c>
      <c r="B170" s="47" t="str">
        <f>'Project Stocktaking Template'!B171</f>
        <v>UPGRADING TO BITUMEN MADINA JUNCTION ROAD</v>
      </c>
      <c r="C170" s="47" t="str">
        <f>'Project Stocktaking Template'!H171</f>
        <v>GarissaTownship</v>
      </c>
      <c r="D170" s="47" t="str">
        <f>'Project Stocktaking Template'!I171</f>
        <v>Waberi</v>
      </c>
      <c r="E170" s="48" t="str">
        <f>'Project Stocktaking Template'!O171</f>
        <v>1st aug 2023</v>
      </c>
      <c r="F170" s="48" t="str">
        <f>'Project Stocktaking Template'!P171</f>
        <v>30th june 2024</v>
      </c>
      <c r="G170" s="48" t="str">
        <f>'Project Stocktaking Template'!Q171</f>
        <v>30th june 2024</v>
      </c>
      <c r="H170" s="49">
        <f>'Project Stocktaking Template'!R171</f>
        <v>11400000</v>
      </c>
      <c r="I170" s="50" t="str">
        <f>'Project Stocktaking Template'!AD171</f>
        <v>Completed</v>
      </c>
      <c r="J170" s="45"/>
      <c r="K170" s="45"/>
      <c r="L170" s="45"/>
      <c r="M170" s="45"/>
      <c r="N170" s="45"/>
      <c r="O170" s="45"/>
      <c r="P170" s="45"/>
      <c r="Q170" s="45"/>
      <c r="R170" s="45"/>
      <c r="S170" s="45"/>
      <c r="T170" s="45"/>
      <c r="U170" s="45"/>
      <c r="V170" s="45"/>
      <c r="W170" s="45"/>
      <c r="X170" s="45"/>
      <c r="Y170" s="45"/>
      <c r="Z170" s="45"/>
    </row>
    <row r="171">
      <c r="A171" s="51">
        <v>170.0</v>
      </c>
      <c r="B171" s="47" t="str">
        <f>'Project Stocktaking Template'!B172</f>
        <v>MAINTANCE OF DERTU BORANSIS ROAD</v>
      </c>
      <c r="C171" s="47" t="str">
        <f>'Project Stocktaking Template'!H172</f>
        <v>Dadaab</v>
      </c>
      <c r="D171" s="47" t="str">
        <f>'Project Stocktaking Template'!I172</f>
        <v>Dertu</v>
      </c>
      <c r="E171" s="48" t="str">
        <f>'Project Stocktaking Template'!O172</f>
        <v>1st aug 2023</v>
      </c>
      <c r="F171" s="48" t="str">
        <f>'Project Stocktaking Template'!P172</f>
        <v>30th june 2024</v>
      </c>
      <c r="G171" s="48" t="str">
        <f>'Project Stocktaking Template'!Q172</f>
        <v>30th june 2024</v>
      </c>
      <c r="H171" s="49">
        <f>'Project Stocktaking Template'!R172</f>
        <v>4650440</v>
      </c>
      <c r="I171" s="50" t="str">
        <f>'Project Stocktaking Template'!AD172</f>
        <v>Completed</v>
      </c>
      <c r="J171" s="45"/>
      <c r="K171" s="45"/>
      <c r="L171" s="45"/>
      <c r="M171" s="45"/>
      <c r="N171" s="45"/>
      <c r="O171" s="45"/>
      <c r="P171" s="45"/>
      <c r="Q171" s="45"/>
      <c r="R171" s="45"/>
      <c r="S171" s="45"/>
      <c r="T171" s="45"/>
      <c r="U171" s="45"/>
      <c r="V171" s="45"/>
      <c r="W171" s="45"/>
      <c r="X171" s="45"/>
      <c r="Y171" s="45"/>
      <c r="Z171" s="45"/>
    </row>
    <row r="172">
      <c r="A172" s="46">
        <v>171.0</v>
      </c>
      <c r="B172" s="47" t="str">
        <f>'Project Stocktaking Template'!B173</f>
        <v>UPGRADING TO BITUMEN MADINA JUNCTION ROAD</v>
      </c>
      <c r="C172" s="47" t="str">
        <f>'Project Stocktaking Template'!H173</f>
        <v>GarissaTownship</v>
      </c>
      <c r="D172" s="47" t="str">
        <f>'Project Stocktaking Template'!I173</f>
        <v>Iftin</v>
      </c>
      <c r="E172" s="48" t="str">
        <f>'Project Stocktaking Template'!O173</f>
        <v>1st aug 2023</v>
      </c>
      <c r="F172" s="48" t="str">
        <f>'Project Stocktaking Template'!P173</f>
        <v>30th june 2024</v>
      </c>
      <c r="G172" s="48" t="str">
        <f>'Project Stocktaking Template'!Q173</f>
        <v>30th june 2024</v>
      </c>
      <c r="H172" s="49">
        <f>'Project Stocktaking Template'!R173</f>
        <v>4122296</v>
      </c>
      <c r="I172" s="50" t="str">
        <f>'Project Stocktaking Template'!AD173</f>
        <v>Completed</v>
      </c>
      <c r="J172" s="45"/>
      <c r="K172" s="45"/>
      <c r="L172" s="45"/>
      <c r="M172" s="45"/>
      <c r="N172" s="45"/>
      <c r="O172" s="45"/>
      <c r="P172" s="45"/>
      <c r="Q172" s="45"/>
      <c r="R172" s="45"/>
      <c r="S172" s="45"/>
      <c r="T172" s="45"/>
      <c r="U172" s="45"/>
      <c r="V172" s="45"/>
      <c r="W172" s="45"/>
      <c r="X172" s="45"/>
      <c r="Y172" s="45"/>
      <c r="Z172" s="45"/>
    </row>
    <row r="173">
      <c r="A173" s="51">
        <v>172.0</v>
      </c>
      <c r="B173" s="47" t="str">
        <f>'Project Stocktaking Template'!B174</f>
        <v>MAINTANCE OF BULAHAGAR</v>
      </c>
      <c r="C173" s="47" t="str">
        <f>'Project Stocktaking Template'!H174</f>
        <v>GarissaTownship</v>
      </c>
      <c r="D173" s="47" t="str">
        <f>'Project Stocktaking Template'!I174</f>
        <v>Waberi</v>
      </c>
      <c r="E173" s="48" t="str">
        <f>'Project Stocktaking Template'!O174</f>
        <v>1st aug 2023</v>
      </c>
      <c r="F173" s="48" t="str">
        <f>'Project Stocktaking Template'!P174</f>
        <v>30th june 2024</v>
      </c>
      <c r="G173" s="48" t="str">
        <f>'Project Stocktaking Template'!Q174</f>
        <v>30th june 2024</v>
      </c>
      <c r="H173" s="49">
        <f>'Project Stocktaking Template'!R174</f>
        <v>4268597</v>
      </c>
      <c r="I173" s="50" t="str">
        <f>'Project Stocktaking Template'!AD174</f>
        <v>Completed</v>
      </c>
      <c r="J173" s="45"/>
      <c r="K173" s="45"/>
      <c r="L173" s="45"/>
      <c r="M173" s="45"/>
      <c r="N173" s="45"/>
      <c r="O173" s="45"/>
      <c r="P173" s="45"/>
      <c r="Q173" s="45"/>
      <c r="R173" s="45"/>
      <c r="S173" s="45"/>
      <c r="T173" s="45"/>
      <c r="U173" s="45"/>
      <c r="V173" s="45"/>
      <c r="W173" s="45"/>
      <c r="X173" s="45"/>
      <c r="Y173" s="45"/>
      <c r="Z173" s="45"/>
    </row>
    <row r="174">
      <c r="A174" s="46">
        <v>173.0</v>
      </c>
      <c r="B174" s="47" t="str">
        <f>'Project Stocktaking Template'!B175</f>
        <v>PROPOSED RENOVATION OF 5NO CLASSROOMS AND 1 NO DORMITORY BLOCK AT MADINA PRIMARY SCHOOL</v>
      </c>
      <c r="C174" s="47" t="str">
        <f>'Project Stocktaking Template'!H175</f>
        <v>GarissaTownship</v>
      </c>
      <c r="D174" s="47" t="str">
        <f>'Project Stocktaking Template'!I175</f>
        <v>Waberi</v>
      </c>
      <c r="E174" s="48" t="str">
        <f>'Project Stocktaking Template'!O175</f>
        <v>1st aug 2023</v>
      </c>
      <c r="F174" s="48" t="str">
        <f>'Project Stocktaking Template'!P175</f>
        <v>30th june 2024</v>
      </c>
      <c r="G174" s="48" t="str">
        <f>'Project Stocktaking Template'!Q175</f>
        <v>30th june 2024</v>
      </c>
      <c r="H174" s="49">
        <f>'Project Stocktaking Template'!R175</f>
        <v>1425000</v>
      </c>
      <c r="I174" s="50" t="str">
        <f>'Project Stocktaking Template'!AD175</f>
        <v>Completed</v>
      </c>
      <c r="J174" s="45"/>
      <c r="K174" s="45"/>
      <c r="L174" s="45"/>
      <c r="M174" s="45"/>
      <c r="N174" s="45"/>
      <c r="O174" s="45"/>
      <c r="P174" s="45"/>
      <c r="Q174" s="45"/>
      <c r="R174" s="45"/>
      <c r="S174" s="45"/>
      <c r="T174" s="45"/>
      <c r="U174" s="45"/>
      <c r="V174" s="45"/>
      <c r="W174" s="45"/>
      <c r="X174" s="45"/>
      <c r="Y174" s="45"/>
      <c r="Z174" s="45"/>
    </row>
    <row r="175">
      <c r="A175" s="51">
        <v>174.0</v>
      </c>
      <c r="B175" s="47" t="str">
        <f>'Project Stocktaking Template'!B176</f>
        <v>PROPOSED CONSTRUCTION OF MORDERN SUBCOUNTY OFFICES AT GARISSA FOR GARISSA COUNTY</v>
      </c>
      <c r="C175" s="47" t="str">
        <f>'Project Stocktaking Template'!H176</f>
        <v>GarissaTownship</v>
      </c>
      <c r="D175" s="47" t="str">
        <f>'Project Stocktaking Template'!I176</f>
        <v>Township</v>
      </c>
      <c r="E175" s="48" t="str">
        <f>'Project Stocktaking Template'!O176</f>
        <v>1st aug 2023</v>
      </c>
      <c r="F175" s="48" t="str">
        <f>'Project Stocktaking Template'!P176</f>
        <v>30th june 2024</v>
      </c>
      <c r="G175" s="48" t="str">
        <f>'Project Stocktaking Template'!Q176</f>
        <v>30th june 2024</v>
      </c>
      <c r="H175" s="49">
        <f>'Project Stocktaking Template'!R176</f>
        <v>4370000</v>
      </c>
      <c r="I175" s="50" t="str">
        <f>'Project Stocktaking Template'!AD176</f>
        <v>Completed</v>
      </c>
      <c r="J175" s="45"/>
      <c r="K175" s="45"/>
      <c r="L175" s="45"/>
      <c r="M175" s="45"/>
      <c r="N175" s="45"/>
      <c r="O175" s="45"/>
      <c r="P175" s="45"/>
      <c r="Q175" s="45"/>
      <c r="R175" s="45"/>
      <c r="S175" s="45"/>
      <c r="T175" s="45"/>
      <c r="U175" s="45"/>
      <c r="V175" s="45"/>
      <c r="W175" s="45"/>
      <c r="X175" s="45"/>
      <c r="Y175" s="45"/>
      <c r="Z175" s="45"/>
    </row>
    <row r="176">
      <c r="A176" s="46">
        <v>175.0</v>
      </c>
      <c r="B176" s="47" t="str">
        <f>'Project Stocktaking Template'!B177</f>
        <v>PROPOSED AUGMENTATION AND REHABILITATION OF MASALANI WATER SUPPLY</v>
      </c>
      <c r="C176" s="47" t="str">
        <f>'Project Stocktaking Template'!H177</f>
        <v>Fafi</v>
      </c>
      <c r="D176" s="47" t="str">
        <f>'Project Stocktaking Template'!I177</f>
        <v>Masalani</v>
      </c>
      <c r="E176" s="48" t="str">
        <f>'Project Stocktaking Template'!O177</f>
        <v>1st aug 2023</v>
      </c>
      <c r="F176" s="48" t="str">
        <f>'Project Stocktaking Template'!P177</f>
        <v>30th june 2024</v>
      </c>
      <c r="G176" s="48" t="str">
        <f>'Project Stocktaking Template'!Q177</f>
        <v>30th june 2024</v>
      </c>
      <c r="H176" s="49">
        <f>'Project Stocktaking Template'!R177</f>
        <v>4930000</v>
      </c>
      <c r="I176" s="50" t="str">
        <f>'Project Stocktaking Template'!AD177</f>
        <v>Completed</v>
      </c>
      <c r="J176" s="45"/>
      <c r="K176" s="45"/>
      <c r="L176" s="45"/>
      <c r="M176" s="45"/>
      <c r="N176" s="45"/>
      <c r="O176" s="45"/>
      <c r="P176" s="45"/>
      <c r="Q176" s="45"/>
      <c r="R176" s="45"/>
      <c r="S176" s="45"/>
      <c r="T176" s="45"/>
      <c r="U176" s="45"/>
      <c r="V176" s="45"/>
      <c r="W176" s="45"/>
      <c r="X176" s="45"/>
      <c r="Y176" s="45"/>
      <c r="Z176" s="45"/>
    </row>
    <row r="177">
      <c r="A177" s="51">
        <v>176.0</v>
      </c>
      <c r="B177" s="47" t="str">
        <f>'Project Stocktaking Template'!B178</f>
        <v>PROPOSED CONSTRUCTION OF SUBCOUNTY OFFICE FACILITIES AT BURA FOR GARISSA COUNTY</v>
      </c>
      <c r="C177" s="47" t="str">
        <f>'Project Stocktaking Template'!H178</f>
        <v>Fafi</v>
      </c>
      <c r="D177" s="47" t="str">
        <f>'Project Stocktaking Template'!I178</f>
        <v>Bura</v>
      </c>
      <c r="E177" s="48" t="str">
        <f>'Project Stocktaking Template'!O178</f>
        <v>1st aug 2023</v>
      </c>
      <c r="F177" s="48" t="str">
        <f>'Project Stocktaking Template'!P178</f>
        <v>30th june 2024</v>
      </c>
      <c r="G177" s="48" t="str">
        <f>'Project Stocktaking Template'!Q178</f>
        <v>30th june 2024</v>
      </c>
      <c r="H177" s="49">
        <f>'Project Stocktaking Template'!R178</f>
        <v>4930000</v>
      </c>
      <c r="I177" s="50" t="str">
        <f>'Project Stocktaking Template'!AD178</f>
        <v>Completed</v>
      </c>
      <c r="J177" s="45"/>
      <c r="K177" s="45"/>
      <c r="L177" s="45"/>
      <c r="M177" s="45"/>
      <c r="N177" s="45"/>
      <c r="O177" s="45"/>
      <c r="P177" s="45"/>
      <c r="Q177" s="45"/>
      <c r="R177" s="45"/>
      <c r="S177" s="45"/>
      <c r="T177" s="45"/>
      <c r="U177" s="45"/>
      <c r="V177" s="45"/>
      <c r="W177" s="45"/>
      <c r="X177" s="45"/>
      <c r="Y177" s="45"/>
      <c r="Z177" s="45"/>
    </row>
    <row r="178">
      <c r="A178" s="46">
        <v>177.0</v>
      </c>
      <c r="B178" s="47" t="str">
        <f>'Project Stocktaking Template'!B179</f>
        <v>PROPOSED CONSTRUCTION OF SUBCOUNTY OFFICE FACILITIES AT MASALANI FOR GARISSA COUNTY</v>
      </c>
      <c r="C178" s="47" t="str">
        <f>'Project Stocktaking Template'!H179</f>
        <v>Ijara</v>
      </c>
      <c r="D178" s="47" t="str">
        <f>'Project Stocktaking Template'!I179</f>
        <v>Masalani</v>
      </c>
      <c r="E178" s="48" t="str">
        <f>'Project Stocktaking Template'!O179</f>
        <v>1st aug 2023</v>
      </c>
      <c r="F178" s="48" t="str">
        <f>'Project Stocktaking Template'!P179</f>
        <v>30th june 2024</v>
      </c>
      <c r="G178" s="48" t="str">
        <f>'Project Stocktaking Template'!Q179</f>
        <v>30th june 2024</v>
      </c>
      <c r="H178" s="49">
        <f>'Project Stocktaking Template'!R179</f>
        <v>4930000</v>
      </c>
      <c r="I178" s="50" t="str">
        <f>'Project Stocktaking Template'!AD179</f>
        <v>Completed</v>
      </c>
      <c r="J178" s="45"/>
      <c r="K178" s="45"/>
      <c r="L178" s="45"/>
      <c r="M178" s="45"/>
      <c r="N178" s="45"/>
      <c r="O178" s="45"/>
      <c r="P178" s="45"/>
      <c r="Q178" s="45"/>
      <c r="R178" s="45"/>
      <c r="S178" s="45"/>
      <c r="T178" s="45"/>
      <c r="U178" s="45"/>
      <c r="V178" s="45"/>
      <c r="W178" s="45"/>
      <c r="X178" s="45"/>
      <c r="Y178" s="45"/>
      <c r="Z178" s="45"/>
    </row>
    <row r="179">
      <c r="A179" s="51">
        <v>178.0</v>
      </c>
      <c r="B179" s="47" t="str">
        <f>'Project Stocktaking Template'!B180</f>
        <v>CONSTRUCTION OF PERIMETER WALL</v>
      </c>
      <c r="C179" s="47" t="str">
        <f>'Project Stocktaking Template'!H180</f>
        <v>GarissaTownship</v>
      </c>
      <c r="D179" s="47" t="str">
        <f>'Project Stocktaking Template'!I180</f>
        <v>Township</v>
      </c>
      <c r="E179" s="48" t="str">
        <f>'Project Stocktaking Template'!O180</f>
        <v>1st aug 2023</v>
      </c>
      <c r="F179" s="48" t="str">
        <f>'Project Stocktaking Template'!P180</f>
        <v>30th june 2024</v>
      </c>
      <c r="G179" s="48" t="str">
        <f>'Project Stocktaking Template'!Q180</f>
        <v>30th june 2024</v>
      </c>
      <c r="H179" s="49">
        <f>'Project Stocktaking Template'!R180</f>
        <v>5142500</v>
      </c>
      <c r="I179" s="50" t="str">
        <f>'Project Stocktaking Template'!AD180</f>
        <v>Completed</v>
      </c>
      <c r="J179" s="45"/>
      <c r="K179" s="45"/>
      <c r="L179" s="45"/>
      <c r="M179" s="45"/>
      <c r="N179" s="45"/>
      <c r="O179" s="45"/>
      <c r="P179" s="45"/>
      <c r="Q179" s="45"/>
      <c r="R179" s="45"/>
      <c r="S179" s="45"/>
      <c r="T179" s="45"/>
      <c r="U179" s="45"/>
      <c r="V179" s="45"/>
      <c r="W179" s="45"/>
      <c r="X179" s="45"/>
      <c r="Y179" s="45"/>
      <c r="Z179" s="45"/>
    </row>
    <row r="180">
      <c r="A180" s="46">
        <v>179.0</v>
      </c>
      <c r="B180" s="47" t="str">
        <f>'Project Stocktaking Template'!B181</f>
        <v>PROPOSED CONSTRUCTION OF PERIMETER FENCE AT DADAAB SOCIAL GROUND</v>
      </c>
      <c r="C180" s="47" t="str">
        <f>'Project Stocktaking Template'!H181</f>
        <v>Dadaab</v>
      </c>
      <c r="D180" s="47" t="str">
        <f>'Project Stocktaking Template'!I181</f>
        <v>Dadaab</v>
      </c>
      <c r="E180" s="48" t="str">
        <f>'Project Stocktaking Template'!O181</f>
        <v>1st aug 2023</v>
      </c>
      <c r="F180" s="48" t="str">
        <f>'Project Stocktaking Template'!P181</f>
        <v>30th june 2024</v>
      </c>
      <c r="G180" s="48" t="str">
        <f>'Project Stocktaking Template'!Q181</f>
        <v>30th june 2024</v>
      </c>
      <c r="H180" s="49">
        <f>'Project Stocktaking Template'!R181</f>
        <v>9785000</v>
      </c>
      <c r="I180" s="50" t="str">
        <f>'Project Stocktaking Template'!AD181</f>
        <v>Completed</v>
      </c>
      <c r="J180" s="45"/>
      <c r="K180" s="45"/>
      <c r="L180" s="45"/>
      <c r="M180" s="45"/>
      <c r="N180" s="45"/>
      <c r="O180" s="45"/>
      <c r="P180" s="45"/>
      <c r="Q180" s="45"/>
      <c r="R180" s="45"/>
      <c r="S180" s="45"/>
      <c r="T180" s="45"/>
      <c r="U180" s="45"/>
      <c r="V180" s="45"/>
      <c r="W180" s="45"/>
      <c r="X180" s="45"/>
      <c r="Y180" s="45"/>
      <c r="Z180" s="45"/>
    </row>
    <row r="181">
      <c r="A181" s="51">
        <v>180.0</v>
      </c>
      <c r="B181" s="47" t="str">
        <f>'Project Stocktaking Template'!B182</f>
        <v>EQUIPING &amp; EXTENSION OF BARAKI AND MAALIMIN PIPELINE LAGDERA SUBCOUNTY</v>
      </c>
      <c r="C181" s="47" t="str">
        <f>'Project Stocktaking Template'!H182</f>
        <v>Lagdera</v>
      </c>
      <c r="D181" s="47" t="str">
        <f>'Project Stocktaking Template'!I182</f>
        <v>Modogashe</v>
      </c>
      <c r="E181" s="48" t="str">
        <f>'Project Stocktaking Template'!O182</f>
        <v>1st aug 2023</v>
      </c>
      <c r="F181" s="48" t="str">
        <f>'Project Stocktaking Template'!P182</f>
        <v>30th june 2024</v>
      </c>
      <c r="G181" s="48" t="str">
        <f>'Project Stocktaking Template'!Q182</f>
        <v>30th june 2024</v>
      </c>
      <c r="H181" s="49">
        <f>'Project Stocktaking Template'!R182</f>
        <v>21250000</v>
      </c>
      <c r="I181" s="50" t="str">
        <f>'Project Stocktaking Template'!AD182</f>
        <v>Completed</v>
      </c>
      <c r="J181" s="45"/>
      <c r="K181" s="45"/>
      <c r="L181" s="45"/>
      <c r="M181" s="45"/>
      <c r="N181" s="45"/>
      <c r="O181" s="45"/>
      <c r="P181" s="45"/>
      <c r="Q181" s="45"/>
      <c r="R181" s="45"/>
      <c r="S181" s="45"/>
      <c r="T181" s="45"/>
      <c r="U181" s="45"/>
      <c r="V181" s="45"/>
      <c r="W181" s="45"/>
      <c r="X181" s="45"/>
      <c r="Y181" s="45"/>
      <c r="Z181" s="45"/>
    </row>
    <row r="182">
      <c r="A182" s="46">
        <v>181.0</v>
      </c>
      <c r="B182" s="47" t="str">
        <f>'Project Stocktaking Template'!B183</f>
        <v>CONSTRUCTION OF JABA WATER PAN DADAAB SUBCOUNTY</v>
      </c>
      <c r="C182" s="47" t="str">
        <f>'Project Stocktaking Template'!H183</f>
        <v>Dadaab</v>
      </c>
      <c r="D182" s="47" t="str">
        <f>'Project Stocktaking Template'!I183</f>
        <v>Dadaab</v>
      </c>
      <c r="E182" s="48" t="str">
        <f>'Project Stocktaking Template'!O183</f>
        <v>1st aug 2023</v>
      </c>
      <c r="F182" s="48" t="str">
        <f>'Project Stocktaking Template'!P183</f>
        <v>30th june 2024</v>
      </c>
      <c r="G182" s="48" t="str">
        <f>'Project Stocktaking Template'!Q183</f>
        <v>30th june 2024</v>
      </c>
      <c r="H182" s="49">
        <f>'Project Stocktaking Template'!R183</f>
        <v>1045000</v>
      </c>
      <c r="I182" s="50" t="str">
        <f>'Project Stocktaking Template'!AD183</f>
        <v>Completed</v>
      </c>
      <c r="J182" s="45"/>
      <c r="K182" s="45"/>
      <c r="L182" s="45"/>
      <c r="M182" s="45"/>
      <c r="N182" s="45"/>
      <c r="O182" s="45"/>
      <c r="P182" s="45"/>
      <c r="Q182" s="45"/>
      <c r="R182" s="45"/>
      <c r="S182" s="45"/>
      <c r="T182" s="45"/>
      <c r="U182" s="45"/>
      <c r="V182" s="45"/>
      <c r="W182" s="45"/>
      <c r="X182" s="45"/>
      <c r="Y182" s="45"/>
      <c r="Z182" s="45"/>
    </row>
    <row r="183">
      <c r="A183" s="51">
        <v>182.0</v>
      </c>
      <c r="B183" s="47" t="str">
        <f>'Project Stocktaking Template'!B184</f>
        <v>PROPOSED MASONARY PERIMETER FENCE AT BULLA MASALANI GRAVEYARD TOWNSHIP SUBCOUNTY</v>
      </c>
      <c r="C183" s="47" t="str">
        <f>'Project Stocktaking Template'!H184</f>
        <v>GarissaTownship</v>
      </c>
      <c r="D183" s="47" t="str">
        <f>'Project Stocktaking Template'!I184</f>
        <v>Township</v>
      </c>
      <c r="E183" s="48" t="str">
        <f>'Project Stocktaking Template'!O184</f>
        <v>1st aug 2023</v>
      </c>
      <c r="F183" s="48" t="str">
        <f>'Project Stocktaking Template'!P184</f>
        <v>30th june 2024</v>
      </c>
      <c r="G183" s="48" t="str">
        <f>'Project Stocktaking Template'!Q184</f>
        <v>30th june 2024</v>
      </c>
      <c r="H183" s="49">
        <f>'Project Stocktaking Template'!R184</f>
        <v>1425000</v>
      </c>
      <c r="I183" s="50" t="str">
        <f>'Project Stocktaking Template'!AD184</f>
        <v>Completed</v>
      </c>
      <c r="J183" s="45"/>
      <c r="K183" s="45"/>
      <c r="L183" s="45"/>
      <c r="M183" s="45"/>
      <c r="N183" s="45"/>
      <c r="O183" s="45"/>
      <c r="P183" s="45"/>
      <c r="Q183" s="45"/>
      <c r="R183" s="45"/>
      <c r="S183" s="45"/>
      <c r="T183" s="45"/>
      <c r="U183" s="45"/>
      <c r="V183" s="45"/>
      <c r="W183" s="45"/>
      <c r="X183" s="45"/>
      <c r="Y183" s="45"/>
      <c r="Z183" s="45"/>
    </row>
    <row r="184">
      <c r="A184" s="46">
        <v>183.0</v>
      </c>
      <c r="B184" s="47" t="str">
        <f>'Project Stocktaking Template'!B185</f>
        <v>CONSTRUCTION OF GOVERNMENT HOUSE</v>
      </c>
      <c r="C184" s="47" t="str">
        <f>'Project Stocktaking Template'!H185</f>
        <v>GarissaTownship</v>
      </c>
      <c r="D184" s="47" t="str">
        <f>'Project Stocktaking Template'!I185</f>
        <v>Township</v>
      </c>
      <c r="E184" s="48" t="str">
        <f>'Project Stocktaking Template'!O185</f>
        <v>1st aug 2023</v>
      </c>
      <c r="F184" s="48" t="str">
        <f>'Project Stocktaking Template'!P185</f>
        <v>30th june 2024</v>
      </c>
      <c r="G184" s="48" t="str">
        <f>'Project Stocktaking Template'!Q185</f>
        <v>30th june 2024</v>
      </c>
      <c r="H184" s="49">
        <f>'Project Stocktaking Template'!R185</f>
        <v>2850000</v>
      </c>
      <c r="I184" s="50" t="str">
        <f>'Project Stocktaking Template'!AD185</f>
        <v>Completed</v>
      </c>
      <c r="J184" s="45"/>
      <c r="K184" s="45"/>
      <c r="L184" s="45"/>
      <c r="M184" s="45"/>
      <c r="N184" s="45"/>
      <c r="O184" s="45"/>
      <c r="P184" s="45"/>
      <c r="Q184" s="45"/>
      <c r="R184" s="45"/>
      <c r="S184" s="45"/>
      <c r="T184" s="45"/>
      <c r="U184" s="45"/>
      <c r="V184" s="45"/>
      <c r="W184" s="45"/>
      <c r="X184" s="45"/>
      <c r="Y184" s="45"/>
      <c r="Z184" s="45"/>
    </row>
    <row r="185">
      <c r="A185" s="51">
        <v>184.0</v>
      </c>
      <c r="B185" s="47" t="str">
        <f>'Project Stocktaking Template'!B186</f>
        <v>PROPOSED RENOVATION AT DADAAB HEALTH CENTRE GARISSA COUNTY</v>
      </c>
      <c r="C185" s="47" t="str">
        <f>'Project Stocktaking Template'!H186</f>
        <v>Dadaab</v>
      </c>
      <c r="D185" s="47" t="str">
        <f>'Project Stocktaking Template'!I186</f>
        <v>Dadaab</v>
      </c>
      <c r="E185" s="48" t="str">
        <f>'Project Stocktaking Template'!O186</f>
        <v>1st aug 2023</v>
      </c>
      <c r="F185" s="48" t="str">
        <f>'Project Stocktaking Template'!P186</f>
        <v>30th june 2024</v>
      </c>
      <c r="G185" s="48" t="str">
        <f>'Project Stocktaking Template'!Q186</f>
        <v>30th june 2024</v>
      </c>
      <c r="H185" s="49">
        <f>'Project Stocktaking Template'!R186</f>
        <v>5225000</v>
      </c>
      <c r="I185" s="50" t="str">
        <f>'Project Stocktaking Template'!AD186</f>
        <v>Completed</v>
      </c>
      <c r="J185" s="45"/>
      <c r="K185" s="45"/>
      <c r="L185" s="45"/>
      <c r="M185" s="45"/>
      <c r="N185" s="45"/>
      <c r="O185" s="45"/>
      <c r="P185" s="45"/>
      <c r="Q185" s="45"/>
      <c r="R185" s="45"/>
      <c r="S185" s="45"/>
      <c r="T185" s="45"/>
      <c r="U185" s="45"/>
      <c r="V185" s="45"/>
      <c r="W185" s="45"/>
      <c r="X185" s="45"/>
      <c r="Y185" s="45"/>
      <c r="Z185" s="45"/>
    </row>
    <row r="186">
      <c r="A186" s="46">
        <v>185.0</v>
      </c>
      <c r="B186" s="47" t="str">
        <f>'Project Stocktaking Template'!B187</f>
        <v>IMPROVEMENT ROAD IN MODOGASHE SHANTA ROAD</v>
      </c>
      <c r="C186" s="47" t="str">
        <f>'Project Stocktaking Template'!H187</f>
        <v>Lagdera</v>
      </c>
      <c r="D186" s="47" t="str">
        <f>'Project Stocktaking Template'!I187</f>
        <v>Modogashe</v>
      </c>
      <c r="E186" s="48" t="str">
        <f>'Project Stocktaking Template'!O187</f>
        <v>1st aug 2023</v>
      </c>
      <c r="F186" s="48" t="str">
        <f>'Project Stocktaking Template'!P187</f>
        <v>30th june 2024</v>
      </c>
      <c r="G186" s="48" t="str">
        <f>'Project Stocktaking Template'!Q187</f>
        <v>30th june 2024</v>
      </c>
      <c r="H186" s="49">
        <f>'Project Stocktaking Template'!R187</f>
        <v>8550000</v>
      </c>
      <c r="I186" s="50" t="str">
        <f>'Project Stocktaking Template'!AD187</f>
        <v>Completed</v>
      </c>
      <c r="J186" s="45"/>
      <c r="K186" s="45"/>
      <c r="L186" s="45"/>
      <c r="M186" s="45"/>
      <c r="N186" s="45"/>
      <c r="O186" s="45"/>
      <c r="P186" s="45"/>
      <c r="Q186" s="45"/>
      <c r="R186" s="45"/>
      <c r="S186" s="45"/>
      <c r="T186" s="45"/>
      <c r="U186" s="45"/>
      <c r="V186" s="45"/>
      <c r="W186" s="45"/>
      <c r="X186" s="45"/>
      <c r="Y186" s="45"/>
      <c r="Z186" s="45"/>
    </row>
    <row r="187">
      <c r="A187" s="51">
        <v>186.0</v>
      </c>
      <c r="B187" s="47" t="str">
        <f>'Project Stocktaking Template'!B188</f>
        <v>PROPOSED EQUIPING OF BOREHOLE AT DEGELEMA CENTRE IN DADAAB SUBCOUNTY</v>
      </c>
      <c r="C187" s="47" t="str">
        <f>'Project Stocktaking Template'!H188</f>
        <v>Dadaab</v>
      </c>
      <c r="D187" s="47" t="str">
        <f>'Project Stocktaking Template'!I188</f>
        <v>Dadaab</v>
      </c>
      <c r="E187" s="48" t="str">
        <f>'Project Stocktaking Template'!O188</f>
        <v>1st aug 2023</v>
      </c>
      <c r="F187" s="48" t="str">
        <f>'Project Stocktaking Template'!P188</f>
        <v>30th june 2024</v>
      </c>
      <c r="G187" s="48" t="str">
        <f>'Project Stocktaking Template'!Q188</f>
        <v>30th june 2024</v>
      </c>
      <c r="H187" s="49">
        <f>'Project Stocktaking Template'!R188</f>
        <v>1425000</v>
      </c>
      <c r="I187" s="50" t="str">
        <f>'Project Stocktaking Template'!AD188</f>
        <v>Completed</v>
      </c>
      <c r="J187" s="45"/>
      <c r="K187" s="45"/>
      <c r="L187" s="45"/>
      <c r="M187" s="45"/>
      <c r="N187" s="45"/>
      <c r="O187" s="45"/>
      <c r="P187" s="45"/>
      <c r="Q187" s="45"/>
      <c r="R187" s="45"/>
      <c r="S187" s="45"/>
      <c r="T187" s="45"/>
      <c r="U187" s="45"/>
      <c r="V187" s="45"/>
      <c r="W187" s="45"/>
      <c r="X187" s="45"/>
      <c r="Y187" s="45"/>
      <c r="Z187" s="45"/>
    </row>
    <row r="188">
      <c r="A188" s="46">
        <v>187.0</v>
      </c>
      <c r="B188" s="47" t="str">
        <f>'Project Stocktaking Template'!B189</f>
        <v>CONSTRUCTION OF NEW WATER PAN AT DARKENELY CENTRE DADAAB SUBCOUNTY</v>
      </c>
      <c r="C188" s="47" t="str">
        <f>'Project Stocktaking Template'!H189</f>
        <v>Dadaab</v>
      </c>
      <c r="D188" s="47" t="str">
        <f>'Project Stocktaking Template'!I189</f>
        <v>Dadaab</v>
      </c>
      <c r="E188" s="48" t="str">
        <f>'Project Stocktaking Template'!O189</f>
        <v>1st aug 2023</v>
      </c>
      <c r="F188" s="48" t="str">
        <f>'Project Stocktaking Template'!P189</f>
        <v>30th june 2024</v>
      </c>
      <c r="G188" s="48" t="str">
        <f>'Project Stocktaking Template'!Q189</f>
        <v>30th june 2024</v>
      </c>
      <c r="H188" s="49">
        <f>'Project Stocktaking Template'!R189</f>
        <v>3325000</v>
      </c>
      <c r="I188" s="50" t="str">
        <f>'Project Stocktaking Template'!AD189</f>
        <v>Completed</v>
      </c>
      <c r="J188" s="45"/>
      <c r="K188" s="45"/>
      <c r="L188" s="45"/>
      <c r="M188" s="45"/>
      <c r="N188" s="45"/>
      <c r="O188" s="45"/>
      <c r="P188" s="45"/>
      <c r="Q188" s="45"/>
      <c r="R188" s="45"/>
      <c r="S188" s="45"/>
      <c r="T188" s="45"/>
      <c r="U188" s="45"/>
      <c r="V188" s="45"/>
      <c r="W188" s="45"/>
      <c r="X188" s="45"/>
      <c r="Y188" s="45"/>
      <c r="Z188" s="45"/>
    </row>
    <row r="189">
      <c r="A189" s="51">
        <v>188.0</v>
      </c>
      <c r="B189" s="47" t="str">
        <f>'Project Stocktaking Template'!B190</f>
        <v>BOREHOLE WORKS AT AQAL ARR</v>
      </c>
      <c r="C189" s="47" t="str">
        <f>'Project Stocktaking Template'!H190</f>
        <v>GarissaTownship</v>
      </c>
      <c r="D189" s="47" t="str">
        <f>'Project Stocktaking Template'!I190</f>
        <v>Iftin</v>
      </c>
      <c r="E189" s="48" t="str">
        <f>'Project Stocktaking Template'!O190</f>
        <v>1st aug 2023</v>
      </c>
      <c r="F189" s="48" t="str">
        <f>'Project Stocktaking Template'!P190</f>
        <v>30th june 2024</v>
      </c>
      <c r="G189" s="48" t="str">
        <f>'Project Stocktaking Template'!Q190</f>
        <v>30th june 2024</v>
      </c>
      <c r="H189" s="49">
        <f>'Project Stocktaking Template'!R190</f>
        <v>3501200</v>
      </c>
      <c r="I189" s="50" t="str">
        <f>'Project Stocktaking Template'!AD190</f>
        <v>Completed</v>
      </c>
      <c r="J189" s="45"/>
      <c r="K189" s="45"/>
      <c r="L189" s="45"/>
      <c r="M189" s="45"/>
      <c r="N189" s="45"/>
      <c r="O189" s="45"/>
      <c r="P189" s="45"/>
      <c r="Q189" s="45"/>
      <c r="R189" s="45"/>
      <c r="S189" s="45"/>
      <c r="T189" s="45"/>
      <c r="U189" s="45"/>
      <c r="V189" s="45"/>
      <c r="W189" s="45"/>
      <c r="X189" s="45"/>
      <c r="Y189" s="45"/>
      <c r="Z189" s="45"/>
    </row>
    <row r="190">
      <c r="A190" s="46">
        <v>189.0</v>
      </c>
      <c r="B190" s="47" t="str">
        <f>'Project Stocktaking Template'!B191</f>
        <v>EQUIPING OF HAMEY BOREHOLE</v>
      </c>
      <c r="C190" s="47" t="str">
        <f>'Project Stocktaking Template'!H191</f>
        <v>Dadaab</v>
      </c>
      <c r="D190" s="47" t="str">
        <f>'Project Stocktaking Template'!I191</f>
        <v>Damajale</v>
      </c>
      <c r="E190" s="48" t="str">
        <f>'Project Stocktaking Template'!O191</f>
        <v>1st aug 2023</v>
      </c>
      <c r="F190" s="48" t="str">
        <f>'Project Stocktaking Template'!P191</f>
        <v>30th june 2024</v>
      </c>
      <c r="G190" s="48" t="str">
        <f>'Project Stocktaking Template'!Q191</f>
        <v>30th june 2024</v>
      </c>
      <c r="H190" s="49">
        <f>'Project Stocktaking Template'!R191</f>
        <v>4000000</v>
      </c>
      <c r="I190" s="50" t="str">
        <f>'Project Stocktaking Template'!AD191</f>
        <v>Completed</v>
      </c>
      <c r="J190" s="45"/>
      <c r="K190" s="45"/>
      <c r="L190" s="45"/>
      <c r="M190" s="45"/>
      <c r="N190" s="45"/>
      <c r="O190" s="45"/>
      <c r="P190" s="45"/>
      <c r="Q190" s="45"/>
      <c r="R190" s="45"/>
      <c r="S190" s="45"/>
      <c r="T190" s="45"/>
      <c r="U190" s="45"/>
      <c r="V190" s="45"/>
      <c r="W190" s="45"/>
      <c r="X190" s="45"/>
      <c r="Y190" s="45"/>
      <c r="Z190" s="45"/>
    </row>
    <row r="191">
      <c r="A191" s="51">
        <v>190.0</v>
      </c>
      <c r="B191" s="47" t="str">
        <f>'Project Stocktaking Template'!B192</f>
        <v>EQUIPING &amp; EXTENSION OF BARAKI AND MAALIMIN PIPELINE LAGDERA SUBCOUNTY</v>
      </c>
      <c r="C191" s="47" t="str">
        <f>'Project Stocktaking Template'!H192</f>
        <v>Lagdera</v>
      </c>
      <c r="D191" s="47" t="str">
        <f>'Project Stocktaking Template'!I192</f>
        <v>Modogashe</v>
      </c>
      <c r="E191" s="48" t="str">
        <f>'Project Stocktaking Template'!O192</f>
        <v>1st aug 2023</v>
      </c>
      <c r="F191" s="48" t="str">
        <f>'Project Stocktaking Template'!P192</f>
        <v>30th june 2024</v>
      </c>
      <c r="G191" s="48" t="str">
        <f>'Project Stocktaking Template'!Q192</f>
        <v>30th june 2024</v>
      </c>
      <c r="H191" s="49">
        <f>'Project Stocktaking Template'!R192</f>
        <v>19550000</v>
      </c>
      <c r="I191" s="50" t="str">
        <f>'Project Stocktaking Template'!AD192</f>
        <v>Completed</v>
      </c>
      <c r="J191" s="45"/>
      <c r="K191" s="45"/>
      <c r="L191" s="45"/>
      <c r="M191" s="45"/>
      <c r="N191" s="45"/>
      <c r="O191" s="45"/>
      <c r="P191" s="45"/>
      <c r="Q191" s="45"/>
      <c r="R191" s="45"/>
      <c r="S191" s="45"/>
      <c r="T191" s="45"/>
      <c r="U191" s="45"/>
      <c r="V191" s="45"/>
      <c r="W191" s="45"/>
      <c r="X191" s="45"/>
      <c r="Y191" s="45"/>
      <c r="Z191" s="45"/>
    </row>
    <row r="192">
      <c r="A192" s="46">
        <v>191.0</v>
      </c>
      <c r="B192" s="47" t="str">
        <f>'Project Stocktaking Template'!B193</f>
        <v>DESILTING AND FENCING OF GUBIS WATER PAN</v>
      </c>
      <c r="C192" s="47" t="str">
        <f>'Project Stocktaking Template'!H193</f>
        <v>GarissaTownship</v>
      </c>
      <c r="D192" s="47" t="str">
        <f>'Project Stocktaking Template'!I193</f>
        <v>Iftin</v>
      </c>
      <c r="E192" s="48" t="str">
        <f>'Project Stocktaking Template'!O193</f>
        <v>1st aug 2023</v>
      </c>
      <c r="F192" s="48" t="str">
        <f>'Project Stocktaking Template'!P193</f>
        <v>30th june 2024</v>
      </c>
      <c r="G192" s="48" t="str">
        <f>'Project Stocktaking Template'!Q193</f>
        <v>30th june 2024</v>
      </c>
      <c r="H192" s="49">
        <f>'Project Stocktaking Template'!R193</f>
        <v>1425000</v>
      </c>
      <c r="I192" s="50" t="str">
        <f>'Project Stocktaking Template'!AD193</f>
        <v>Completed</v>
      </c>
      <c r="J192" s="45"/>
      <c r="K192" s="45"/>
      <c r="L192" s="45"/>
      <c r="M192" s="45"/>
      <c r="N192" s="45"/>
      <c r="O192" s="45"/>
      <c r="P192" s="45"/>
      <c r="Q192" s="45"/>
      <c r="R192" s="45"/>
      <c r="S192" s="45"/>
      <c r="T192" s="45"/>
      <c r="U192" s="45"/>
      <c r="V192" s="45"/>
      <c r="W192" s="45"/>
      <c r="X192" s="45"/>
      <c r="Y192" s="45"/>
      <c r="Z192" s="45"/>
    </row>
    <row r="193">
      <c r="A193" s="51">
        <v>192.0</v>
      </c>
      <c r="B193" s="47" t="str">
        <f>'Project Stocktaking Template'!B194</f>
        <v>PREPARATION OF SPATIAL DEVELOPMENT PLANS FOR SUB COUNTIES</v>
      </c>
      <c r="C193" s="47" t="str">
        <f>'Project Stocktaking Template'!H194</f>
        <v>GarissaTownship</v>
      </c>
      <c r="D193" s="47" t="str">
        <f>'Project Stocktaking Template'!I194</f>
        <v>Township</v>
      </c>
      <c r="E193" s="48" t="str">
        <f>'Project Stocktaking Template'!O194</f>
        <v>1st aug 2023</v>
      </c>
      <c r="F193" s="48" t="str">
        <f>'Project Stocktaking Template'!P194</f>
        <v>30th june 2024</v>
      </c>
      <c r="G193" s="48" t="str">
        <f>'Project Stocktaking Template'!Q194</f>
        <v>30th june 2024</v>
      </c>
      <c r="H193" s="49">
        <f>'Project Stocktaking Template'!R194</f>
        <v>9500000</v>
      </c>
      <c r="I193" s="50" t="str">
        <f>'Project Stocktaking Template'!AD194</f>
        <v>Completed</v>
      </c>
      <c r="J193" s="45"/>
      <c r="K193" s="45"/>
      <c r="L193" s="45"/>
      <c r="M193" s="45"/>
      <c r="N193" s="45"/>
      <c r="O193" s="45"/>
      <c r="P193" s="45"/>
      <c r="Q193" s="45"/>
      <c r="R193" s="45"/>
      <c r="S193" s="45"/>
      <c r="T193" s="45"/>
      <c r="U193" s="45"/>
      <c r="V193" s="45"/>
      <c r="W193" s="45"/>
      <c r="X193" s="45"/>
      <c r="Y193" s="45"/>
      <c r="Z193" s="45"/>
    </row>
    <row r="194">
      <c r="A194" s="46">
        <v>193.0</v>
      </c>
      <c r="B194" s="47" t="str">
        <f>'Project Stocktaking Template'!B195</f>
        <v>PROVISION OF CONSULTENCY FOR DESIGN AND CONSTRUCTION SUPERVION MAIN GARISSA TOWNSHIP MARKET-SUUQMUGDI</v>
      </c>
      <c r="C194" s="47" t="str">
        <f>'Project Stocktaking Template'!H195</f>
        <v>GarissaTownship</v>
      </c>
      <c r="D194" s="47" t="str">
        <f>'Project Stocktaking Template'!I195</f>
        <v>Township</v>
      </c>
      <c r="E194" s="48" t="str">
        <f>'Project Stocktaking Template'!O195</f>
        <v>1st aug 2023</v>
      </c>
      <c r="F194" s="48" t="str">
        <f>'Project Stocktaking Template'!P195</f>
        <v>30th june 2024</v>
      </c>
      <c r="G194" s="48" t="str">
        <f>'Project Stocktaking Template'!Q195</f>
        <v>30th june 2024</v>
      </c>
      <c r="H194" s="49">
        <f>'Project Stocktaking Template'!R195</f>
        <v>38000000</v>
      </c>
      <c r="I194" s="50" t="str">
        <f>'Project Stocktaking Template'!AD195</f>
        <v>Completed</v>
      </c>
      <c r="J194" s="45"/>
      <c r="K194" s="45"/>
      <c r="L194" s="45"/>
      <c r="M194" s="45"/>
      <c r="N194" s="45"/>
      <c r="O194" s="45"/>
      <c r="P194" s="45"/>
      <c r="Q194" s="45"/>
      <c r="R194" s="45"/>
      <c r="S194" s="45"/>
      <c r="T194" s="45"/>
      <c r="U194" s="45"/>
      <c r="V194" s="45"/>
      <c r="W194" s="45"/>
      <c r="X194" s="45"/>
      <c r="Y194" s="45"/>
      <c r="Z194" s="45"/>
    </row>
    <row r="195">
      <c r="A195" s="51">
        <v>194.0</v>
      </c>
      <c r="B195" s="47" t="str">
        <f>'Project Stocktaking Template'!B196</f>
        <v>PROSED RENOVATION OF 5NO CLAASSROOM, STAFFROOM AND TWO PITLATRINE AT AMUMA PRIMARY SCHOOL FAFI SUNCOUNTY</v>
      </c>
      <c r="C195" s="47" t="str">
        <f>'Project Stocktaking Template'!H196</f>
        <v>Fafi</v>
      </c>
      <c r="D195" s="47" t="str">
        <f>'Project Stocktaking Template'!I196</f>
        <v>Fafi</v>
      </c>
      <c r="E195" s="48" t="str">
        <f>'Project Stocktaking Template'!O196</f>
        <v>1st aug 2023</v>
      </c>
      <c r="F195" s="48" t="str">
        <f>'Project Stocktaking Template'!P196</f>
        <v>30th june 2024</v>
      </c>
      <c r="G195" s="48" t="str">
        <f>'Project Stocktaking Template'!Q196</f>
        <v>30th june 2024</v>
      </c>
      <c r="H195" s="49">
        <f>'Project Stocktaking Template'!R196</f>
        <v>1702542.5</v>
      </c>
      <c r="I195" s="50" t="str">
        <f>'Project Stocktaking Template'!AD196</f>
        <v>Completed</v>
      </c>
      <c r="J195" s="45"/>
      <c r="K195" s="45"/>
      <c r="L195" s="45"/>
      <c r="M195" s="45"/>
      <c r="N195" s="45"/>
      <c r="O195" s="45"/>
      <c r="P195" s="45"/>
      <c r="Q195" s="45"/>
      <c r="R195" s="45"/>
      <c r="S195" s="45"/>
      <c r="T195" s="45"/>
      <c r="U195" s="45"/>
      <c r="V195" s="45"/>
      <c r="W195" s="45"/>
      <c r="X195" s="45"/>
      <c r="Y195" s="45"/>
      <c r="Z195" s="45"/>
    </row>
    <row r="196">
      <c r="A196" s="46">
        <v>195.0</v>
      </c>
      <c r="B196" s="47" t="str">
        <f>'Project Stocktaking Template'!B197</f>
        <v>PROPOSED CONSTRUCTION OF CHAINLINK FENCE AT KAMBI SAMAKI PRIMARY SCHOOL</v>
      </c>
      <c r="C196" s="47" t="str">
        <f>'Project Stocktaking Template'!H197</f>
        <v>Lagdera</v>
      </c>
      <c r="D196" s="47" t="str">
        <f>'Project Stocktaking Template'!I197</f>
        <v>Modogashe</v>
      </c>
      <c r="E196" s="48" t="str">
        <f>'Project Stocktaking Template'!O197</f>
        <v>1st aug 2023</v>
      </c>
      <c r="F196" s="48" t="str">
        <f>'Project Stocktaking Template'!P197</f>
        <v>30th june 2024</v>
      </c>
      <c r="G196" s="48" t="str">
        <f>'Project Stocktaking Template'!Q197</f>
        <v>30th june 2024</v>
      </c>
      <c r="H196" s="49">
        <f>'Project Stocktaking Template'!R197</f>
        <v>2375000</v>
      </c>
      <c r="I196" s="50" t="str">
        <f>'Project Stocktaking Template'!AD197</f>
        <v>Completed</v>
      </c>
      <c r="J196" s="45"/>
      <c r="K196" s="45"/>
      <c r="L196" s="45"/>
      <c r="M196" s="45"/>
      <c r="N196" s="45"/>
      <c r="O196" s="45"/>
      <c r="P196" s="45"/>
      <c r="Q196" s="45"/>
      <c r="R196" s="45"/>
      <c r="S196" s="45"/>
      <c r="T196" s="45"/>
      <c r="U196" s="45"/>
      <c r="V196" s="45"/>
      <c r="W196" s="45"/>
      <c r="X196" s="45"/>
      <c r="Y196" s="45"/>
      <c r="Z196" s="45"/>
    </row>
    <row r="197">
      <c r="A197" s="51">
        <v>196.0</v>
      </c>
      <c r="B197" s="47" t="str">
        <f>'Project Stocktaking Template'!B198</f>
        <v>PROPOSED MAINTENANCE OF BAHURI-MAHMED TUKALE ROAD</v>
      </c>
      <c r="C197" s="47" t="str">
        <f>'Project Stocktaking Template'!H198</f>
        <v>GarissaTownship</v>
      </c>
      <c r="D197" s="47" t="str">
        <f>'Project Stocktaking Template'!I198</f>
        <v>Waberi</v>
      </c>
      <c r="E197" s="48" t="str">
        <f>'Project Stocktaking Template'!O198</f>
        <v>1st aug 2023</v>
      </c>
      <c r="F197" s="48" t="str">
        <f>'Project Stocktaking Template'!P198</f>
        <v>30th june 2024</v>
      </c>
      <c r="G197" s="48" t="str">
        <f>'Project Stocktaking Template'!Q198</f>
        <v>30th june 2024</v>
      </c>
      <c r="H197" s="49">
        <f>'Project Stocktaking Template'!R198</f>
        <v>4638538.4</v>
      </c>
      <c r="I197" s="50" t="str">
        <f>'Project Stocktaking Template'!AD198</f>
        <v>Completed</v>
      </c>
      <c r="J197" s="45"/>
      <c r="K197" s="45"/>
      <c r="L197" s="45"/>
      <c r="M197" s="45"/>
      <c r="N197" s="45"/>
      <c r="O197" s="45"/>
      <c r="P197" s="45"/>
      <c r="Q197" s="45"/>
      <c r="R197" s="45"/>
      <c r="S197" s="45"/>
      <c r="T197" s="45"/>
      <c r="U197" s="45"/>
      <c r="V197" s="45"/>
      <c r="W197" s="45"/>
      <c r="X197" s="45"/>
      <c r="Y197" s="45"/>
      <c r="Z197" s="45"/>
    </row>
    <row r="198">
      <c r="A198" s="46">
        <v>197.0</v>
      </c>
      <c r="B198" s="47" t="str">
        <f>'Project Stocktaking Template'!B199</f>
        <v>PROPOSED RENOVATION OF URBAN DEVELOPMENT OFFICES</v>
      </c>
      <c r="C198" s="47" t="str">
        <f>'Project Stocktaking Template'!H199</f>
        <v>GarissaTownship</v>
      </c>
      <c r="D198" s="47" t="str">
        <f>'Project Stocktaking Template'!I199</f>
        <v>Township</v>
      </c>
      <c r="E198" s="48" t="str">
        <f>'Project Stocktaking Template'!O199</f>
        <v>1st aug 2023</v>
      </c>
      <c r="F198" s="48" t="str">
        <f>'Project Stocktaking Template'!P199</f>
        <v>30th june 2024</v>
      </c>
      <c r="G198" s="48" t="str">
        <f>'Project Stocktaking Template'!Q199</f>
        <v>30th june 2024</v>
      </c>
      <c r="H198" s="49">
        <f>'Project Stocktaking Template'!R199</f>
        <v>1065000</v>
      </c>
      <c r="I198" s="50" t="str">
        <f>'Project Stocktaking Template'!AD199</f>
        <v>Completed</v>
      </c>
      <c r="J198" s="45"/>
      <c r="K198" s="45"/>
      <c r="L198" s="45"/>
      <c r="M198" s="45"/>
      <c r="N198" s="45"/>
      <c r="O198" s="45"/>
      <c r="P198" s="45"/>
      <c r="Q198" s="45"/>
      <c r="R198" s="45"/>
      <c r="S198" s="45"/>
      <c r="T198" s="45"/>
      <c r="U198" s="45"/>
      <c r="V198" s="45"/>
      <c r="W198" s="45"/>
      <c r="X198" s="45"/>
      <c r="Y198" s="45"/>
      <c r="Z198" s="45"/>
    </row>
    <row r="199">
      <c r="A199" s="51">
        <v>198.0</v>
      </c>
      <c r="B199" s="47" t="str">
        <f>'Project Stocktaking Template'!B200</f>
        <v>CONSTRUCTION OF 50,000M CUBIC WATER PAN AT BISIQORE CENTRE IN HULUGHO SUBCOUNTY</v>
      </c>
      <c r="C199" s="47" t="str">
        <f>'Project Stocktaking Template'!H200</f>
        <v>Ijara</v>
      </c>
      <c r="D199" s="47" t="str">
        <f>'Project Stocktaking Template'!I200</f>
        <v>Hulugho</v>
      </c>
      <c r="E199" s="48" t="str">
        <f>'Project Stocktaking Template'!O200</f>
        <v>1st aug 2023</v>
      </c>
      <c r="F199" s="48" t="str">
        <f>'Project Stocktaking Template'!P200</f>
        <v>30th june 2024</v>
      </c>
      <c r="G199" s="48" t="str">
        <f>'Project Stocktaking Template'!Q200</f>
        <v>30th june 2024</v>
      </c>
      <c r="H199" s="49">
        <f>'Project Stocktaking Template'!R200</f>
        <v>1500000</v>
      </c>
      <c r="I199" s="50" t="str">
        <f>'Project Stocktaking Template'!AD200</f>
        <v>Completed</v>
      </c>
      <c r="J199" s="45"/>
      <c r="K199" s="45"/>
      <c r="L199" s="45"/>
      <c r="M199" s="45"/>
      <c r="N199" s="45"/>
      <c r="O199" s="45"/>
      <c r="P199" s="45"/>
      <c r="Q199" s="45"/>
      <c r="R199" s="45"/>
      <c r="S199" s="45"/>
      <c r="T199" s="45"/>
      <c r="U199" s="45"/>
      <c r="V199" s="45"/>
      <c r="W199" s="45"/>
      <c r="X199" s="45"/>
      <c r="Y199" s="45"/>
      <c r="Z199" s="45"/>
    </row>
    <row r="200">
      <c r="A200" s="46">
        <v>199.0</v>
      </c>
      <c r="B200" s="47" t="str">
        <f>'Project Stocktaking Template'!B201</f>
        <v>PROPOSED REFURBISHMENT OF GARISSA COUNTY HEADQUARTERS</v>
      </c>
      <c r="C200" s="47" t="str">
        <f>'Project Stocktaking Template'!H201</f>
        <v>GarissaTownship</v>
      </c>
      <c r="D200" s="47" t="str">
        <f>'Project Stocktaking Template'!I201</f>
        <v>Township</v>
      </c>
      <c r="E200" s="48" t="str">
        <f>'Project Stocktaking Template'!O201</f>
        <v>1st aug 2023</v>
      </c>
      <c r="F200" s="48" t="str">
        <f>'Project Stocktaking Template'!P201</f>
        <v>30th june 2024</v>
      </c>
      <c r="G200" s="48" t="str">
        <f>'Project Stocktaking Template'!Q201</f>
        <v>30th june 2024</v>
      </c>
      <c r="H200" s="49">
        <f>'Project Stocktaking Template'!R201</f>
        <v>1900000</v>
      </c>
      <c r="I200" s="50" t="str">
        <f>'Project Stocktaking Template'!AD201</f>
        <v>Completed</v>
      </c>
      <c r="J200" s="45"/>
      <c r="K200" s="45"/>
      <c r="L200" s="45"/>
      <c r="M200" s="45"/>
      <c r="N200" s="45"/>
      <c r="O200" s="45"/>
      <c r="P200" s="45"/>
      <c r="Q200" s="45"/>
      <c r="R200" s="45"/>
      <c r="S200" s="45"/>
      <c r="T200" s="45"/>
      <c r="U200" s="45"/>
      <c r="V200" s="45"/>
      <c r="W200" s="45"/>
      <c r="X200" s="45"/>
      <c r="Y200" s="45"/>
      <c r="Z200" s="45"/>
    </row>
    <row r="201">
      <c r="A201" s="51">
        <v>200.0</v>
      </c>
      <c r="B201" s="47" t="str">
        <f>'Project Stocktaking Template'!B202</f>
        <v>CONSTRUCTION OF CHAINLINK FENCING LIGHT BUSH CLEARING,SENTRY BOX AT WARABLE PRIMARY SCHOOL HULUGHO</v>
      </c>
      <c r="C201" s="47" t="str">
        <f>'Project Stocktaking Template'!H202</f>
        <v>Ijara</v>
      </c>
      <c r="D201" s="47" t="str">
        <f>'Project Stocktaking Template'!I202</f>
        <v>Hulugho</v>
      </c>
      <c r="E201" s="48" t="str">
        <f>'Project Stocktaking Template'!O202</f>
        <v>1st aug 2023</v>
      </c>
      <c r="F201" s="48" t="str">
        <f>'Project Stocktaking Template'!P202</f>
        <v>30th june 2024</v>
      </c>
      <c r="G201" s="48" t="str">
        <f>'Project Stocktaking Template'!Q202</f>
        <v>30th june 2024</v>
      </c>
      <c r="H201" s="49">
        <f>'Project Stocktaking Template'!R202</f>
        <v>2000000</v>
      </c>
      <c r="I201" s="50" t="str">
        <f>'Project Stocktaking Template'!AD202</f>
        <v>Completed</v>
      </c>
      <c r="J201" s="45"/>
      <c r="K201" s="45"/>
      <c r="L201" s="45"/>
      <c r="M201" s="45"/>
      <c r="N201" s="45"/>
      <c r="O201" s="45"/>
      <c r="P201" s="45"/>
      <c r="Q201" s="45"/>
      <c r="R201" s="45"/>
      <c r="S201" s="45"/>
      <c r="T201" s="45"/>
      <c r="U201" s="45"/>
      <c r="V201" s="45"/>
      <c r="W201" s="45"/>
      <c r="X201" s="45"/>
      <c r="Y201" s="45"/>
      <c r="Z201" s="45"/>
    </row>
    <row r="202">
      <c r="A202" s="46">
        <v>201.0</v>
      </c>
      <c r="B202" s="47" t="str">
        <f>'Project Stocktaking Template'!B203</f>
        <v>PROPOSED CONSTRUCTION OF CHAINLINK HEAVY CLEARING AND SENTRY BOX AT  BURA SECONDARY SCHOOL</v>
      </c>
      <c r="C202" s="47" t="str">
        <f>'Project Stocktaking Template'!H203</f>
        <v>Fafi</v>
      </c>
      <c r="D202" s="47" t="str">
        <f>'Project Stocktaking Template'!I203</f>
        <v>Bura</v>
      </c>
      <c r="E202" s="48" t="str">
        <f>'Project Stocktaking Template'!O203</f>
        <v>1st aug 2023</v>
      </c>
      <c r="F202" s="48" t="str">
        <f>'Project Stocktaking Template'!P203</f>
        <v>30th june 2024</v>
      </c>
      <c r="G202" s="48" t="str">
        <f>'Project Stocktaking Template'!Q203</f>
        <v>30th june 2024</v>
      </c>
      <c r="H202" s="49">
        <f>'Project Stocktaking Template'!R203</f>
        <v>3000000</v>
      </c>
      <c r="I202" s="50" t="str">
        <f>'Project Stocktaking Template'!AD203</f>
        <v>Completed</v>
      </c>
      <c r="J202" s="45"/>
      <c r="K202" s="45"/>
      <c r="L202" s="45"/>
      <c r="M202" s="45"/>
      <c r="N202" s="45"/>
      <c r="O202" s="45"/>
      <c r="P202" s="45"/>
      <c r="Q202" s="45"/>
      <c r="R202" s="45"/>
      <c r="S202" s="45"/>
      <c r="T202" s="45"/>
      <c r="U202" s="45"/>
      <c r="V202" s="45"/>
      <c r="W202" s="45"/>
      <c r="X202" s="45"/>
      <c r="Y202" s="45"/>
      <c r="Z202" s="45"/>
    </row>
    <row r="203">
      <c r="A203" s="51">
        <v>202.0</v>
      </c>
      <c r="B203" s="47" t="str">
        <f>'Project Stocktaking Template'!B204</f>
        <v>CONSTRUCTION OF BOREHOLE AT MAKA CENTRE</v>
      </c>
      <c r="C203" s="47" t="str">
        <f>'Project Stocktaking Template'!H204</f>
        <v>Dadaab</v>
      </c>
      <c r="D203" s="47" t="str">
        <f>'Project Stocktaking Template'!I204</f>
        <v>Township</v>
      </c>
      <c r="E203" s="48" t="str">
        <f>'Project Stocktaking Template'!O204</f>
        <v>1st aug 2023</v>
      </c>
      <c r="F203" s="48" t="str">
        <f>'Project Stocktaking Template'!P204</f>
        <v>30th june 2024</v>
      </c>
      <c r="G203" s="48" t="str">
        <f>'Project Stocktaking Template'!Q204</f>
        <v>30th june 2024</v>
      </c>
      <c r="H203" s="49">
        <f>'Project Stocktaking Template'!R204</f>
        <v>3610000</v>
      </c>
      <c r="I203" s="50" t="str">
        <f>'Project Stocktaking Template'!AD204</f>
        <v>Completed</v>
      </c>
      <c r="J203" s="45"/>
      <c r="K203" s="45"/>
      <c r="L203" s="45"/>
      <c r="M203" s="45"/>
      <c r="N203" s="45"/>
      <c r="O203" s="45"/>
      <c r="P203" s="45"/>
      <c r="Q203" s="45"/>
      <c r="R203" s="45"/>
      <c r="S203" s="45"/>
      <c r="T203" s="45"/>
      <c r="U203" s="45"/>
      <c r="V203" s="45"/>
      <c r="W203" s="45"/>
      <c r="X203" s="45"/>
      <c r="Y203" s="45"/>
      <c r="Z203" s="45"/>
    </row>
    <row r="204">
      <c r="A204" s="46">
        <v>203.0</v>
      </c>
      <c r="B204" s="47" t="str">
        <f>'Project Stocktaking Template'!B205</f>
        <v>PROPOSED MAINTENANCE OF MODOGASHE-RIGDAM ROAD</v>
      </c>
      <c r="C204" s="47" t="str">
        <f>'Project Stocktaking Template'!H205</f>
        <v>Lagdera</v>
      </c>
      <c r="D204" s="47" t="str">
        <f>'Project Stocktaking Template'!I205</f>
        <v>Township</v>
      </c>
      <c r="E204" s="48" t="str">
        <f>'Project Stocktaking Template'!O205</f>
        <v>1st aug 2023</v>
      </c>
      <c r="F204" s="48" t="str">
        <f>'Project Stocktaking Template'!P205</f>
        <v>30th june 2024</v>
      </c>
      <c r="G204" s="48" t="str">
        <f>'Project Stocktaking Template'!Q205</f>
        <v>30th june 2024</v>
      </c>
      <c r="H204" s="49">
        <f>'Project Stocktaking Template'!R205</f>
        <v>4134545</v>
      </c>
      <c r="I204" s="50" t="str">
        <f>'Project Stocktaking Template'!AD205</f>
        <v>Completed</v>
      </c>
      <c r="J204" s="45"/>
      <c r="K204" s="45"/>
      <c r="L204" s="45"/>
      <c r="M204" s="45"/>
      <c r="N204" s="45"/>
      <c r="O204" s="45"/>
      <c r="P204" s="45"/>
      <c r="Q204" s="45"/>
      <c r="R204" s="45"/>
      <c r="S204" s="45"/>
      <c r="T204" s="45"/>
      <c r="U204" s="45"/>
      <c r="V204" s="45"/>
      <c r="W204" s="45"/>
      <c r="X204" s="45"/>
      <c r="Y204" s="45"/>
      <c r="Z204" s="45"/>
    </row>
    <row r="205">
      <c r="A205" s="51">
        <v>204.0</v>
      </c>
      <c r="B205" s="47" t="str">
        <f>'Project Stocktaking Template'!B206</f>
        <v>RENOVATION OF ADMIN FACELIFT AT GARISSA REFERAL HOSPITAL</v>
      </c>
      <c r="C205" s="47" t="str">
        <f>'Project Stocktaking Template'!H206</f>
        <v>GarissaTownship</v>
      </c>
      <c r="D205" s="47" t="str">
        <f>'Project Stocktaking Template'!I206</f>
        <v>Township</v>
      </c>
      <c r="E205" s="48" t="str">
        <f>'Project Stocktaking Template'!O206</f>
        <v>1st aug 2023</v>
      </c>
      <c r="F205" s="48" t="str">
        <f>'Project Stocktaking Template'!P206</f>
        <v>30th june 2024</v>
      </c>
      <c r="G205" s="48" t="str">
        <f>'Project Stocktaking Template'!Q206</f>
        <v>30th june 2024</v>
      </c>
      <c r="H205" s="49">
        <f>'Project Stocktaking Template'!R206</f>
        <v>5521829</v>
      </c>
      <c r="I205" s="50" t="str">
        <f>'Project Stocktaking Template'!AD206</f>
        <v>Completed</v>
      </c>
      <c r="J205" s="45"/>
      <c r="K205" s="45"/>
      <c r="L205" s="45"/>
      <c r="M205" s="45"/>
      <c r="N205" s="45"/>
      <c r="O205" s="45"/>
      <c r="P205" s="45"/>
      <c r="Q205" s="45"/>
      <c r="R205" s="45"/>
      <c r="S205" s="45"/>
      <c r="T205" s="45"/>
      <c r="U205" s="45"/>
      <c r="V205" s="45"/>
      <c r="W205" s="45"/>
      <c r="X205" s="45"/>
      <c r="Y205" s="45"/>
      <c r="Z205" s="45"/>
    </row>
    <row r="206">
      <c r="A206" s="46">
        <v>205.0</v>
      </c>
      <c r="B206" s="47" t="str">
        <f>'Project Stocktaking Template'!B207</f>
        <v>PROPOSED CONSTRUCTION MASONARY PERIMETER FENCE, PUBLIC PARKING AND 2 NO TOILETS SENTRY BOX, TWIN PIT LATRINE AT GCRH</v>
      </c>
      <c r="C206" s="47" t="str">
        <f>'Project Stocktaking Template'!H207</f>
        <v>GarissaTownship</v>
      </c>
      <c r="D206" s="47" t="str">
        <f>'Project Stocktaking Template'!I207</f>
        <v>Township</v>
      </c>
      <c r="E206" s="48" t="str">
        <f>'Project Stocktaking Template'!O207</f>
        <v>1st aug 2023</v>
      </c>
      <c r="F206" s="48" t="str">
        <f>'Project Stocktaking Template'!P207</f>
        <v>30th june 2024</v>
      </c>
      <c r="G206" s="48" t="str">
        <f>'Project Stocktaking Template'!Q207</f>
        <v>30th june 2024</v>
      </c>
      <c r="H206" s="49">
        <f>'Project Stocktaking Template'!R207</f>
        <v>5700000</v>
      </c>
      <c r="I206" s="50" t="str">
        <f>'Project Stocktaking Template'!AD207</f>
        <v>Completed</v>
      </c>
      <c r="J206" s="45"/>
      <c r="K206" s="45"/>
      <c r="L206" s="45"/>
      <c r="M206" s="45"/>
      <c r="N206" s="45"/>
      <c r="O206" s="45"/>
      <c r="P206" s="45"/>
      <c r="Q206" s="45"/>
      <c r="R206" s="45"/>
      <c r="S206" s="45"/>
      <c r="T206" s="45"/>
      <c r="U206" s="45"/>
      <c r="V206" s="45"/>
      <c r="W206" s="45"/>
      <c r="X206" s="45"/>
      <c r="Y206" s="45"/>
      <c r="Z206" s="45"/>
    </row>
    <row r="207">
      <c r="A207" s="51">
        <v>206.0</v>
      </c>
      <c r="B207" s="47" t="str">
        <f>'Project Stocktaking Template'!B208</f>
        <v>PROPOSED FACELIFT OF ADMINSTRATION BLOCK AND RENOVATION OF ACCIDENT AND EMERGENCY UNIT AT GCRH</v>
      </c>
      <c r="C207" s="47" t="str">
        <f>'Project Stocktaking Template'!H208</f>
        <v>GarissaTownship</v>
      </c>
      <c r="D207" s="47" t="str">
        <f>'Project Stocktaking Template'!I208</f>
        <v>Township</v>
      </c>
      <c r="E207" s="48" t="str">
        <f>'Project Stocktaking Template'!O208</f>
        <v>1st aug 2023</v>
      </c>
      <c r="F207" s="48" t="str">
        <f>'Project Stocktaking Template'!P208</f>
        <v>30th june 2024</v>
      </c>
      <c r="G207" s="48" t="str">
        <f>'Project Stocktaking Template'!Q208</f>
        <v>30th june 2024</v>
      </c>
      <c r="H207" s="49">
        <f>'Project Stocktaking Template'!R208</f>
        <v>7028741</v>
      </c>
      <c r="I207" s="50" t="str">
        <f>'Project Stocktaking Template'!AD208</f>
        <v>Completed</v>
      </c>
      <c r="J207" s="45"/>
      <c r="K207" s="45"/>
      <c r="L207" s="45"/>
      <c r="M207" s="45"/>
      <c r="N207" s="45"/>
      <c r="O207" s="45"/>
      <c r="P207" s="45"/>
      <c r="Q207" s="45"/>
      <c r="R207" s="45"/>
      <c r="S207" s="45"/>
      <c r="T207" s="45"/>
      <c r="U207" s="45"/>
      <c r="V207" s="45"/>
      <c r="W207" s="45"/>
      <c r="X207" s="45"/>
      <c r="Y207" s="45"/>
      <c r="Z207" s="45"/>
    </row>
    <row r="208">
      <c r="A208" s="46">
        <v>207.0</v>
      </c>
      <c r="B208" s="47" t="str">
        <f>'Project Stocktaking Template'!B209</f>
        <v>DRILLING ,EQUIPING AND PIPING OF ADC FARM BOREHOLE FORR GAWASCO IN TOWNSHIP</v>
      </c>
      <c r="C208" s="47" t="str">
        <f>'Project Stocktaking Template'!H209</f>
        <v>GarissaTownship</v>
      </c>
      <c r="D208" s="47" t="str">
        <f>'Project Stocktaking Template'!I209</f>
        <v>Township</v>
      </c>
      <c r="E208" s="48" t="str">
        <f>'Project Stocktaking Template'!O209</f>
        <v>1st aug 2023</v>
      </c>
      <c r="F208" s="48" t="str">
        <f>'Project Stocktaking Template'!P209</f>
        <v>30th june 2024</v>
      </c>
      <c r="G208" s="48" t="str">
        <f>'Project Stocktaking Template'!Q209</f>
        <v>30th june 2024</v>
      </c>
      <c r="H208" s="49">
        <f>'Project Stocktaking Template'!R209</f>
        <v>8550000</v>
      </c>
      <c r="I208" s="50" t="str">
        <f>'Project Stocktaking Template'!AD209</f>
        <v>Completed</v>
      </c>
      <c r="J208" s="45"/>
      <c r="K208" s="45"/>
      <c r="L208" s="45"/>
      <c r="M208" s="45"/>
      <c r="N208" s="45"/>
      <c r="O208" s="45"/>
      <c r="P208" s="45"/>
      <c r="Q208" s="45"/>
      <c r="R208" s="45"/>
      <c r="S208" s="45"/>
      <c r="T208" s="45"/>
      <c r="U208" s="45"/>
      <c r="V208" s="45"/>
      <c r="W208" s="45"/>
      <c r="X208" s="45"/>
      <c r="Y208" s="45"/>
      <c r="Z208" s="45"/>
    </row>
    <row r="209">
      <c r="A209" s="51">
        <v>208.0</v>
      </c>
      <c r="B209" s="47" t="str">
        <f>'Project Stocktaking Template'!B210</f>
        <v>DESILTING AND EXPANSION OF MOIT WATER PAN PROJECT</v>
      </c>
      <c r="C209" s="47" t="str">
        <f>'Project Stocktaking Template'!H210</f>
        <v>GarissaTownship</v>
      </c>
      <c r="D209" s="47" t="str">
        <f>'Project Stocktaking Template'!I210</f>
        <v>Township</v>
      </c>
      <c r="E209" s="48" t="str">
        <f>'Project Stocktaking Template'!O210</f>
        <v>1st aug 2023</v>
      </c>
      <c r="F209" s="48" t="str">
        <f>'Project Stocktaking Template'!P210</f>
        <v>30th june 2024</v>
      </c>
      <c r="G209" s="48" t="str">
        <f>'Project Stocktaking Template'!Q210</f>
        <v>30th june 2024</v>
      </c>
      <c r="H209" s="49">
        <f>'Project Stocktaking Template'!R210</f>
        <v>10000000</v>
      </c>
      <c r="I209" s="50" t="str">
        <f>'Project Stocktaking Template'!AD210</f>
        <v>Completed</v>
      </c>
      <c r="J209" s="45"/>
      <c r="K209" s="45"/>
      <c r="L209" s="45"/>
      <c r="M209" s="45"/>
      <c r="N209" s="45"/>
      <c r="O209" s="45"/>
      <c r="P209" s="45"/>
      <c r="Q209" s="45"/>
      <c r="R209" s="45"/>
      <c r="S209" s="45"/>
      <c r="T209" s="45"/>
      <c r="U209" s="45"/>
      <c r="V209" s="45"/>
      <c r="W209" s="45"/>
      <c r="X209" s="45"/>
      <c r="Y209" s="45"/>
      <c r="Z209" s="45"/>
    </row>
    <row r="210">
      <c r="A210" s="46">
        <v>209.0</v>
      </c>
      <c r="B210" s="47" t="str">
        <f>'Project Stocktaking Template'!B211</f>
        <v>REHABILITATION WORKS FOR GAWASCO WATER TREATMENT KAPID SAND FILTERS AND ASSOCIATED WORKS</v>
      </c>
      <c r="C210" s="47" t="str">
        <f>'Project Stocktaking Template'!H211</f>
        <v>GarissaTownship</v>
      </c>
      <c r="D210" s="47" t="str">
        <f>'Project Stocktaking Template'!I211</f>
        <v>Township</v>
      </c>
      <c r="E210" s="48" t="str">
        <f>'Project Stocktaking Template'!O211</f>
        <v>1st aug 2023</v>
      </c>
      <c r="F210" s="48" t="str">
        <f>'Project Stocktaking Template'!P211</f>
        <v>30th june 2024</v>
      </c>
      <c r="G210" s="48" t="str">
        <f>'Project Stocktaking Template'!Q211</f>
        <v>30th june 2024</v>
      </c>
      <c r="H210" s="49">
        <f>'Project Stocktaking Template'!R211</f>
        <v>14187880</v>
      </c>
      <c r="I210" s="50" t="str">
        <f>'Project Stocktaking Template'!AD211</f>
        <v>Completed</v>
      </c>
      <c r="J210" s="45"/>
      <c r="K210" s="45"/>
      <c r="L210" s="45"/>
      <c r="M210" s="45"/>
      <c r="N210" s="45"/>
      <c r="O210" s="45"/>
      <c r="P210" s="45"/>
      <c r="Q210" s="45"/>
      <c r="R210" s="45"/>
      <c r="S210" s="45"/>
      <c r="T210" s="45"/>
      <c r="U210" s="45"/>
      <c r="V210" s="45"/>
      <c r="W210" s="45"/>
      <c r="X210" s="45"/>
      <c r="Y210" s="45"/>
      <c r="Z210" s="45"/>
    </row>
    <row r="211">
      <c r="A211" s="51">
        <v>210.0</v>
      </c>
      <c r="B211" s="47" t="str">
        <f>'Project Stocktaking Template'!B212</f>
        <v>BOREHOLE DEVELOPMENT AND ASSOCIATED WORKS AT KONE</v>
      </c>
      <c r="C211" s="47" t="str">
        <f>'Project Stocktaking Template'!H212</f>
        <v>Balambala</v>
      </c>
      <c r="D211" s="47" t="str">
        <f>'Project Stocktaking Template'!I212</f>
        <v>Balambala</v>
      </c>
      <c r="E211" s="48" t="str">
        <f>'Project Stocktaking Template'!O212</f>
        <v>1st aug 2023</v>
      </c>
      <c r="F211" s="48" t="str">
        <f>'Project Stocktaking Template'!P212</f>
        <v>30th june 2024</v>
      </c>
      <c r="G211" s="48" t="str">
        <f>'Project Stocktaking Template'!Q212</f>
        <v>30th june 2024</v>
      </c>
      <c r="H211" s="49">
        <f>'Project Stocktaking Template'!R212</f>
        <v>17100000</v>
      </c>
      <c r="I211" s="50" t="str">
        <f>'Project Stocktaking Template'!AD212</f>
        <v>Completed</v>
      </c>
      <c r="J211" s="45"/>
      <c r="K211" s="45"/>
      <c r="L211" s="45"/>
      <c r="M211" s="45"/>
      <c r="N211" s="45"/>
      <c r="O211" s="45"/>
      <c r="P211" s="45"/>
      <c r="Q211" s="45"/>
      <c r="R211" s="45"/>
      <c r="S211" s="45"/>
      <c r="T211" s="45"/>
      <c r="U211" s="45"/>
      <c r="V211" s="45"/>
      <c r="W211" s="45"/>
      <c r="X211" s="45"/>
      <c r="Y211" s="45"/>
      <c r="Z211" s="45"/>
    </row>
    <row r="212">
      <c r="A212" s="46">
        <v>211.0</v>
      </c>
      <c r="B212" s="47" t="str">
        <f>'Project Stocktaking Template'!B213</f>
        <v>UPGRADING OF BULLA HAGAR-BULLA MADINA ACCESS ROAD TO BITUMEN STANDARD</v>
      </c>
      <c r="C212" s="47" t="str">
        <f>'Project Stocktaking Template'!H213</f>
        <v>GarissaTownship</v>
      </c>
      <c r="D212" s="47" t="str">
        <f>'Project Stocktaking Template'!I213</f>
        <v>Township</v>
      </c>
      <c r="E212" s="48" t="str">
        <f>'Project Stocktaking Template'!O213</f>
        <v>1st aug 2023</v>
      </c>
      <c r="F212" s="48" t="str">
        <f>'Project Stocktaking Template'!P213</f>
        <v>30th june 2024</v>
      </c>
      <c r="G212" s="48" t="str">
        <f>'Project Stocktaking Template'!Q213</f>
        <v>30th june 2024</v>
      </c>
      <c r="H212" s="49">
        <f>'Project Stocktaking Template'!R213</f>
        <v>21250000</v>
      </c>
      <c r="I212" s="50" t="str">
        <f>'Project Stocktaking Template'!AD213</f>
        <v>Completed</v>
      </c>
      <c r="J212" s="45"/>
      <c r="K212" s="45"/>
      <c r="L212" s="45"/>
      <c r="M212" s="45"/>
      <c r="N212" s="45"/>
      <c r="O212" s="45"/>
      <c r="P212" s="45"/>
      <c r="Q212" s="45"/>
      <c r="R212" s="45"/>
      <c r="S212" s="45"/>
      <c r="T212" s="45"/>
      <c r="U212" s="45"/>
      <c r="V212" s="45"/>
      <c r="W212" s="45"/>
      <c r="X212" s="45"/>
      <c r="Y212" s="45"/>
      <c r="Z212" s="45"/>
    </row>
    <row r="213">
      <c r="A213" s="51">
        <v>212.0</v>
      </c>
      <c r="B213" s="47" t="str">
        <f>'Project Stocktaking Template'!B214</f>
        <v>PROPOSED RENOVATION TO GOVERNMENT HOUSE MG104, LG 75</v>
      </c>
      <c r="C213" s="47" t="str">
        <f>'Project Stocktaking Template'!H214</f>
        <v>GarissaTownship</v>
      </c>
      <c r="D213" s="47" t="str">
        <f>'Project Stocktaking Template'!I214</f>
        <v>Township</v>
      </c>
      <c r="E213" s="48" t="str">
        <f>'Project Stocktaking Template'!O214</f>
        <v>1st aug 2023</v>
      </c>
      <c r="F213" s="48" t="str">
        <f>'Project Stocktaking Template'!P214</f>
        <v>30th june 2024</v>
      </c>
      <c r="G213" s="48" t="str">
        <f>'Project Stocktaking Template'!Q214</f>
        <v>30th june 2024</v>
      </c>
      <c r="H213" s="49">
        <f>'Project Stocktaking Template'!R214</f>
        <v>1200000</v>
      </c>
      <c r="I213" s="50" t="str">
        <f>'Project Stocktaking Template'!AD214</f>
        <v>Completed</v>
      </c>
      <c r="J213" s="45"/>
      <c r="K213" s="45"/>
      <c r="L213" s="45"/>
      <c r="M213" s="45"/>
      <c r="N213" s="45"/>
      <c r="O213" s="45"/>
      <c r="P213" s="45"/>
      <c r="Q213" s="45"/>
      <c r="R213" s="45"/>
      <c r="S213" s="45"/>
      <c r="T213" s="45"/>
      <c r="U213" s="45"/>
      <c r="V213" s="45"/>
      <c r="W213" s="45"/>
      <c r="X213" s="45"/>
      <c r="Y213" s="45"/>
      <c r="Z213" s="45"/>
    </row>
    <row r="214">
      <c r="A214" s="46">
        <v>213.0</v>
      </c>
      <c r="B214" s="47" t="str">
        <f>'Project Stocktaking Template'!B215</f>
        <v>CHAINLINK FENCE AT GARSE PRIMARY</v>
      </c>
      <c r="C214" s="47" t="str">
        <f>'Project Stocktaking Template'!H215</f>
        <v>GarissaTownship</v>
      </c>
      <c r="D214" s="47" t="str">
        <f>'Project Stocktaking Template'!I215</f>
        <v>Township</v>
      </c>
      <c r="E214" s="48" t="str">
        <f>'Project Stocktaking Template'!O215</f>
        <v>1st aug 2023</v>
      </c>
      <c r="F214" s="48" t="str">
        <f>'Project Stocktaking Template'!P215</f>
        <v>30th june 2024</v>
      </c>
      <c r="G214" s="48" t="str">
        <f>'Project Stocktaking Template'!Q215</f>
        <v>30th june 2024</v>
      </c>
      <c r="H214" s="49">
        <f>'Project Stocktaking Template'!R215</f>
        <v>1400000</v>
      </c>
      <c r="I214" s="50" t="str">
        <f>'Project Stocktaking Template'!AD215</f>
        <v>Completed</v>
      </c>
      <c r="J214" s="45"/>
      <c r="K214" s="45"/>
      <c r="L214" s="45"/>
      <c r="M214" s="45"/>
      <c r="N214" s="45"/>
      <c r="O214" s="45"/>
      <c r="P214" s="45"/>
      <c r="Q214" s="45"/>
      <c r="R214" s="45"/>
      <c r="S214" s="45"/>
      <c r="T214" s="45"/>
      <c r="U214" s="45"/>
      <c r="V214" s="45"/>
      <c r="W214" s="45"/>
      <c r="X214" s="45"/>
      <c r="Y214" s="45"/>
      <c r="Z214" s="45"/>
    </row>
    <row r="215">
      <c r="A215" s="51">
        <v>214.0</v>
      </c>
      <c r="B215" s="47" t="str">
        <f>'Project Stocktaking Template'!B216</f>
        <v>PERIODIC MAINTENANCE OF JAMHURI FARM ACCESS ROAD</v>
      </c>
      <c r="C215" s="47" t="str">
        <f>'Project Stocktaking Template'!H216</f>
        <v>GarissaTownship</v>
      </c>
      <c r="D215" s="47" t="str">
        <f>'Project Stocktaking Template'!I216</f>
        <v>Galbet</v>
      </c>
      <c r="E215" s="48" t="str">
        <f>'Project Stocktaking Template'!O216</f>
        <v>1st aug 2023</v>
      </c>
      <c r="F215" s="48" t="str">
        <f>'Project Stocktaking Template'!P216</f>
        <v>30th june 2024</v>
      </c>
      <c r="G215" s="48" t="str">
        <f>'Project Stocktaking Template'!Q216</f>
        <v>30th june 2024</v>
      </c>
      <c r="H215" s="49">
        <f>'Project Stocktaking Template'!R216</f>
        <v>1434116</v>
      </c>
      <c r="I215" s="50" t="str">
        <f>'Project Stocktaking Template'!AD216</f>
        <v>Completed</v>
      </c>
      <c r="J215" s="45"/>
      <c r="K215" s="45"/>
      <c r="L215" s="45"/>
      <c r="M215" s="45"/>
      <c r="N215" s="45"/>
      <c r="O215" s="45"/>
      <c r="P215" s="45"/>
      <c r="Q215" s="45"/>
      <c r="R215" s="45"/>
      <c r="S215" s="45"/>
      <c r="T215" s="45"/>
      <c r="U215" s="45"/>
      <c r="V215" s="45"/>
      <c r="W215" s="45"/>
      <c r="X215" s="45"/>
      <c r="Y215" s="45"/>
      <c r="Z215" s="45"/>
    </row>
    <row r="216">
      <c r="A216" s="46">
        <v>215.0</v>
      </c>
      <c r="B216" s="47" t="str">
        <f>'Project Stocktaking Template'!B217</f>
        <v>DRILLING OF SHALLOW WEL BOREHOLE AT KUNO BALAMBALA SUBCOUNTY</v>
      </c>
      <c r="C216" s="47" t="str">
        <f>'Project Stocktaking Template'!H217</f>
        <v>Balambala</v>
      </c>
      <c r="D216" s="47" t="str">
        <f>'Project Stocktaking Template'!I217</f>
        <v>Balambala</v>
      </c>
      <c r="E216" s="48" t="str">
        <f>'Project Stocktaking Template'!O217</f>
        <v>1st aug 2023</v>
      </c>
      <c r="F216" s="48" t="str">
        <f>'Project Stocktaking Template'!P217</f>
        <v>30th june 2024</v>
      </c>
      <c r="G216" s="48" t="str">
        <f>'Project Stocktaking Template'!Q217</f>
        <v>30th june 2024</v>
      </c>
      <c r="H216" s="49">
        <f>'Project Stocktaking Template'!R217</f>
        <v>1000000</v>
      </c>
      <c r="I216" s="50" t="str">
        <f>'Project Stocktaking Template'!AD217</f>
        <v>Completed</v>
      </c>
      <c r="J216" s="45"/>
      <c r="K216" s="45"/>
      <c r="L216" s="45"/>
      <c r="M216" s="45"/>
      <c r="N216" s="45"/>
      <c r="O216" s="45"/>
      <c r="P216" s="45"/>
      <c r="Q216" s="45"/>
      <c r="R216" s="45"/>
      <c r="S216" s="45"/>
      <c r="T216" s="45"/>
      <c r="U216" s="45"/>
      <c r="V216" s="45"/>
      <c r="W216" s="45"/>
      <c r="X216" s="45"/>
      <c r="Y216" s="45"/>
      <c r="Z216" s="45"/>
    </row>
    <row r="217">
      <c r="A217" s="51">
        <v>216.0</v>
      </c>
      <c r="B217" s="47" t="str">
        <f>'Project Stocktaking Template'!B218</f>
        <v>BOREHOLE DEVELOPMENT AND ASSOCIATED WORKS AT AQAL ARR</v>
      </c>
      <c r="C217" s="47" t="str">
        <f>'Project Stocktaking Template'!H218</f>
        <v>Dadaab</v>
      </c>
      <c r="D217" s="47" t="str">
        <f>'Project Stocktaking Template'!I218</f>
        <v>Dadaab</v>
      </c>
      <c r="E217" s="48" t="str">
        <f>'Project Stocktaking Template'!O218</f>
        <v>1st aug 2023</v>
      </c>
      <c r="F217" s="48" t="str">
        <f>'Project Stocktaking Template'!P218</f>
        <v>30th june 2024</v>
      </c>
      <c r="G217" s="48" t="str">
        <f>'Project Stocktaking Template'!Q218</f>
        <v>30th june 2024</v>
      </c>
      <c r="H217" s="49">
        <f>'Project Stocktaking Template'!R218</f>
        <v>4002010</v>
      </c>
      <c r="I217" s="50" t="str">
        <f>'Project Stocktaking Template'!AD218</f>
        <v>Completed</v>
      </c>
      <c r="J217" s="45"/>
      <c r="K217" s="45"/>
      <c r="L217" s="45"/>
      <c r="M217" s="45"/>
      <c r="N217" s="45"/>
      <c r="O217" s="45"/>
      <c r="P217" s="45"/>
      <c r="Q217" s="45"/>
      <c r="R217" s="45"/>
      <c r="S217" s="45"/>
      <c r="T217" s="45"/>
      <c r="U217" s="45"/>
      <c r="V217" s="45"/>
      <c r="W217" s="45"/>
      <c r="X217" s="45"/>
      <c r="Y217" s="45"/>
      <c r="Z217" s="45"/>
    </row>
    <row r="218">
      <c r="A218" s="46">
        <v>217.0</v>
      </c>
      <c r="B218" s="47" t="str">
        <f>'Project Stocktaking Template'!B219</f>
        <v>EQUIPING &amp; EXTENSION OF BARAKI AND MAALIMIN PIPELINE LAGDERA SUBCOUNTY</v>
      </c>
      <c r="C218" s="47" t="str">
        <f>'Project Stocktaking Template'!H219</f>
        <v>Lagdera</v>
      </c>
      <c r="D218" s="47" t="str">
        <f>'Project Stocktaking Template'!I219</f>
        <v>Maalimin</v>
      </c>
      <c r="E218" s="48" t="str">
        <f>'Project Stocktaking Template'!O219</f>
        <v>1st aug 2023</v>
      </c>
      <c r="F218" s="48" t="str">
        <f>'Project Stocktaking Template'!P219</f>
        <v>30th june 2024</v>
      </c>
      <c r="G218" s="48" t="str">
        <f>'Project Stocktaking Template'!Q219</f>
        <v>30th june 2024</v>
      </c>
      <c r="H218" s="49">
        <f>'Project Stocktaking Template'!R219</f>
        <v>5000000</v>
      </c>
      <c r="I218" s="50" t="str">
        <f>'Project Stocktaking Template'!AD219</f>
        <v>Completed</v>
      </c>
      <c r="J218" s="45"/>
      <c r="K218" s="45"/>
      <c r="L218" s="45"/>
      <c r="M218" s="45"/>
      <c r="N218" s="45"/>
      <c r="O218" s="45"/>
      <c r="P218" s="45"/>
      <c r="Q218" s="45"/>
      <c r="R218" s="45"/>
      <c r="S218" s="45"/>
      <c r="T218" s="45"/>
      <c r="U218" s="45"/>
      <c r="V218" s="45"/>
      <c r="W218" s="45"/>
      <c r="X218" s="45"/>
      <c r="Y218" s="45"/>
      <c r="Z218" s="45"/>
    </row>
    <row r="219">
      <c r="A219" s="51">
        <v>218.0</v>
      </c>
      <c r="B219" s="47" t="str">
        <f>'Project Stocktaking Template'!B220</f>
        <v>CHAINLINK FENCE</v>
      </c>
      <c r="C219" s="47" t="str">
        <f>'Project Stocktaking Template'!H220</f>
        <v>GarissaTownship</v>
      </c>
      <c r="D219" s="47" t="str">
        <f>'Project Stocktaking Template'!I220</f>
        <v>Township</v>
      </c>
      <c r="E219" s="48" t="str">
        <f>'Project Stocktaking Template'!O220</f>
        <v>1st aug 2023</v>
      </c>
      <c r="F219" s="48" t="str">
        <f>'Project Stocktaking Template'!P220</f>
        <v>30th june 2024</v>
      </c>
      <c r="G219" s="48" t="str">
        <f>'Project Stocktaking Template'!Q220</f>
        <v>30th june 2024</v>
      </c>
      <c r="H219" s="49">
        <f>'Project Stocktaking Template'!R220</f>
        <v>10110940</v>
      </c>
      <c r="I219" s="50" t="str">
        <f>'Project Stocktaking Template'!AD220</f>
        <v>Completed</v>
      </c>
      <c r="J219" s="45"/>
      <c r="K219" s="45"/>
      <c r="L219" s="45"/>
      <c r="M219" s="45"/>
      <c r="N219" s="45"/>
      <c r="O219" s="45"/>
      <c r="P219" s="45"/>
      <c r="Q219" s="45"/>
      <c r="R219" s="45"/>
      <c r="S219" s="45"/>
      <c r="T219" s="45"/>
      <c r="U219" s="45"/>
      <c r="V219" s="45"/>
      <c r="W219" s="45"/>
      <c r="X219" s="45"/>
      <c r="Y219" s="45"/>
      <c r="Z219" s="45"/>
    </row>
    <row r="220">
      <c r="A220" s="46">
        <v>219.0</v>
      </c>
      <c r="B220" s="47" t="str">
        <f>'Project Stocktaking Template'!B221</f>
        <v>CONSTRUCTION OF BOREHOLE </v>
      </c>
      <c r="C220" s="47" t="str">
        <f>'Project Stocktaking Template'!H221</f>
        <v>GarissaTownship</v>
      </c>
      <c r="D220" s="47" t="str">
        <f>'Project Stocktaking Template'!I221</f>
        <v>Township</v>
      </c>
      <c r="E220" s="48" t="str">
        <f>'Project Stocktaking Template'!O221</f>
        <v>1st aug 2023</v>
      </c>
      <c r="F220" s="48" t="str">
        <f>'Project Stocktaking Template'!P221</f>
        <v>30th june 2024</v>
      </c>
      <c r="G220" s="48" t="str">
        <f>'Project Stocktaking Template'!Q221</f>
        <v>30th june 2024</v>
      </c>
      <c r="H220" s="49">
        <f>'Project Stocktaking Template'!R221</f>
        <v>500000</v>
      </c>
      <c r="I220" s="50" t="str">
        <f>'Project Stocktaking Template'!AD221</f>
        <v>Completed</v>
      </c>
      <c r="J220" s="45"/>
      <c r="K220" s="45"/>
      <c r="L220" s="45"/>
      <c r="M220" s="45"/>
      <c r="N220" s="45"/>
      <c r="O220" s="45"/>
      <c r="P220" s="45"/>
      <c r="Q220" s="45"/>
      <c r="R220" s="45"/>
      <c r="S220" s="45"/>
      <c r="T220" s="45"/>
      <c r="U220" s="45"/>
      <c r="V220" s="45"/>
      <c r="W220" s="45"/>
      <c r="X220" s="45"/>
      <c r="Y220" s="45"/>
      <c r="Z220" s="45"/>
    </row>
    <row r="221">
      <c r="A221" s="51">
        <v>220.0</v>
      </c>
      <c r="B221" s="47" t="str">
        <f>'Project Stocktaking Template'!B222</f>
        <v>CONSTRUCTION OF WARD ADMIN</v>
      </c>
      <c r="C221" s="47" t="str">
        <f>'Project Stocktaking Template'!H222</f>
        <v>GarissaTownship</v>
      </c>
      <c r="D221" s="47" t="str">
        <f>'Project Stocktaking Template'!I222</f>
        <v>Township</v>
      </c>
      <c r="E221" s="48" t="str">
        <f>'Project Stocktaking Template'!O222</f>
        <v>1st aug 2023</v>
      </c>
      <c r="F221" s="48" t="str">
        <f>'Project Stocktaking Template'!P222</f>
        <v>30th june 2024</v>
      </c>
      <c r="G221" s="48" t="str">
        <f>'Project Stocktaking Template'!Q222</f>
        <v>30th june 2024</v>
      </c>
      <c r="H221" s="49">
        <f>'Project Stocktaking Template'!R222</f>
        <v>3135000</v>
      </c>
      <c r="I221" s="50" t="str">
        <f>'Project Stocktaking Template'!AD222</f>
        <v>Completed</v>
      </c>
      <c r="J221" s="45"/>
      <c r="K221" s="45"/>
      <c r="L221" s="45"/>
      <c r="M221" s="45"/>
      <c r="N221" s="45"/>
      <c r="O221" s="45"/>
      <c r="P221" s="45"/>
      <c r="Q221" s="45"/>
      <c r="R221" s="45"/>
      <c r="S221" s="45"/>
      <c r="T221" s="45"/>
      <c r="U221" s="45"/>
      <c r="V221" s="45"/>
      <c r="W221" s="45"/>
      <c r="X221" s="45"/>
      <c r="Y221" s="45"/>
      <c r="Z221" s="45"/>
    </row>
    <row r="222">
      <c r="A222" s="46">
        <v>221.0</v>
      </c>
      <c r="B222" s="47" t="str">
        <f>'Project Stocktaking Template'!B223</f>
        <v>CONSTRUCTION OF CHAINLINK FENCING LIGHT BUSH CLEARING,SENTRY BOX AT HAME PRIMARY SCHOOL HULUGHO</v>
      </c>
      <c r="C222" s="47" t="str">
        <f>'Project Stocktaking Template'!H223</f>
        <v>Ijara</v>
      </c>
      <c r="D222" s="47" t="str">
        <f>'Project Stocktaking Template'!I223</f>
        <v>Township</v>
      </c>
      <c r="E222" s="48" t="str">
        <f>'Project Stocktaking Template'!O223</f>
        <v>1st aug 2023</v>
      </c>
      <c r="F222" s="48" t="str">
        <f>'Project Stocktaking Template'!P223</f>
        <v>30th june 2024</v>
      </c>
      <c r="G222" s="48" t="str">
        <f>'Project Stocktaking Template'!Q223</f>
        <v>30th june 2024</v>
      </c>
      <c r="H222" s="49">
        <f>'Project Stocktaking Template'!R223</f>
        <v>4374940</v>
      </c>
      <c r="I222" s="50" t="str">
        <f>'Project Stocktaking Template'!AD223</f>
        <v>Completed</v>
      </c>
      <c r="J222" s="45"/>
      <c r="K222" s="45"/>
      <c r="L222" s="45"/>
      <c r="M222" s="45"/>
      <c r="N222" s="45"/>
      <c r="O222" s="45"/>
      <c r="P222" s="45"/>
      <c r="Q222" s="45"/>
      <c r="R222" s="45"/>
      <c r="S222" s="45"/>
      <c r="T222" s="45"/>
      <c r="U222" s="45"/>
      <c r="V222" s="45"/>
      <c r="W222" s="45"/>
      <c r="X222" s="45"/>
      <c r="Y222" s="45"/>
      <c r="Z222" s="45"/>
    </row>
    <row r="223">
      <c r="A223" s="51">
        <v>222.0</v>
      </c>
      <c r="B223" s="47" t="str">
        <f>'Project Stocktaking Template'!B224</f>
        <v>CONSTRUCTION OF WARD ADMIN</v>
      </c>
      <c r="C223" s="47" t="str">
        <f>'Project Stocktaking Template'!H224</f>
        <v>GarissaTownship</v>
      </c>
      <c r="D223" s="47" t="str">
        <f>'Project Stocktaking Template'!I224</f>
        <v>Township</v>
      </c>
      <c r="E223" s="48" t="str">
        <f>'Project Stocktaking Template'!O224</f>
        <v>1st aug 2023</v>
      </c>
      <c r="F223" s="48" t="str">
        <f>'Project Stocktaking Template'!P224</f>
        <v>30th june 2024</v>
      </c>
      <c r="G223" s="48" t="str">
        <f>'Project Stocktaking Template'!Q224</f>
        <v>30th june 2024</v>
      </c>
      <c r="H223" s="49">
        <f>'Project Stocktaking Template'!R224</f>
        <v>4560000</v>
      </c>
      <c r="I223" s="50" t="str">
        <f>'Project Stocktaking Template'!AD224</f>
        <v>Completed</v>
      </c>
      <c r="J223" s="45"/>
      <c r="K223" s="45"/>
      <c r="L223" s="45"/>
      <c r="M223" s="45"/>
      <c r="N223" s="45"/>
      <c r="O223" s="45"/>
      <c r="P223" s="45"/>
      <c r="Q223" s="45"/>
      <c r="R223" s="45"/>
      <c r="S223" s="45"/>
      <c r="T223" s="45"/>
      <c r="U223" s="45"/>
      <c r="V223" s="45"/>
      <c r="W223" s="45"/>
      <c r="X223" s="45"/>
      <c r="Y223" s="45"/>
      <c r="Z223" s="45"/>
    </row>
    <row r="224">
      <c r="A224" s="46">
        <v>223.0</v>
      </c>
      <c r="B224" s="47" t="str">
        <f>'Project Stocktaking Template'!B225</f>
        <v>CONSTRUCTION OF WARD ADMIN</v>
      </c>
      <c r="C224" s="47" t="str">
        <f>'Project Stocktaking Template'!H225</f>
        <v>GarissaTownship</v>
      </c>
      <c r="D224" s="47" t="str">
        <f>'Project Stocktaking Template'!I225</f>
        <v>Township</v>
      </c>
      <c r="E224" s="48" t="str">
        <f>'Project Stocktaking Template'!O225</f>
        <v>1st aug 2023</v>
      </c>
      <c r="F224" s="48" t="str">
        <f>'Project Stocktaking Template'!P225</f>
        <v>30th june 2024</v>
      </c>
      <c r="G224" s="48" t="str">
        <f>'Project Stocktaking Template'!Q225</f>
        <v>30th june 2024</v>
      </c>
      <c r="H224" s="49">
        <f>'Project Stocktaking Template'!R225</f>
        <v>4560000</v>
      </c>
      <c r="I224" s="50" t="str">
        <f>'Project Stocktaking Template'!AD225</f>
        <v>Completed</v>
      </c>
      <c r="J224" s="45"/>
      <c r="K224" s="45"/>
      <c r="L224" s="45"/>
      <c r="M224" s="45"/>
      <c r="N224" s="45"/>
      <c r="O224" s="45"/>
      <c r="P224" s="45"/>
      <c r="Q224" s="45"/>
      <c r="R224" s="45"/>
      <c r="S224" s="45"/>
      <c r="T224" s="45"/>
      <c r="U224" s="45"/>
      <c r="V224" s="45"/>
      <c r="W224" s="45"/>
      <c r="X224" s="45"/>
      <c r="Y224" s="45"/>
      <c r="Z224" s="45"/>
    </row>
    <row r="225">
      <c r="A225" s="51">
        <v>224.0</v>
      </c>
      <c r="B225" s="47" t="str">
        <f>'Project Stocktaking Template'!B226</f>
        <v>CONSTRUCTION OF UNDERDGROUND TANK</v>
      </c>
      <c r="C225" s="47" t="str">
        <f>'Project Stocktaking Template'!H226</f>
        <v>GarissaTownship</v>
      </c>
      <c r="D225" s="47" t="str">
        <f>'Project Stocktaking Template'!I226</f>
        <v>Township</v>
      </c>
      <c r="E225" s="48" t="str">
        <f>'Project Stocktaking Template'!O226</f>
        <v>1st aug 2023</v>
      </c>
      <c r="F225" s="48" t="str">
        <f>'Project Stocktaking Template'!P226</f>
        <v>30th june 2024</v>
      </c>
      <c r="G225" s="48" t="str">
        <f>'Project Stocktaking Template'!Q226</f>
        <v>30th june 2024</v>
      </c>
      <c r="H225" s="49">
        <f>'Project Stocktaking Template'!R226</f>
        <v>5510000</v>
      </c>
      <c r="I225" s="50" t="str">
        <f>'Project Stocktaking Template'!AD226</f>
        <v>Completed</v>
      </c>
      <c r="J225" s="45"/>
      <c r="K225" s="45"/>
      <c r="L225" s="45"/>
      <c r="M225" s="45"/>
      <c r="N225" s="45"/>
      <c r="O225" s="45"/>
      <c r="P225" s="45"/>
      <c r="Q225" s="45"/>
      <c r="R225" s="45"/>
      <c r="S225" s="45"/>
      <c r="T225" s="45"/>
      <c r="U225" s="45"/>
      <c r="V225" s="45"/>
      <c r="W225" s="45"/>
      <c r="X225" s="45"/>
      <c r="Y225" s="45"/>
      <c r="Z225" s="45"/>
    </row>
    <row r="226">
      <c r="A226" s="46">
        <v>225.0</v>
      </c>
      <c r="B226" s="47" t="str">
        <f>'Project Stocktaking Template'!B227</f>
        <v>CONSTRUCTION OF ROAD AT SUQ MUQDI MARKET</v>
      </c>
      <c r="C226" s="47" t="str">
        <f>'Project Stocktaking Template'!H227</f>
        <v>GarissaTownship</v>
      </c>
      <c r="D226" s="47" t="str">
        <f>'Project Stocktaking Template'!I227</f>
        <v>Township</v>
      </c>
      <c r="E226" s="48" t="str">
        <f>'Project Stocktaking Template'!O227</f>
        <v>1st aug 2023</v>
      </c>
      <c r="F226" s="48" t="str">
        <f>'Project Stocktaking Template'!P227</f>
        <v>30th june 2024</v>
      </c>
      <c r="G226" s="48" t="str">
        <f>'Project Stocktaking Template'!Q227</f>
        <v>30th june 2024</v>
      </c>
      <c r="H226" s="49">
        <f>'Project Stocktaking Template'!R227</f>
        <v>3000000</v>
      </c>
      <c r="I226" s="50" t="str">
        <f>'Project Stocktaking Template'!AD227</f>
        <v>Completed</v>
      </c>
      <c r="J226" s="45"/>
      <c r="K226" s="45"/>
      <c r="L226" s="45"/>
      <c r="M226" s="45"/>
      <c r="N226" s="45"/>
      <c r="O226" s="45"/>
      <c r="P226" s="45"/>
      <c r="Q226" s="45"/>
      <c r="R226" s="45"/>
      <c r="S226" s="45"/>
      <c r="T226" s="45"/>
      <c r="U226" s="45"/>
      <c r="V226" s="45"/>
      <c r="W226" s="45"/>
      <c r="X226" s="45"/>
      <c r="Y226" s="45"/>
      <c r="Z226" s="45"/>
    </row>
    <row r="227">
      <c r="A227" s="51">
        <v>226.0</v>
      </c>
      <c r="B227" s="47" t="str">
        <f>'Project Stocktaking Template'!B228</f>
        <v>RENOVATION OF DADAAD SUB COUNTY HOSPITAL</v>
      </c>
      <c r="C227" s="47" t="str">
        <f>'Project Stocktaking Template'!H228</f>
        <v>Dadaab</v>
      </c>
      <c r="D227" s="47" t="str">
        <f>'Project Stocktaking Template'!I228</f>
        <v>Dadaab</v>
      </c>
      <c r="E227" s="48" t="str">
        <f>'Project Stocktaking Template'!O228</f>
        <v>1st aug 2023</v>
      </c>
      <c r="F227" s="48" t="str">
        <f>'Project Stocktaking Template'!P228</f>
        <v>30th june 2024</v>
      </c>
      <c r="G227" s="48" t="str">
        <f>'Project Stocktaking Template'!Q228</f>
        <v>30th june 2024</v>
      </c>
      <c r="H227" s="49">
        <f>'Project Stocktaking Template'!R228</f>
        <v>2375000</v>
      </c>
      <c r="I227" s="50" t="str">
        <f>'Project Stocktaking Template'!AD228</f>
        <v>Completed</v>
      </c>
      <c r="J227" s="45"/>
      <c r="K227" s="45"/>
      <c r="L227" s="45"/>
      <c r="M227" s="45"/>
      <c r="N227" s="45"/>
      <c r="O227" s="45"/>
      <c r="P227" s="45"/>
      <c r="Q227" s="45"/>
      <c r="R227" s="45"/>
      <c r="S227" s="45"/>
      <c r="T227" s="45"/>
      <c r="U227" s="45"/>
      <c r="V227" s="45"/>
      <c r="W227" s="45"/>
      <c r="X227" s="45"/>
      <c r="Y227" s="45"/>
      <c r="Z227" s="45"/>
    </row>
    <row r="228">
      <c r="A228" s="46">
        <v>227.0</v>
      </c>
      <c r="B228" s="47" t="str">
        <f>'Project Stocktaking Template'!B229</f>
        <v>RENOVATION OF DIRECTORS OFFICE</v>
      </c>
      <c r="C228" s="47" t="str">
        <f>'Project Stocktaking Template'!H229</f>
        <v>GarissaTownship</v>
      </c>
      <c r="D228" s="47" t="str">
        <f>'Project Stocktaking Template'!I229</f>
        <v>Township</v>
      </c>
      <c r="E228" s="48" t="str">
        <f>'Project Stocktaking Template'!O229</f>
        <v>1st aug 2023</v>
      </c>
      <c r="F228" s="48" t="str">
        <f>'Project Stocktaking Template'!P229</f>
        <v>30th june 2024</v>
      </c>
      <c r="G228" s="48" t="str">
        <f>'Project Stocktaking Template'!Q229</f>
        <v>30th june 2024</v>
      </c>
      <c r="H228" s="49">
        <f>'Project Stocktaking Template'!R229</f>
        <v>2386964</v>
      </c>
      <c r="I228" s="50" t="str">
        <f>'Project Stocktaking Template'!AD229</f>
        <v>Completed</v>
      </c>
      <c r="J228" s="45"/>
      <c r="K228" s="45"/>
      <c r="L228" s="45"/>
      <c r="M228" s="45"/>
      <c r="N228" s="45"/>
      <c r="O228" s="45"/>
      <c r="P228" s="45"/>
      <c r="Q228" s="45"/>
      <c r="R228" s="45"/>
      <c r="S228" s="45"/>
      <c r="T228" s="45"/>
      <c r="U228" s="45"/>
      <c r="V228" s="45"/>
      <c r="W228" s="45"/>
      <c r="X228" s="45"/>
      <c r="Y228" s="45"/>
      <c r="Z228" s="45"/>
    </row>
    <row r="229">
      <c r="A229" s="51">
        <v>228.0</v>
      </c>
      <c r="B229" s="47" t="str">
        <f>'Project Stocktaking Template'!B230</f>
        <v>RENNOVATION AT HULUGHO DISPENSARY</v>
      </c>
      <c r="C229" s="47" t="str">
        <f>'Project Stocktaking Template'!H230</f>
        <v>Ijara</v>
      </c>
      <c r="D229" s="47" t="str">
        <f>'Project Stocktaking Template'!I230</f>
        <v>Township</v>
      </c>
      <c r="E229" s="48" t="str">
        <f>'Project Stocktaking Template'!O230</f>
        <v>1st aug 2023</v>
      </c>
      <c r="F229" s="48" t="str">
        <f>'Project Stocktaking Template'!P230</f>
        <v>30th june 2024</v>
      </c>
      <c r="G229" s="48" t="str">
        <f>'Project Stocktaking Template'!Q230</f>
        <v>30th june 2024</v>
      </c>
      <c r="H229" s="49">
        <f>'Project Stocktaking Template'!R230</f>
        <v>3135000</v>
      </c>
      <c r="I229" s="50" t="str">
        <f>'Project Stocktaking Template'!AD230</f>
        <v>Completed</v>
      </c>
      <c r="J229" s="45"/>
      <c r="K229" s="45"/>
      <c r="L229" s="45"/>
      <c r="M229" s="45"/>
      <c r="N229" s="45"/>
      <c r="O229" s="45"/>
      <c r="P229" s="45"/>
      <c r="Q229" s="45"/>
      <c r="R229" s="45"/>
      <c r="S229" s="45"/>
      <c r="T229" s="45"/>
      <c r="U229" s="45"/>
      <c r="V229" s="45"/>
      <c r="W229" s="45"/>
      <c r="X229" s="45"/>
      <c r="Y229" s="45"/>
      <c r="Z229" s="45"/>
    </row>
    <row r="230">
      <c r="A230" s="46">
        <v>229.0</v>
      </c>
      <c r="B230" s="47" t="str">
        <f>'Project Stocktaking Template'!B231</f>
        <v>CONSTRUCTION OF WARD </v>
      </c>
      <c r="C230" s="47" t="str">
        <f>'Project Stocktaking Template'!H231</f>
        <v>GarissaTownship</v>
      </c>
      <c r="D230" s="47" t="str">
        <f>'Project Stocktaking Template'!I231</f>
        <v>Township</v>
      </c>
      <c r="E230" s="48" t="str">
        <f>'Project Stocktaking Template'!O231</f>
        <v>1st aug 2023</v>
      </c>
      <c r="F230" s="48" t="str">
        <f>'Project Stocktaking Template'!P231</f>
        <v>30th june 2024</v>
      </c>
      <c r="G230" s="48" t="str">
        <f>'Project Stocktaking Template'!Q231</f>
        <v>30th june 2024</v>
      </c>
      <c r="H230" s="49">
        <f>'Project Stocktaking Template'!R231</f>
        <v>3325000</v>
      </c>
      <c r="I230" s="50" t="str">
        <f>'Project Stocktaking Template'!AD231</f>
        <v>Completed</v>
      </c>
      <c r="J230" s="45"/>
      <c r="K230" s="45"/>
      <c r="L230" s="45"/>
      <c r="M230" s="45"/>
      <c r="N230" s="45"/>
      <c r="O230" s="45"/>
      <c r="P230" s="45"/>
      <c r="Q230" s="45"/>
      <c r="R230" s="45"/>
      <c r="S230" s="45"/>
      <c r="T230" s="45"/>
      <c r="U230" s="45"/>
      <c r="V230" s="45"/>
      <c r="W230" s="45"/>
      <c r="X230" s="45"/>
      <c r="Y230" s="45"/>
      <c r="Z230" s="45"/>
    </row>
    <row r="231">
      <c r="A231" s="51">
        <v>230.0</v>
      </c>
      <c r="B231" s="47" t="str">
        <f>'Project Stocktaking Template'!B232</f>
        <v>RENOVATION OF FIRE STATIONS</v>
      </c>
      <c r="C231" s="47" t="str">
        <f>'Project Stocktaking Template'!H232</f>
        <v>GarissaTownship</v>
      </c>
      <c r="D231" s="47" t="str">
        <f>'Project Stocktaking Template'!I232</f>
        <v>Township</v>
      </c>
      <c r="E231" s="48" t="str">
        <f>'Project Stocktaking Template'!O232</f>
        <v>1st aug 2023</v>
      </c>
      <c r="F231" s="48" t="str">
        <f>'Project Stocktaking Template'!P232</f>
        <v>30th june 2024</v>
      </c>
      <c r="G231" s="48" t="str">
        <f>'Project Stocktaking Template'!Q232</f>
        <v>30th june 2024</v>
      </c>
      <c r="H231" s="49">
        <f>'Project Stocktaking Template'!R232</f>
        <v>4800000</v>
      </c>
      <c r="I231" s="50" t="str">
        <f>'Project Stocktaking Template'!AD232</f>
        <v>Completed</v>
      </c>
      <c r="J231" s="45"/>
      <c r="K231" s="45"/>
      <c r="L231" s="45"/>
      <c r="M231" s="45"/>
      <c r="N231" s="45"/>
      <c r="O231" s="45"/>
      <c r="P231" s="45"/>
      <c r="Q231" s="45"/>
      <c r="R231" s="45"/>
      <c r="S231" s="45"/>
      <c r="T231" s="45"/>
      <c r="U231" s="45"/>
      <c r="V231" s="45"/>
      <c r="W231" s="45"/>
      <c r="X231" s="45"/>
      <c r="Y231" s="45"/>
      <c r="Z231" s="45"/>
    </row>
    <row r="232">
      <c r="A232" s="46">
        <v>231.0</v>
      </c>
      <c r="B232" s="47" t="str">
        <f>'Project Stocktaking Template'!B233</f>
        <v>PROPOSED  CLEARING AND GRADING OF ABDISUGOW ROAD</v>
      </c>
      <c r="C232" s="47" t="str">
        <f>'Project Stocktaking Template'!H233</f>
        <v>GarissaTownship</v>
      </c>
      <c r="D232" s="47" t="str">
        <f>'Project Stocktaking Template'!I233</f>
        <v>Township</v>
      </c>
      <c r="E232" s="48" t="str">
        <f>'Project Stocktaking Template'!O233</f>
        <v>1st aug 2023</v>
      </c>
      <c r="F232" s="48" t="str">
        <f>'Project Stocktaking Template'!P233</f>
        <v>30th june 2024</v>
      </c>
      <c r="G232" s="48" t="str">
        <f>'Project Stocktaking Template'!Q233</f>
        <v>30th june 2024</v>
      </c>
      <c r="H232" s="49">
        <f>'Project Stocktaking Template'!R233</f>
        <v>1000000</v>
      </c>
      <c r="I232" s="50" t="str">
        <f>'Project Stocktaking Template'!AD233</f>
        <v>Completed</v>
      </c>
      <c r="J232" s="45"/>
      <c r="K232" s="45"/>
      <c r="L232" s="45"/>
      <c r="M232" s="45"/>
      <c r="N232" s="45"/>
      <c r="O232" s="45"/>
      <c r="P232" s="45"/>
      <c r="Q232" s="45"/>
      <c r="R232" s="45"/>
      <c r="S232" s="45"/>
      <c r="T232" s="45"/>
      <c r="U232" s="45"/>
      <c r="V232" s="45"/>
      <c r="W232" s="45"/>
      <c r="X232" s="45"/>
      <c r="Y232" s="45"/>
      <c r="Z232" s="45"/>
    </row>
    <row r="233">
      <c r="A233" s="51">
        <v>232.0</v>
      </c>
      <c r="B233" s="47" t="str">
        <f>'Project Stocktaking Template'!B234</f>
        <v>PROPOSED  BUSH CLEARING AND GRADING OF DADAAB MUNICIPALITY GROUND</v>
      </c>
      <c r="C233" s="47" t="str">
        <f>'Project Stocktaking Template'!H234</f>
        <v>Dadaab</v>
      </c>
      <c r="D233" s="47" t="str">
        <f>'Project Stocktaking Template'!I234</f>
        <v>Dadaab</v>
      </c>
      <c r="E233" s="48" t="str">
        <f>'Project Stocktaking Template'!O234</f>
        <v>1st aug 2023</v>
      </c>
      <c r="F233" s="48" t="str">
        <f>'Project Stocktaking Template'!P234</f>
        <v>30th june 2024</v>
      </c>
      <c r="G233" s="48" t="str">
        <f>'Project Stocktaking Template'!Q234</f>
        <v>30th june 2024</v>
      </c>
      <c r="H233" s="49">
        <f>'Project Stocktaking Template'!R234</f>
        <v>4709286</v>
      </c>
      <c r="I233" s="50" t="str">
        <f>'Project Stocktaking Template'!AD234</f>
        <v>Completed</v>
      </c>
      <c r="J233" s="45"/>
      <c r="K233" s="45"/>
      <c r="L233" s="45"/>
      <c r="M233" s="45"/>
      <c r="N233" s="45"/>
      <c r="O233" s="45"/>
      <c r="P233" s="45"/>
      <c r="Q233" s="45"/>
      <c r="R233" s="45"/>
      <c r="S233" s="45"/>
      <c r="T233" s="45"/>
      <c r="U233" s="45"/>
      <c r="V233" s="45"/>
      <c r="W233" s="45"/>
      <c r="X233" s="45"/>
      <c r="Y233" s="45"/>
      <c r="Z233" s="45"/>
    </row>
    <row r="234">
      <c r="A234" s="46">
        <v>233.0</v>
      </c>
      <c r="B234" s="47" t="str">
        <f>'Project Stocktaking Template'!B235</f>
        <v>IMPROVEMENT OF BULLA MEDINA ACCESS ROAD</v>
      </c>
      <c r="C234" s="47" t="str">
        <f>'Project Stocktaking Template'!H235</f>
        <v>GarissaTownship</v>
      </c>
      <c r="D234" s="47" t="str">
        <f>'Project Stocktaking Template'!I235</f>
        <v>Township</v>
      </c>
      <c r="E234" s="48" t="str">
        <f>'Project Stocktaking Template'!O235</f>
        <v>1st aug 2023</v>
      </c>
      <c r="F234" s="48" t="str">
        <f>'Project Stocktaking Template'!P235</f>
        <v>30th june 2024</v>
      </c>
      <c r="G234" s="48" t="str">
        <f>'Project Stocktaking Template'!Q235</f>
        <v>30th june 2024</v>
      </c>
      <c r="H234" s="49">
        <f>'Project Stocktaking Template'!R235</f>
        <v>800000</v>
      </c>
      <c r="I234" s="50" t="str">
        <f>'Project Stocktaking Template'!AD235</f>
        <v>Completed</v>
      </c>
      <c r="J234" s="45"/>
      <c r="K234" s="45"/>
      <c r="L234" s="45"/>
      <c r="M234" s="45"/>
      <c r="N234" s="45"/>
      <c r="O234" s="45"/>
      <c r="P234" s="45"/>
      <c r="Q234" s="45"/>
      <c r="R234" s="45"/>
      <c r="S234" s="45"/>
      <c r="T234" s="45"/>
      <c r="U234" s="45"/>
      <c r="V234" s="45"/>
      <c r="W234" s="45"/>
      <c r="X234" s="45"/>
      <c r="Y234" s="45"/>
      <c r="Z234" s="45"/>
    </row>
    <row r="235">
      <c r="A235" s="51">
        <v>234.0</v>
      </c>
      <c r="B235" s="47" t="str">
        <f>'Project Stocktaking Template'!B236</f>
        <v>RENOVATION TO GOVERNMENT HOUSE MG15,MG10, MG21, FOR GARISSA COUNTY</v>
      </c>
      <c r="C235" s="47" t="str">
        <f>'Project Stocktaking Template'!H236</f>
        <v>GarissaTownship</v>
      </c>
      <c r="D235" s="47" t="str">
        <f>'Project Stocktaking Template'!I236</f>
        <v>Township</v>
      </c>
      <c r="E235" s="48" t="str">
        <f>'Project Stocktaking Template'!O236</f>
        <v>1st aug 2023</v>
      </c>
      <c r="F235" s="48" t="str">
        <f>'Project Stocktaking Template'!P236</f>
        <v>30th june 2024</v>
      </c>
      <c r="G235" s="48" t="str">
        <f>'Project Stocktaking Template'!Q236</f>
        <v>30th june 2024</v>
      </c>
      <c r="H235" s="49">
        <f>'Project Stocktaking Template'!R236</f>
        <v>1000000</v>
      </c>
      <c r="I235" s="50" t="str">
        <f>'Project Stocktaking Template'!AD236</f>
        <v>Completed</v>
      </c>
      <c r="J235" s="45"/>
      <c r="K235" s="45"/>
      <c r="L235" s="45"/>
      <c r="M235" s="45"/>
      <c r="N235" s="45"/>
      <c r="O235" s="45"/>
      <c r="P235" s="45"/>
      <c r="Q235" s="45"/>
      <c r="R235" s="45"/>
      <c r="S235" s="45"/>
      <c r="T235" s="45"/>
      <c r="U235" s="45"/>
      <c r="V235" s="45"/>
      <c r="W235" s="45"/>
      <c r="X235" s="45"/>
      <c r="Y235" s="45"/>
      <c r="Z235" s="45"/>
    </row>
    <row r="236">
      <c r="A236" s="46">
        <v>235.0</v>
      </c>
      <c r="B236" s="47" t="str">
        <f>'Project Stocktaking Template'!B237</f>
        <v>CONSTRUCTION OF ADMINSTRATION BLOCK AT DAMAJALEY PRIMARY SCHOOL</v>
      </c>
      <c r="C236" s="47" t="str">
        <f>'Project Stocktaking Template'!H237</f>
        <v>Dadaab</v>
      </c>
      <c r="D236" s="47" t="str">
        <f>'Project Stocktaking Template'!I237</f>
        <v>Township</v>
      </c>
      <c r="E236" s="48" t="str">
        <f>'Project Stocktaking Template'!O237</f>
        <v>1st aug 2023</v>
      </c>
      <c r="F236" s="48" t="str">
        <f>'Project Stocktaking Template'!P237</f>
        <v>30th june 2024</v>
      </c>
      <c r="G236" s="48" t="str">
        <f>'Project Stocktaking Template'!Q237</f>
        <v>30th june 2024</v>
      </c>
      <c r="H236" s="49">
        <f>'Project Stocktaking Template'!R237</f>
        <v>1000000</v>
      </c>
      <c r="I236" s="50" t="str">
        <f>'Project Stocktaking Template'!AD237</f>
        <v>Completed</v>
      </c>
      <c r="J236" s="45"/>
      <c r="K236" s="45"/>
      <c r="L236" s="45"/>
      <c r="M236" s="45"/>
      <c r="N236" s="45"/>
      <c r="O236" s="45"/>
      <c r="P236" s="45"/>
      <c r="Q236" s="45"/>
      <c r="R236" s="45"/>
      <c r="S236" s="45"/>
      <c r="T236" s="45"/>
      <c r="U236" s="45"/>
      <c r="V236" s="45"/>
      <c r="W236" s="45"/>
      <c r="X236" s="45"/>
      <c r="Y236" s="45"/>
      <c r="Z236" s="45"/>
    </row>
    <row r="237">
      <c r="A237" s="51">
        <v>236.0</v>
      </c>
      <c r="B237" s="47" t="str">
        <f>'Project Stocktaking Template'!B238</f>
        <v>CONSTRUCTION OF EXTENSION OF COUNTY HEADQUATERS</v>
      </c>
      <c r="C237" s="47" t="str">
        <f>'Project Stocktaking Template'!H238</f>
        <v>GarissaTownship</v>
      </c>
      <c r="D237" s="47" t="str">
        <f>'Project Stocktaking Template'!I238</f>
        <v>Township</v>
      </c>
      <c r="E237" s="48" t="str">
        <f>'Project Stocktaking Template'!O238</f>
        <v>1st aug 2023</v>
      </c>
      <c r="F237" s="48" t="str">
        <f>'Project Stocktaking Template'!P238</f>
        <v>30th june 2024</v>
      </c>
      <c r="G237" s="48" t="str">
        <f>'Project Stocktaking Template'!Q238</f>
        <v>30th june 2024</v>
      </c>
      <c r="H237" s="49">
        <f>'Project Stocktaking Template'!R238</f>
        <v>5000000</v>
      </c>
      <c r="I237" s="50" t="str">
        <f>'Project Stocktaking Template'!AD238</f>
        <v>Completed</v>
      </c>
      <c r="J237" s="45"/>
      <c r="K237" s="45"/>
      <c r="L237" s="45"/>
      <c r="M237" s="45"/>
      <c r="N237" s="45"/>
      <c r="O237" s="45"/>
      <c r="P237" s="45"/>
      <c r="Q237" s="45"/>
      <c r="R237" s="45"/>
      <c r="S237" s="45"/>
      <c r="T237" s="45"/>
      <c r="U237" s="45"/>
      <c r="V237" s="45"/>
      <c r="W237" s="45"/>
      <c r="X237" s="45"/>
      <c r="Y237" s="45"/>
      <c r="Z237" s="45"/>
    </row>
    <row r="238">
      <c r="A238" s="46">
        <v>237.0</v>
      </c>
      <c r="B238" s="47" t="str">
        <f>'Project Stocktaking Template'!B239</f>
        <v>UPGRADING OF BULLA HAGAR-BULLA MADINA ACCESS ROAD TO BITUMEN STANDARD</v>
      </c>
      <c r="C238" s="47" t="str">
        <f>'Project Stocktaking Template'!H239</f>
        <v>GarissaTownship</v>
      </c>
      <c r="D238" s="47" t="str">
        <f>'Project Stocktaking Template'!I239</f>
        <v>Township</v>
      </c>
      <c r="E238" s="48" t="str">
        <f>'Project Stocktaking Template'!O239</f>
        <v>1st aug 2023</v>
      </c>
      <c r="F238" s="48" t="str">
        <f>'Project Stocktaking Template'!P239</f>
        <v>30th june 2024</v>
      </c>
      <c r="G238" s="48" t="str">
        <f>'Project Stocktaking Template'!Q239</f>
        <v>30th june 2024</v>
      </c>
      <c r="H238" s="49">
        <f>'Project Stocktaking Template'!R239</f>
        <v>10000000</v>
      </c>
      <c r="I238" s="50" t="str">
        <f>'Project Stocktaking Template'!AD239</f>
        <v>Completed</v>
      </c>
      <c r="J238" s="45"/>
      <c r="K238" s="45"/>
      <c r="L238" s="45"/>
      <c r="M238" s="45"/>
      <c r="N238" s="45"/>
      <c r="O238" s="45"/>
      <c r="P238" s="45"/>
      <c r="Q238" s="45"/>
      <c r="R238" s="45"/>
      <c r="S238" s="45"/>
      <c r="T238" s="45"/>
      <c r="U238" s="45"/>
      <c r="V238" s="45"/>
      <c r="W238" s="45"/>
      <c r="X238" s="45"/>
      <c r="Y238" s="45"/>
      <c r="Z238" s="45"/>
    </row>
    <row r="239">
      <c r="A239" s="51">
        <v>238.0</v>
      </c>
      <c r="B239" s="47" t="str">
        <f>'Project Stocktaking Template'!B240</f>
        <v>REHABILITATION WORKS FOR GAWASCO PIPE WORKS FOR VARIOUS LOCATIONS</v>
      </c>
      <c r="C239" s="47" t="str">
        <f>'Project Stocktaking Template'!H240</f>
        <v>GarissaTownship</v>
      </c>
      <c r="D239" s="47" t="str">
        <f>'Project Stocktaking Template'!I240</f>
        <v>Township</v>
      </c>
      <c r="E239" s="48" t="str">
        <f>'Project Stocktaking Template'!O240</f>
        <v>1st aug 2023</v>
      </c>
      <c r="F239" s="48" t="str">
        <f>'Project Stocktaking Template'!P240</f>
        <v>30th june 2024</v>
      </c>
      <c r="G239" s="48" t="str">
        <f>'Project Stocktaking Template'!Q240</f>
        <v>30th june 2024</v>
      </c>
      <c r="H239" s="49">
        <f>'Project Stocktaking Template'!R240</f>
        <v>3000000</v>
      </c>
      <c r="I239" s="50" t="str">
        <f>'Project Stocktaking Template'!AD240</f>
        <v>Completed</v>
      </c>
      <c r="J239" s="45"/>
      <c r="K239" s="45"/>
      <c r="L239" s="45"/>
      <c r="M239" s="45"/>
      <c r="N239" s="45"/>
      <c r="O239" s="45"/>
      <c r="P239" s="45"/>
      <c r="Q239" s="45"/>
      <c r="R239" s="45"/>
      <c r="S239" s="45"/>
      <c r="T239" s="45"/>
      <c r="U239" s="45"/>
      <c r="V239" s="45"/>
      <c r="W239" s="45"/>
      <c r="X239" s="45"/>
      <c r="Y239" s="45"/>
      <c r="Z239" s="45"/>
    </row>
    <row r="240">
      <c r="A240" s="46">
        <v>239.0</v>
      </c>
      <c r="B240" s="47" t="str">
        <f>'Project Stocktaking Template'!B241</f>
        <v>CHAINLINK FENCE </v>
      </c>
      <c r="C240" s="47" t="str">
        <f>'Project Stocktaking Template'!H241</f>
        <v>GarissaTownship</v>
      </c>
      <c r="D240" s="47" t="str">
        <f>'Project Stocktaking Template'!I241</f>
        <v>Township</v>
      </c>
      <c r="E240" s="48" t="str">
        <f>'Project Stocktaking Template'!O241</f>
        <v>1st aug 2023</v>
      </c>
      <c r="F240" s="48" t="str">
        <f>'Project Stocktaking Template'!P241</f>
        <v>30th june 2024</v>
      </c>
      <c r="G240" s="48" t="str">
        <f>'Project Stocktaking Template'!Q241</f>
        <v>30th june 2024</v>
      </c>
      <c r="H240" s="49">
        <f>'Project Stocktaking Template'!R241</f>
        <v>4735636</v>
      </c>
      <c r="I240" s="50" t="str">
        <f>'Project Stocktaking Template'!AD241</f>
        <v>Completed</v>
      </c>
      <c r="J240" s="45"/>
      <c r="K240" s="45"/>
      <c r="L240" s="45"/>
      <c r="M240" s="45"/>
      <c r="N240" s="45"/>
      <c r="O240" s="45"/>
      <c r="P240" s="45"/>
      <c r="Q240" s="45"/>
      <c r="R240" s="45"/>
      <c r="S240" s="45"/>
      <c r="T240" s="45"/>
      <c r="U240" s="45"/>
      <c r="V240" s="45"/>
      <c r="W240" s="45"/>
      <c r="X240" s="45"/>
      <c r="Y240" s="45"/>
      <c r="Z240" s="45"/>
    </row>
    <row r="241">
      <c r="A241" s="51">
        <v>240.0</v>
      </c>
      <c r="B241" s="47" t="str">
        <f>'Project Stocktaking Template'!B242</f>
        <v>CONSTRUCTION OF MASONARY  PERIMETER FENCE,PUBLIC PARKING AND 2 NOTOILET, SENTRY BOX,TWIN PIT LATRINE AT GCRH</v>
      </c>
      <c r="C241" s="47" t="str">
        <f>'Project Stocktaking Template'!H242</f>
        <v>GarissaTownship</v>
      </c>
      <c r="D241" s="47" t="str">
        <f>'Project Stocktaking Template'!I242</f>
        <v>Township</v>
      </c>
      <c r="E241" s="48" t="str">
        <f>'Project Stocktaking Template'!O242</f>
        <v>1st aug 2023</v>
      </c>
      <c r="F241" s="48" t="str">
        <f>'Project Stocktaking Template'!P242</f>
        <v>30th june 2024</v>
      </c>
      <c r="G241" s="48" t="str">
        <f>'Project Stocktaking Template'!Q242</f>
        <v>30th june 2024</v>
      </c>
      <c r="H241" s="49">
        <f>'Project Stocktaking Template'!R242</f>
        <v>7125000</v>
      </c>
      <c r="I241" s="50" t="str">
        <f>'Project Stocktaking Template'!AD242</f>
        <v>Completed</v>
      </c>
      <c r="J241" s="45"/>
      <c r="K241" s="45"/>
      <c r="L241" s="45"/>
      <c r="M241" s="45"/>
      <c r="N241" s="45"/>
      <c r="O241" s="45"/>
      <c r="P241" s="45"/>
      <c r="Q241" s="45"/>
      <c r="R241" s="45"/>
      <c r="S241" s="45"/>
      <c r="T241" s="45"/>
      <c r="U241" s="45"/>
      <c r="V241" s="45"/>
      <c r="W241" s="45"/>
      <c r="X241" s="45"/>
      <c r="Y241" s="45"/>
      <c r="Z241" s="45"/>
    </row>
    <row r="242">
      <c r="A242" s="46">
        <v>241.0</v>
      </c>
      <c r="B242" s="47" t="str">
        <f>'Project Stocktaking Template'!B243</f>
        <v>ADC WATER PROJECT</v>
      </c>
      <c r="C242" s="47" t="str">
        <f>'Project Stocktaking Template'!H243</f>
        <v>GarissaTownship</v>
      </c>
      <c r="D242" s="47" t="str">
        <f>'Project Stocktaking Template'!I243</f>
        <v>Galbet</v>
      </c>
      <c r="E242" s="48" t="str">
        <f>'Project Stocktaking Template'!O243</f>
        <v>1st aug 2023</v>
      </c>
      <c r="F242" s="48" t="str">
        <f>'Project Stocktaking Template'!P243</f>
        <v>30th june 2024</v>
      </c>
      <c r="G242" s="48" t="str">
        <f>'Project Stocktaking Template'!Q243</f>
        <v>30th june 2024</v>
      </c>
      <c r="H242" s="49">
        <f>'Project Stocktaking Template'!R243</f>
        <v>7600000</v>
      </c>
      <c r="I242" s="50" t="str">
        <f>'Project Stocktaking Template'!AD243</f>
        <v>Completed</v>
      </c>
      <c r="J242" s="45"/>
      <c r="K242" s="45"/>
      <c r="L242" s="45"/>
      <c r="M242" s="45"/>
      <c r="N242" s="45"/>
      <c r="O242" s="45"/>
      <c r="P242" s="45"/>
      <c r="Q242" s="45"/>
      <c r="R242" s="45"/>
      <c r="S242" s="45"/>
      <c r="T242" s="45"/>
      <c r="U242" s="45"/>
      <c r="V242" s="45"/>
      <c r="W242" s="45"/>
      <c r="X242" s="45"/>
      <c r="Y242" s="45"/>
      <c r="Z242" s="45"/>
    </row>
    <row r="243">
      <c r="A243" s="51">
        <v>242.0</v>
      </c>
      <c r="B243" s="47" t="str">
        <f>'Project Stocktaking Template'!B244</f>
        <v>SUUQ MUQDI MARKET ROAD</v>
      </c>
      <c r="C243" s="47" t="str">
        <f>'Project Stocktaking Template'!H244</f>
        <v>GarissaTownship</v>
      </c>
      <c r="D243" s="47" t="str">
        <f>'Project Stocktaking Template'!I244</f>
        <v>Township</v>
      </c>
      <c r="E243" s="48" t="str">
        <f>'Project Stocktaking Template'!O244</f>
        <v>1st aug 2023</v>
      </c>
      <c r="F243" s="48" t="str">
        <f>'Project Stocktaking Template'!P244</f>
        <v>30th june 2024</v>
      </c>
      <c r="G243" s="48" t="str">
        <f>'Project Stocktaking Template'!Q244</f>
        <v>30th june 2024</v>
      </c>
      <c r="H243" s="49">
        <f>'Project Stocktaking Template'!R244</f>
        <v>11875000</v>
      </c>
      <c r="I243" s="50" t="str">
        <f>'Project Stocktaking Template'!AD244</f>
        <v>Completed</v>
      </c>
      <c r="J243" s="45"/>
      <c r="K243" s="45"/>
      <c r="L243" s="45"/>
      <c r="M243" s="45"/>
      <c r="N243" s="45"/>
      <c r="O243" s="45"/>
      <c r="P243" s="45"/>
      <c r="Q243" s="45"/>
      <c r="R243" s="45"/>
      <c r="S243" s="45"/>
      <c r="T243" s="45"/>
      <c r="U243" s="45"/>
      <c r="V243" s="45"/>
      <c r="W243" s="45"/>
      <c r="X243" s="45"/>
      <c r="Y243" s="45"/>
      <c r="Z243" s="45"/>
    </row>
    <row r="244">
      <c r="A244" s="46">
        <v>243.0</v>
      </c>
      <c r="B244" s="47" t="str">
        <f>'Project Stocktaking Template'!B245</f>
        <v>UPGRADING OF BULLA HAGAR-BULLA MADINA ACCESS ROAD TO BITUMEN STANDARD</v>
      </c>
      <c r="C244" s="47" t="str">
        <f>'Project Stocktaking Template'!H245</f>
        <v>GarissaTownship</v>
      </c>
      <c r="D244" s="47" t="str">
        <f>'Project Stocktaking Template'!I245</f>
        <v>Township</v>
      </c>
      <c r="E244" s="48" t="str">
        <f>'Project Stocktaking Template'!O245</f>
        <v>1st aug 2023</v>
      </c>
      <c r="F244" s="48" t="str">
        <f>'Project Stocktaking Template'!P245</f>
        <v>30th june 2024</v>
      </c>
      <c r="G244" s="48" t="str">
        <f>'Project Stocktaking Template'!Q245</f>
        <v>30th june 2024</v>
      </c>
      <c r="H244" s="49">
        <f>'Project Stocktaking Template'!R245</f>
        <v>19950000</v>
      </c>
      <c r="I244" s="50" t="str">
        <f>'Project Stocktaking Template'!AD245</f>
        <v>Completed</v>
      </c>
      <c r="J244" s="45"/>
      <c r="K244" s="45"/>
      <c r="L244" s="45"/>
      <c r="M244" s="45"/>
      <c r="N244" s="45"/>
      <c r="O244" s="45"/>
      <c r="P244" s="45"/>
      <c r="Q244" s="45"/>
      <c r="R244" s="45"/>
      <c r="S244" s="45"/>
      <c r="T244" s="45"/>
      <c r="U244" s="45"/>
      <c r="V244" s="45"/>
      <c r="W244" s="45"/>
      <c r="X244" s="45"/>
      <c r="Y244" s="45"/>
      <c r="Z244" s="45"/>
    </row>
    <row r="245">
      <c r="A245" s="51">
        <v>244.0</v>
      </c>
      <c r="B245" s="47" t="str">
        <f>'Project Stocktaking Template'!B246</f>
        <v>RENOVATION OF DEPARTMENT OF FINACE CEMS OFFICES AT THE COUNTY HEADQUATERS</v>
      </c>
      <c r="C245" s="47" t="str">
        <f>'Project Stocktaking Template'!H246</f>
        <v>GarissaTownship</v>
      </c>
      <c r="D245" s="47" t="str">
        <f>'Project Stocktaking Template'!I246</f>
        <v>Township</v>
      </c>
      <c r="E245" s="48" t="str">
        <f>'Project Stocktaking Template'!O246</f>
        <v>1st aug 2023</v>
      </c>
      <c r="F245" s="48" t="str">
        <f>'Project Stocktaking Template'!P246</f>
        <v>30th june 2024</v>
      </c>
      <c r="G245" s="48" t="str">
        <f>'Project Stocktaking Template'!Q246</f>
        <v>30th june 2024</v>
      </c>
      <c r="H245" s="49">
        <f>'Project Stocktaking Template'!R246</f>
        <v>400000</v>
      </c>
      <c r="I245" s="50" t="str">
        <f>'Project Stocktaking Template'!AD246</f>
        <v>Completed</v>
      </c>
      <c r="J245" s="45"/>
      <c r="K245" s="45"/>
      <c r="L245" s="45"/>
      <c r="M245" s="45"/>
      <c r="N245" s="45"/>
      <c r="O245" s="45"/>
      <c r="P245" s="45"/>
      <c r="Q245" s="45"/>
      <c r="R245" s="45"/>
      <c r="S245" s="45"/>
      <c r="T245" s="45"/>
      <c r="U245" s="45"/>
      <c r="V245" s="45"/>
      <c r="W245" s="45"/>
      <c r="X245" s="45"/>
      <c r="Y245" s="45"/>
      <c r="Z245" s="45"/>
    </row>
    <row r="246">
      <c r="A246" s="46">
        <v>245.0</v>
      </c>
      <c r="B246" s="47" t="str">
        <f>'Project Stocktaking Template'!B247</f>
        <v>PROPOSED CONSTRUCTION OF MAIN GATE,GUARD HOUSE, BUSH CLAERING AND INERTNAL CHAINLINK FENCING</v>
      </c>
      <c r="C246" s="47" t="str">
        <f>'Project Stocktaking Template'!H247</f>
        <v>GarissaTownship</v>
      </c>
      <c r="D246" s="47" t="str">
        <f>'Project Stocktaking Template'!I247</f>
        <v>Township</v>
      </c>
      <c r="E246" s="48" t="str">
        <f>'Project Stocktaking Template'!O247</f>
        <v>1st aug 2023</v>
      </c>
      <c r="F246" s="48" t="str">
        <f>'Project Stocktaking Template'!P247</f>
        <v>30th june 2024</v>
      </c>
      <c r="G246" s="48" t="str">
        <f>'Project Stocktaking Template'!Q247</f>
        <v>30th june 2024</v>
      </c>
      <c r="H246" s="49">
        <f>'Project Stocktaking Template'!R247</f>
        <v>1015075</v>
      </c>
      <c r="I246" s="50" t="str">
        <f>'Project Stocktaking Template'!AD247</f>
        <v>Completed</v>
      </c>
      <c r="J246" s="45"/>
      <c r="K246" s="45"/>
      <c r="L246" s="45"/>
      <c r="M246" s="45"/>
      <c r="N246" s="45"/>
      <c r="O246" s="45"/>
      <c r="P246" s="45"/>
      <c r="Q246" s="45"/>
      <c r="R246" s="45"/>
      <c r="S246" s="45"/>
      <c r="T246" s="45"/>
      <c r="U246" s="45"/>
      <c r="V246" s="45"/>
      <c r="W246" s="45"/>
      <c r="X246" s="45"/>
      <c r="Y246" s="45"/>
      <c r="Z246" s="45"/>
    </row>
    <row r="247">
      <c r="A247" s="51">
        <v>246.0</v>
      </c>
      <c r="B247" s="47" t="str">
        <f>'Project Stocktaking Template'!B248</f>
        <v>MAINTAINANACE OF FARM ACCESS ROAD</v>
      </c>
      <c r="C247" s="47" t="str">
        <f>'Project Stocktaking Template'!H248</f>
        <v>GarissaTownship</v>
      </c>
      <c r="D247" s="47" t="str">
        <f>'Project Stocktaking Template'!I248</f>
        <v>Galbet</v>
      </c>
      <c r="E247" s="48" t="str">
        <f>'Project Stocktaking Template'!O248</f>
        <v>1st aug 2023</v>
      </c>
      <c r="F247" s="48" t="str">
        <f>'Project Stocktaking Template'!P248</f>
        <v>30th june 2024</v>
      </c>
      <c r="G247" s="48" t="str">
        <f>'Project Stocktaking Template'!Q248</f>
        <v>30th june 2024</v>
      </c>
      <c r="H247" s="49">
        <f>'Project Stocktaking Template'!R248</f>
        <v>1193741.5</v>
      </c>
      <c r="I247" s="50" t="str">
        <f>'Project Stocktaking Template'!AD248</f>
        <v>Completed</v>
      </c>
      <c r="J247" s="45"/>
      <c r="K247" s="45"/>
      <c r="L247" s="45"/>
      <c r="M247" s="45"/>
      <c r="N247" s="45"/>
      <c r="O247" s="45"/>
      <c r="P247" s="45"/>
      <c r="Q247" s="45"/>
      <c r="R247" s="45"/>
      <c r="S247" s="45"/>
      <c r="T247" s="45"/>
      <c r="U247" s="45"/>
      <c r="V247" s="45"/>
      <c r="W247" s="45"/>
      <c r="X247" s="45"/>
      <c r="Y247" s="45"/>
      <c r="Z247" s="45"/>
    </row>
    <row r="248">
      <c r="A248" s="46">
        <v>247.0</v>
      </c>
      <c r="B248" s="47" t="str">
        <f>'Project Stocktaking Template'!B249</f>
        <v>CONSTRUCTION AND CHAINLINK FENCING</v>
      </c>
      <c r="C248" s="47" t="str">
        <f>'Project Stocktaking Template'!H249</f>
        <v>GarissaTownship</v>
      </c>
      <c r="D248" s="47" t="str">
        <f>'Project Stocktaking Template'!I249</f>
        <v>Township</v>
      </c>
      <c r="E248" s="48" t="str">
        <f>'Project Stocktaking Template'!O249</f>
        <v>1st aug 2023</v>
      </c>
      <c r="F248" s="48" t="str">
        <f>'Project Stocktaking Template'!P249</f>
        <v>30th june 2024</v>
      </c>
      <c r="G248" s="48" t="str">
        <f>'Project Stocktaking Template'!Q249</f>
        <v>30th june 2024</v>
      </c>
      <c r="H248" s="49">
        <f>'Project Stocktaking Template'!R249</f>
        <v>1200000</v>
      </c>
      <c r="I248" s="50" t="str">
        <f>'Project Stocktaking Template'!AD249</f>
        <v>Completed</v>
      </c>
      <c r="J248" s="45"/>
      <c r="K248" s="45"/>
      <c r="L248" s="45"/>
      <c r="M248" s="45"/>
      <c r="N248" s="45"/>
      <c r="O248" s="45"/>
      <c r="P248" s="45"/>
      <c r="Q248" s="45"/>
      <c r="R248" s="45"/>
      <c r="S248" s="45"/>
      <c r="T248" s="45"/>
      <c r="U248" s="45"/>
      <c r="V248" s="45"/>
      <c r="W248" s="45"/>
      <c r="X248" s="45"/>
      <c r="Y248" s="45"/>
      <c r="Z248" s="45"/>
    </row>
    <row r="249">
      <c r="A249" s="51">
        <v>248.0</v>
      </c>
      <c r="B249" s="47" t="str">
        <f>'Project Stocktaking Template'!B250</f>
        <v>MAINATAINACE OF FARM ACCESSS</v>
      </c>
      <c r="C249" s="47" t="str">
        <f>'Project Stocktaking Template'!H250</f>
        <v>GarissaTownship</v>
      </c>
      <c r="D249" s="47" t="str">
        <f>'Project Stocktaking Template'!I250</f>
        <v>Galbet</v>
      </c>
      <c r="E249" s="48" t="str">
        <f>'Project Stocktaking Template'!O250</f>
        <v>1st aug 2023</v>
      </c>
      <c r="F249" s="48" t="str">
        <f>'Project Stocktaking Template'!P250</f>
        <v>30th june 2024</v>
      </c>
      <c r="G249" s="48" t="str">
        <f>'Project Stocktaking Template'!Q250</f>
        <v>30th june 2024</v>
      </c>
      <c r="H249" s="49">
        <f>'Project Stocktaking Template'!R250</f>
        <v>1320484</v>
      </c>
      <c r="I249" s="50" t="str">
        <f>'Project Stocktaking Template'!AD250</f>
        <v>Completed</v>
      </c>
      <c r="J249" s="45"/>
      <c r="K249" s="45"/>
      <c r="L249" s="45"/>
      <c r="M249" s="45"/>
      <c r="N249" s="45"/>
      <c r="O249" s="45"/>
      <c r="P249" s="45"/>
      <c r="Q249" s="45"/>
      <c r="R249" s="45"/>
      <c r="S249" s="45"/>
      <c r="T249" s="45"/>
      <c r="U249" s="45"/>
      <c r="V249" s="45"/>
      <c r="W249" s="45"/>
      <c r="X249" s="45"/>
      <c r="Y249" s="45"/>
      <c r="Z249" s="45"/>
    </row>
    <row r="250">
      <c r="A250" s="46">
        <v>249.0</v>
      </c>
      <c r="B250" s="47" t="str">
        <f>'Project Stocktaking Template'!B251</f>
        <v>RENOVATION OF DIRECTORS OFFICE</v>
      </c>
      <c r="C250" s="47" t="str">
        <f>'Project Stocktaking Template'!H251</f>
        <v>GarissaTownship</v>
      </c>
      <c r="D250" s="47" t="str">
        <f>'Project Stocktaking Template'!I251</f>
        <v>Township</v>
      </c>
      <c r="E250" s="48" t="str">
        <f>'Project Stocktaking Template'!O251</f>
        <v>1st aug 2023</v>
      </c>
      <c r="F250" s="48" t="str">
        <f>'Project Stocktaking Template'!P251</f>
        <v>30th june 2024</v>
      </c>
      <c r="G250" s="48" t="str">
        <f>'Project Stocktaking Template'!Q251</f>
        <v>30th june 2024</v>
      </c>
      <c r="H250" s="49">
        <f>'Project Stocktaking Template'!R251</f>
        <v>1401400</v>
      </c>
      <c r="I250" s="50" t="str">
        <f>'Project Stocktaking Template'!AD251</f>
        <v>Completed</v>
      </c>
      <c r="J250" s="45"/>
      <c r="K250" s="45"/>
      <c r="L250" s="45"/>
      <c r="M250" s="45"/>
      <c r="N250" s="45"/>
      <c r="O250" s="45"/>
      <c r="P250" s="45"/>
      <c r="Q250" s="45"/>
      <c r="R250" s="45"/>
      <c r="S250" s="45"/>
      <c r="T250" s="45"/>
      <c r="U250" s="45"/>
      <c r="V250" s="45"/>
      <c r="W250" s="45"/>
      <c r="X250" s="45"/>
      <c r="Y250" s="45"/>
      <c r="Z250" s="45"/>
    </row>
    <row r="251">
      <c r="A251" s="51">
        <v>250.0</v>
      </c>
      <c r="B251" s="47" t="str">
        <f>'Project Stocktaking Template'!B252</f>
        <v>RENNOVATION OF MASALANI OFFICES</v>
      </c>
      <c r="C251" s="47" t="str">
        <f>'Project Stocktaking Template'!H252</f>
        <v>Ijara</v>
      </c>
      <c r="D251" s="47" t="str">
        <f>'Project Stocktaking Template'!I252</f>
        <v>Masalani</v>
      </c>
      <c r="E251" s="48" t="str">
        <f>'Project Stocktaking Template'!O252</f>
        <v>1st aug 2023</v>
      </c>
      <c r="F251" s="48" t="str">
        <f>'Project Stocktaking Template'!P252</f>
        <v>30th june 2024</v>
      </c>
      <c r="G251" s="48" t="str">
        <f>'Project Stocktaking Template'!Q252</f>
        <v>30th june 2024</v>
      </c>
      <c r="H251" s="49">
        <f>'Project Stocktaking Template'!R252</f>
        <v>1848328</v>
      </c>
      <c r="I251" s="50" t="str">
        <f>'Project Stocktaking Template'!AD252</f>
        <v>Completed</v>
      </c>
      <c r="J251" s="45"/>
      <c r="K251" s="45"/>
      <c r="L251" s="45"/>
      <c r="M251" s="45"/>
      <c r="N251" s="45"/>
      <c r="O251" s="45"/>
      <c r="P251" s="45"/>
      <c r="Q251" s="45"/>
      <c r="R251" s="45"/>
      <c r="S251" s="45"/>
      <c r="T251" s="45"/>
      <c r="U251" s="45"/>
      <c r="V251" s="45"/>
      <c r="W251" s="45"/>
      <c r="X251" s="45"/>
      <c r="Y251" s="45"/>
      <c r="Z251" s="45"/>
    </row>
    <row r="252">
      <c r="A252" s="46">
        <v>251.0</v>
      </c>
      <c r="B252" s="47" t="str">
        <f>'Project Stocktaking Template'!B253</f>
        <v>RENOVATION OF MASALANI MUNICIPALITY OFFICES</v>
      </c>
      <c r="C252" s="47" t="str">
        <f>'Project Stocktaking Template'!H253</f>
        <v>Ijara</v>
      </c>
      <c r="D252" s="47" t="str">
        <f>'Project Stocktaking Template'!I253</f>
        <v>Masalani</v>
      </c>
      <c r="E252" s="48" t="str">
        <f>'Project Stocktaking Template'!O253</f>
        <v>1st aug 2023</v>
      </c>
      <c r="F252" s="48" t="str">
        <f>'Project Stocktaking Template'!P253</f>
        <v>30th june 2024</v>
      </c>
      <c r="G252" s="48" t="str">
        <f>'Project Stocktaking Template'!Q253</f>
        <v>30th june 2024</v>
      </c>
      <c r="H252" s="49">
        <f>'Project Stocktaking Template'!R253</f>
        <v>2164183</v>
      </c>
      <c r="I252" s="50" t="str">
        <f>'Project Stocktaking Template'!AD253</f>
        <v>Completed</v>
      </c>
      <c r="J252" s="45"/>
      <c r="K252" s="45"/>
      <c r="L252" s="45"/>
      <c r="M252" s="45"/>
      <c r="N252" s="45"/>
      <c r="O252" s="45"/>
      <c r="P252" s="45"/>
      <c r="Q252" s="45"/>
      <c r="R252" s="45"/>
      <c r="S252" s="45"/>
      <c r="T252" s="45"/>
      <c r="U252" s="45"/>
      <c r="V252" s="45"/>
      <c r="W252" s="45"/>
      <c r="X252" s="45"/>
      <c r="Y252" s="45"/>
      <c r="Z252" s="45"/>
    </row>
    <row r="253">
      <c r="A253" s="51">
        <v>252.0</v>
      </c>
      <c r="B253" s="47" t="str">
        <f>'Project Stocktaking Template'!B254</f>
        <v>SUPPLY OF FARM SEEDS</v>
      </c>
      <c r="C253" s="47" t="str">
        <f>'Project Stocktaking Template'!H254</f>
        <v>Lagdera</v>
      </c>
      <c r="D253" s="47" t="str">
        <f>'Project Stocktaking Template'!I254</f>
        <v>Galbet</v>
      </c>
      <c r="E253" s="48" t="str">
        <f>'Project Stocktaking Template'!O254</f>
        <v>1st aug 2023</v>
      </c>
      <c r="F253" s="48" t="str">
        <f>'Project Stocktaking Template'!P254</f>
        <v>30th june 2024</v>
      </c>
      <c r="G253" s="48" t="str">
        <f>'Project Stocktaking Template'!Q254</f>
        <v>30th june 2024</v>
      </c>
      <c r="H253" s="49">
        <f>'Project Stocktaking Template'!R254</f>
        <v>2200000</v>
      </c>
      <c r="I253" s="50" t="str">
        <f>'Project Stocktaking Template'!AD254</f>
        <v>Completed</v>
      </c>
      <c r="J253" s="45"/>
      <c r="K253" s="45"/>
      <c r="L253" s="45"/>
      <c r="M253" s="45"/>
      <c r="N253" s="45"/>
      <c r="O253" s="45"/>
      <c r="P253" s="45"/>
      <c r="Q253" s="45"/>
      <c r="R253" s="45"/>
      <c r="S253" s="45"/>
      <c r="T253" s="45"/>
      <c r="U253" s="45"/>
      <c r="V253" s="45"/>
      <c r="W253" s="45"/>
      <c r="X253" s="45"/>
      <c r="Y253" s="45"/>
      <c r="Z253" s="45"/>
    </row>
    <row r="254">
      <c r="A254" s="46">
        <v>253.0</v>
      </c>
      <c r="B254" s="47" t="str">
        <f>'Project Stocktaking Template'!B255</f>
        <v>REHABILITATION WORKS FOR GAWASCO INTAKES</v>
      </c>
      <c r="C254" s="47" t="str">
        <f>'Project Stocktaking Template'!H255</f>
        <v>GarissaTownship</v>
      </c>
      <c r="D254" s="47" t="str">
        <f>'Project Stocktaking Template'!I255</f>
        <v>Township</v>
      </c>
      <c r="E254" s="48" t="str">
        <f>'Project Stocktaking Template'!O255</f>
        <v>1st aug 2023</v>
      </c>
      <c r="F254" s="48" t="str">
        <f>'Project Stocktaking Template'!P255</f>
        <v>30th june 2024</v>
      </c>
      <c r="G254" s="48" t="str">
        <f>'Project Stocktaking Template'!Q255</f>
        <v>30th june 2024</v>
      </c>
      <c r="H254" s="49">
        <f>'Project Stocktaking Template'!R255</f>
        <v>2375000</v>
      </c>
      <c r="I254" s="50" t="str">
        <f>'Project Stocktaking Template'!AD255</f>
        <v>Completed</v>
      </c>
      <c r="J254" s="45"/>
      <c r="K254" s="45"/>
      <c r="L254" s="45"/>
      <c r="M254" s="45"/>
      <c r="N254" s="45"/>
      <c r="O254" s="45"/>
      <c r="P254" s="45"/>
      <c r="Q254" s="45"/>
      <c r="R254" s="45"/>
      <c r="S254" s="45"/>
      <c r="T254" s="45"/>
      <c r="U254" s="45"/>
      <c r="V254" s="45"/>
      <c r="W254" s="45"/>
      <c r="X254" s="45"/>
      <c r="Y254" s="45"/>
      <c r="Z254" s="45"/>
    </row>
    <row r="255">
      <c r="A255" s="51">
        <v>254.0</v>
      </c>
      <c r="B255" s="47" t="str">
        <f>'Project Stocktaking Template'!B256</f>
        <v>IMPROVEMEMENT OF MODOGASHE SHANTA ROAD</v>
      </c>
      <c r="C255" s="47" t="str">
        <f>'Project Stocktaking Template'!H256</f>
        <v>Lagdera</v>
      </c>
      <c r="D255" s="47" t="str">
        <f>'Project Stocktaking Template'!I256</f>
        <v>Galbet</v>
      </c>
      <c r="E255" s="48" t="str">
        <f>'Project Stocktaking Template'!O256</f>
        <v>1st aug 2023</v>
      </c>
      <c r="F255" s="48" t="str">
        <f>'Project Stocktaking Template'!P256</f>
        <v>30th june 2024</v>
      </c>
      <c r="G255" s="48" t="str">
        <f>'Project Stocktaking Template'!Q256</f>
        <v>30th june 2024</v>
      </c>
      <c r="H255" s="49">
        <f>'Project Stocktaking Template'!R256</f>
        <v>4080000</v>
      </c>
      <c r="I255" s="50" t="str">
        <f>'Project Stocktaking Template'!AD256</f>
        <v>Completed</v>
      </c>
      <c r="J255" s="45"/>
      <c r="K255" s="45"/>
      <c r="L255" s="45"/>
      <c r="M255" s="45"/>
      <c r="N255" s="45"/>
      <c r="O255" s="45"/>
      <c r="P255" s="45"/>
      <c r="Q255" s="45"/>
      <c r="R255" s="45"/>
      <c r="S255" s="45"/>
      <c r="T255" s="45"/>
      <c r="U255" s="45"/>
      <c r="V255" s="45"/>
      <c r="W255" s="45"/>
      <c r="X255" s="45"/>
      <c r="Y255" s="45"/>
      <c r="Z255" s="45"/>
    </row>
    <row r="256">
      <c r="A256" s="46">
        <v>255.0</v>
      </c>
      <c r="B256" s="47" t="str">
        <f>'Project Stocktaking Template'!B257</f>
        <v>RENNOVATION OF GARISSA REFERAL HOSPTAL ADMIN BLOCK</v>
      </c>
      <c r="C256" s="47" t="str">
        <f>'Project Stocktaking Template'!H257</f>
        <v>GarissaTownship</v>
      </c>
      <c r="D256" s="47" t="str">
        <f>'Project Stocktaking Template'!I257</f>
        <v>Township</v>
      </c>
      <c r="E256" s="48" t="str">
        <f>'Project Stocktaking Template'!O257</f>
        <v>1st aug 2023</v>
      </c>
      <c r="F256" s="48" t="str">
        <f>'Project Stocktaking Template'!P257</f>
        <v>30th june 2024</v>
      </c>
      <c r="G256" s="48" t="str">
        <f>'Project Stocktaking Template'!Q257</f>
        <v>30th june 2024</v>
      </c>
      <c r="H256" s="49">
        <f>'Project Stocktaking Template'!R257</f>
        <v>8550000</v>
      </c>
      <c r="I256" s="50" t="str">
        <f>'Project Stocktaking Template'!AD257</f>
        <v>Completed</v>
      </c>
      <c r="J256" s="45"/>
      <c r="K256" s="45"/>
      <c r="L256" s="45"/>
      <c r="M256" s="45"/>
      <c r="N256" s="45"/>
      <c r="O256" s="45"/>
      <c r="P256" s="45"/>
      <c r="Q256" s="45"/>
      <c r="R256" s="45"/>
      <c r="S256" s="45"/>
      <c r="T256" s="45"/>
      <c r="U256" s="45"/>
      <c r="V256" s="45"/>
      <c r="W256" s="45"/>
      <c r="X256" s="45"/>
      <c r="Y256" s="45"/>
      <c r="Z256" s="45"/>
    </row>
    <row r="257">
      <c r="A257" s="51">
        <v>256.0</v>
      </c>
      <c r="B257" s="47" t="str">
        <f>'Project Stocktaking Template'!B258</f>
        <v>RENNOVATION OF ECD CLASSROOM AT BULLA MAZURI PRIMARY</v>
      </c>
      <c r="C257" s="47" t="str">
        <f>'Project Stocktaking Template'!H258</f>
        <v>GarissaTownship</v>
      </c>
      <c r="D257" s="47" t="str">
        <f>'Project Stocktaking Template'!I258</f>
        <v>Waberi</v>
      </c>
      <c r="E257" s="48" t="str">
        <f>'Project Stocktaking Template'!O258</f>
        <v>1st aug 2023</v>
      </c>
      <c r="F257" s="48" t="str">
        <f>'Project Stocktaking Template'!P258</f>
        <v>30th june 2024</v>
      </c>
      <c r="G257" s="48" t="str">
        <f>'Project Stocktaking Template'!Q258</f>
        <v>30th june 2024</v>
      </c>
      <c r="H257" s="49">
        <f>'Project Stocktaking Template'!R258</f>
        <v>4000000</v>
      </c>
      <c r="I257" s="50" t="str">
        <f>'Project Stocktaking Template'!AD258</f>
        <v>Completed</v>
      </c>
      <c r="J257" s="45"/>
      <c r="K257" s="45"/>
      <c r="L257" s="45"/>
      <c r="M257" s="45"/>
      <c r="N257" s="45"/>
      <c r="O257" s="45"/>
      <c r="P257" s="45"/>
      <c r="Q257" s="45"/>
      <c r="R257" s="45"/>
      <c r="S257" s="45"/>
      <c r="T257" s="45"/>
      <c r="U257" s="45"/>
      <c r="V257" s="45"/>
      <c r="W257" s="45"/>
      <c r="X257" s="45"/>
      <c r="Y257" s="45"/>
      <c r="Z257" s="45"/>
    </row>
    <row r="258">
      <c r="A258" s="46">
        <v>257.0</v>
      </c>
      <c r="B258" s="47" t="str">
        <f>'Project Stocktaking Template'!B259</f>
        <v>MAINATAINACE OF ROAD DADAAB </v>
      </c>
      <c r="C258" s="47" t="str">
        <f>'Project Stocktaking Template'!H259</f>
        <v>Dadaab</v>
      </c>
      <c r="D258" s="47" t="str">
        <f>'Project Stocktaking Template'!I259</f>
        <v>Dadaab</v>
      </c>
      <c r="E258" s="48" t="str">
        <f>'Project Stocktaking Template'!O259</f>
        <v>1st aug 2023</v>
      </c>
      <c r="F258" s="48" t="str">
        <f>'Project Stocktaking Template'!P259</f>
        <v>30th june 2024</v>
      </c>
      <c r="G258" s="48" t="str">
        <f>'Project Stocktaking Template'!Q259</f>
        <v>30th june 2024</v>
      </c>
      <c r="H258" s="49">
        <f>'Project Stocktaking Template'!R259</f>
        <v>4691214</v>
      </c>
      <c r="I258" s="50" t="str">
        <f>'Project Stocktaking Template'!AD259</f>
        <v>Completed</v>
      </c>
      <c r="J258" s="45"/>
      <c r="K258" s="45"/>
      <c r="L258" s="45"/>
      <c r="M258" s="45"/>
      <c r="N258" s="45"/>
      <c r="O258" s="45"/>
      <c r="P258" s="45"/>
      <c r="Q258" s="45"/>
      <c r="R258" s="45"/>
      <c r="S258" s="45"/>
      <c r="T258" s="45"/>
      <c r="U258" s="45"/>
      <c r="V258" s="45"/>
      <c r="W258" s="45"/>
      <c r="X258" s="45"/>
      <c r="Y258" s="45"/>
      <c r="Z258" s="45"/>
    </row>
    <row r="259">
      <c r="A259" s="51">
        <v>258.0</v>
      </c>
      <c r="B259" s="47" t="str">
        <f>'Project Stocktaking Template'!B260</f>
        <v>CONSTRUCTION OF GALBET POLICE POST</v>
      </c>
      <c r="C259" s="47" t="str">
        <f>'Project Stocktaking Template'!H260</f>
        <v>GarissaTownship</v>
      </c>
      <c r="D259" s="47" t="str">
        <f>'Project Stocktaking Template'!I260</f>
        <v>Galbet</v>
      </c>
      <c r="E259" s="48" t="str">
        <f>'Project Stocktaking Template'!O260</f>
        <v>1st aug 2023</v>
      </c>
      <c r="F259" s="48" t="str">
        <f>'Project Stocktaking Template'!P260</f>
        <v>30th june 2024</v>
      </c>
      <c r="G259" s="48" t="str">
        <f>'Project Stocktaking Template'!Q260</f>
        <v>30th june 2024</v>
      </c>
      <c r="H259" s="49">
        <f>'Project Stocktaking Template'!R260</f>
        <v>5104836</v>
      </c>
      <c r="I259" s="50" t="str">
        <f>'Project Stocktaking Template'!AD260</f>
        <v>Completed</v>
      </c>
      <c r="J259" s="45"/>
      <c r="K259" s="45"/>
      <c r="L259" s="45"/>
      <c r="M259" s="45"/>
      <c r="N259" s="45"/>
      <c r="O259" s="45"/>
      <c r="P259" s="45"/>
      <c r="Q259" s="45"/>
      <c r="R259" s="45"/>
      <c r="S259" s="45"/>
      <c r="T259" s="45"/>
      <c r="U259" s="45"/>
      <c r="V259" s="45"/>
      <c r="W259" s="45"/>
      <c r="X259" s="45"/>
      <c r="Y259" s="45"/>
      <c r="Z259" s="45"/>
    </row>
    <row r="260">
      <c r="A260" s="46">
        <v>259.0</v>
      </c>
      <c r="B260" s="47" t="str">
        <f>'Project Stocktaking Template'!B261</f>
        <v>UPGRADING OF BULLA HAGAR-BULLA MADINA ACCESS ROAD TO BITUMEN STANDARD</v>
      </c>
      <c r="C260" s="47" t="str">
        <f>'Project Stocktaking Template'!H261</f>
        <v>GarissaTownship</v>
      </c>
      <c r="D260" s="47" t="str">
        <f>'Project Stocktaking Template'!I261</f>
        <v>Township</v>
      </c>
      <c r="E260" s="48" t="str">
        <f>'Project Stocktaking Template'!O261</f>
        <v>1st aug 2023</v>
      </c>
      <c r="F260" s="48" t="str">
        <f>'Project Stocktaking Template'!P261</f>
        <v>30th june 2024</v>
      </c>
      <c r="G260" s="48" t="str">
        <f>'Project Stocktaking Template'!Q261</f>
        <v>30th june 2024</v>
      </c>
      <c r="H260" s="49">
        <f>'Project Stocktaking Template'!R261</f>
        <v>9500000</v>
      </c>
      <c r="I260" s="50" t="str">
        <f>'Project Stocktaking Template'!AD261</f>
        <v>Completed</v>
      </c>
      <c r="J260" s="45"/>
      <c r="K260" s="45"/>
      <c r="L260" s="45"/>
      <c r="M260" s="45"/>
      <c r="N260" s="45"/>
      <c r="O260" s="45"/>
      <c r="P260" s="45"/>
      <c r="Q260" s="45"/>
      <c r="R260" s="45"/>
      <c r="S260" s="45"/>
      <c r="T260" s="45"/>
      <c r="U260" s="45"/>
      <c r="V260" s="45"/>
      <c r="W260" s="45"/>
      <c r="X260" s="45"/>
      <c r="Y260" s="45"/>
      <c r="Z260" s="45"/>
    </row>
    <row r="261">
      <c r="A261" s="51">
        <v>260.0</v>
      </c>
      <c r="B261" s="47" t="str">
        <f>'Project Stocktaking Template'!B262</f>
        <v>BITUMEN ROAD AT BULA MADINA BULA HAGAR ROAD</v>
      </c>
      <c r="C261" s="47" t="str">
        <f>'Project Stocktaking Template'!H262</f>
        <v>GarissaTownship</v>
      </c>
      <c r="D261" s="47" t="str">
        <f>'Project Stocktaking Template'!I262</f>
        <v>Township</v>
      </c>
      <c r="E261" s="48" t="str">
        <f>'Project Stocktaking Template'!O262</f>
        <v>1st aug 2023</v>
      </c>
      <c r="F261" s="48" t="str">
        <f>'Project Stocktaking Template'!P262</f>
        <v>30th june 2024</v>
      </c>
      <c r="G261" s="48" t="str">
        <f>'Project Stocktaking Template'!Q262</f>
        <v>30th june 2024</v>
      </c>
      <c r="H261" s="49">
        <f>'Project Stocktaking Template'!R262</f>
        <v>1050880</v>
      </c>
      <c r="I261" s="50" t="str">
        <f>'Project Stocktaking Template'!AD262</f>
        <v>Completed</v>
      </c>
      <c r="J261" s="45"/>
      <c r="K261" s="45"/>
      <c r="L261" s="45"/>
      <c r="M261" s="45"/>
      <c r="N261" s="45"/>
      <c r="O261" s="45"/>
      <c r="P261" s="45"/>
      <c r="Q261" s="45"/>
      <c r="R261" s="45"/>
      <c r="S261" s="45"/>
      <c r="T261" s="45"/>
      <c r="U261" s="45"/>
      <c r="V261" s="45"/>
      <c r="W261" s="45"/>
      <c r="X261" s="45"/>
      <c r="Y261" s="45"/>
      <c r="Z261" s="45"/>
    </row>
    <row r="262">
      <c r="A262" s="46">
        <v>261.0</v>
      </c>
      <c r="B262" s="47" t="str">
        <f>'Project Stocktaking Template'!B263</f>
        <v>MAINTAINANACE OF FARM ACCESS ROAD</v>
      </c>
      <c r="C262" s="47" t="str">
        <f>'Project Stocktaking Template'!H263</f>
        <v>GarissaTownship</v>
      </c>
      <c r="D262" s="47" t="str">
        <f>'Project Stocktaking Template'!I263</f>
        <v>Township</v>
      </c>
      <c r="E262" s="48" t="str">
        <f>'Project Stocktaking Template'!O263</f>
        <v>1st aug 2023</v>
      </c>
      <c r="F262" s="48" t="str">
        <f>'Project Stocktaking Template'!P263</f>
        <v>30th june 2024</v>
      </c>
      <c r="G262" s="48" t="str">
        <f>'Project Stocktaking Template'!Q263</f>
        <v>30th june 2024</v>
      </c>
      <c r="H262" s="49">
        <f>'Project Stocktaking Template'!R263</f>
        <v>4275000</v>
      </c>
      <c r="I262" s="50" t="str">
        <f>'Project Stocktaking Template'!AD263</f>
        <v>Completed</v>
      </c>
      <c r="J262" s="45"/>
      <c r="K262" s="45"/>
      <c r="L262" s="45"/>
      <c r="M262" s="45"/>
      <c r="N262" s="45"/>
      <c r="O262" s="45"/>
      <c r="P262" s="45"/>
      <c r="Q262" s="45"/>
      <c r="R262" s="45"/>
      <c r="S262" s="45"/>
      <c r="T262" s="45"/>
      <c r="U262" s="45"/>
      <c r="V262" s="45"/>
      <c r="W262" s="45"/>
      <c r="X262" s="45"/>
      <c r="Y262" s="45"/>
      <c r="Z262" s="45"/>
    </row>
    <row r="263">
      <c r="A263" s="51">
        <v>262.0</v>
      </c>
      <c r="B263" s="47" t="str">
        <f>'Project Stocktaking Template'!B264</f>
        <v>RENOVATION AT COUNTY HEADQUATER OFFICES</v>
      </c>
      <c r="C263" s="47" t="str">
        <f>'Project Stocktaking Template'!H264</f>
        <v>GarissaTownship</v>
      </c>
      <c r="D263" s="47" t="str">
        <f>'Project Stocktaking Template'!I264</f>
        <v>Township</v>
      </c>
      <c r="E263" s="48" t="str">
        <f>'Project Stocktaking Template'!O264</f>
        <v>1st aug 2023</v>
      </c>
      <c r="F263" s="48" t="str">
        <f>'Project Stocktaking Template'!P264</f>
        <v>30th june 2024</v>
      </c>
      <c r="G263" s="48" t="str">
        <f>'Project Stocktaking Template'!Q264</f>
        <v>30th june 2024</v>
      </c>
      <c r="H263" s="49">
        <f>'Project Stocktaking Template'!R264</f>
        <v>1233974</v>
      </c>
      <c r="I263" s="50" t="str">
        <f>'Project Stocktaking Template'!AD264</f>
        <v>Completed</v>
      </c>
      <c r="J263" s="45"/>
      <c r="K263" s="45"/>
      <c r="L263" s="45"/>
      <c r="M263" s="45"/>
      <c r="N263" s="45"/>
      <c r="O263" s="45"/>
      <c r="P263" s="45"/>
      <c r="Q263" s="45"/>
      <c r="R263" s="45"/>
      <c r="S263" s="45"/>
      <c r="T263" s="45"/>
      <c r="U263" s="45"/>
      <c r="V263" s="45"/>
      <c r="W263" s="45"/>
      <c r="X263" s="45"/>
      <c r="Y263" s="45"/>
      <c r="Z263" s="45"/>
    </row>
    <row r="264">
      <c r="A264" s="46">
        <v>263.0</v>
      </c>
      <c r="B264" s="47" t="str">
        <f>'Project Stocktaking Template'!B265</f>
        <v>RENOVATION AT DG AND COUNTY AFFAIR OFFICES</v>
      </c>
      <c r="C264" s="47" t="str">
        <f>'Project Stocktaking Template'!H265</f>
        <v>GarissaTownship</v>
      </c>
      <c r="D264" s="47" t="str">
        <f>'Project Stocktaking Template'!I265</f>
        <v>Township</v>
      </c>
      <c r="E264" s="48" t="str">
        <f>'Project Stocktaking Template'!O265</f>
        <v>1st aug 2023</v>
      </c>
      <c r="F264" s="48" t="str">
        <f>'Project Stocktaking Template'!P265</f>
        <v>30th june 2024</v>
      </c>
      <c r="G264" s="48" t="str">
        <f>'Project Stocktaking Template'!Q265</f>
        <v>30th june 2024</v>
      </c>
      <c r="H264" s="49">
        <f>'Project Stocktaking Template'!R265</f>
        <v>4370000</v>
      </c>
      <c r="I264" s="50" t="str">
        <f>'Project Stocktaking Template'!AD265</f>
        <v>Completed</v>
      </c>
      <c r="J264" s="45"/>
      <c r="K264" s="45"/>
      <c r="L264" s="45"/>
      <c r="M264" s="45"/>
      <c r="N264" s="45"/>
      <c r="O264" s="45"/>
      <c r="P264" s="45"/>
      <c r="Q264" s="45"/>
      <c r="R264" s="45"/>
      <c r="S264" s="45"/>
      <c r="T264" s="45"/>
      <c r="U264" s="45"/>
      <c r="V264" s="45"/>
      <c r="W264" s="45"/>
      <c r="X264" s="45"/>
      <c r="Y264" s="45"/>
      <c r="Z264" s="45"/>
    </row>
    <row r="265">
      <c r="A265" s="51">
        <v>264.0</v>
      </c>
      <c r="B265" s="47" t="str">
        <f>'Project Stocktaking Template'!B266</f>
        <v>REHABILATATION AT BOGYAR BOREHOLES</v>
      </c>
      <c r="C265" s="47" t="str">
        <f>'Project Stocktaking Template'!H266</f>
        <v>Dadaab</v>
      </c>
      <c r="D265" s="47" t="str">
        <f>'Project Stocktaking Template'!I266</f>
        <v>Dadaab</v>
      </c>
      <c r="E265" s="48" t="str">
        <f>'Project Stocktaking Template'!O266</f>
        <v>1st aug 2023</v>
      </c>
      <c r="F265" s="48" t="str">
        <f>'Project Stocktaking Template'!P266</f>
        <v>30th june 2024</v>
      </c>
      <c r="G265" s="48" t="str">
        <f>'Project Stocktaking Template'!Q266</f>
        <v>30th june 2024</v>
      </c>
      <c r="H265" s="49">
        <f>'Project Stocktaking Template'!R266</f>
        <v>4560000</v>
      </c>
      <c r="I265" s="50" t="str">
        <f>'Project Stocktaking Template'!AD266</f>
        <v>Completed</v>
      </c>
      <c r="J265" s="45"/>
      <c r="K265" s="45"/>
      <c r="L265" s="45"/>
      <c r="M265" s="45"/>
      <c r="N265" s="45"/>
      <c r="O265" s="45"/>
      <c r="P265" s="45"/>
      <c r="Q265" s="45"/>
      <c r="R265" s="45"/>
      <c r="S265" s="45"/>
      <c r="T265" s="45"/>
      <c r="U265" s="45"/>
      <c r="V265" s="45"/>
      <c r="W265" s="45"/>
      <c r="X265" s="45"/>
      <c r="Y265" s="45"/>
      <c r="Z265" s="45"/>
    </row>
    <row r="266">
      <c r="A266" s="46">
        <v>265.0</v>
      </c>
      <c r="B266" s="47" t="str">
        <f>'Project Stocktaking Template'!B267</f>
        <v>RENOVATION OF BALAMBALA DISPENSARY</v>
      </c>
      <c r="C266" s="47" t="str">
        <f>'Project Stocktaking Template'!H267</f>
        <v>Balambala</v>
      </c>
      <c r="D266" s="47" t="str">
        <f>'Project Stocktaking Template'!I267</f>
        <v>Danyere</v>
      </c>
      <c r="E266" s="48" t="str">
        <f>'Project Stocktaking Template'!O267</f>
        <v>1st aug 2023</v>
      </c>
      <c r="F266" s="48" t="str">
        <f>'Project Stocktaking Template'!P267</f>
        <v>30th june 2024</v>
      </c>
      <c r="G266" s="48" t="str">
        <f>'Project Stocktaking Template'!Q267</f>
        <v>30th june 2024</v>
      </c>
      <c r="H266" s="49">
        <f>'Project Stocktaking Template'!R267</f>
        <v>729462</v>
      </c>
      <c r="I266" s="50" t="str">
        <f>'Project Stocktaking Template'!AD267</f>
        <v>Completed</v>
      </c>
      <c r="J266" s="45"/>
      <c r="K266" s="45"/>
      <c r="L266" s="45"/>
      <c r="M266" s="45"/>
      <c r="N266" s="45"/>
      <c r="O266" s="45"/>
      <c r="P266" s="45"/>
      <c r="Q266" s="45"/>
      <c r="R266" s="45"/>
      <c r="S266" s="45"/>
      <c r="T266" s="45"/>
      <c r="U266" s="45"/>
      <c r="V266" s="45"/>
      <c r="W266" s="45"/>
      <c r="X266" s="45"/>
      <c r="Y266" s="45"/>
      <c r="Z266" s="45"/>
    </row>
    <row r="267">
      <c r="A267" s="51">
        <v>266.0</v>
      </c>
      <c r="B267" s="47" t="str">
        <f>'Project Stocktaking Template'!B268</f>
        <v>MAINTAINANACE OF FARM ACCESS ROAD</v>
      </c>
      <c r="C267" s="47" t="str">
        <f>'Project Stocktaking Template'!H268</f>
        <v>GarissaTownship</v>
      </c>
      <c r="D267" s="47" t="str">
        <f>'Project Stocktaking Template'!I268</f>
        <v>Township</v>
      </c>
      <c r="E267" s="48" t="str">
        <f>'Project Stocktaking Template'!O268</f>
        <v>1st aug 2023</v>
      </c>
      <c r="F267" s="48" t="str">
        <f>'Project Stocktaking Template'!P268</f>
        <v>30th june 2024</v>
      </c>
      <c r="G267" s="48" t="str">
        <f>'Project Stocktaking Template'!Q268</f>
        <v>30th june 2024</v>
      </c>
      <c r="H267" s="49">
        <f>'Project Stocktaking Template'!R268</f>
        <v>1620227</v>
      </c>
      <c r="I267" s="50" t="str">
        <f>'Project Stocktaking Template'!AD268</f>
        <v>Completed</v>
      </c>
      <c r="J267" s="45"/>
      <c r="K267" s="45"/>
      <c r="L267" s="45"/>
      <c r="M267" s="45"/>
      <c r="N267" s="45"/>
      <c r="O267" s="45"/>
      <c r="P267" s="45"/>
      <c r="Q267" s="45"/>
      <c r="R267" s="45"/>
      <c r="S267" s="45"/>
      <c r="T267" s="45"/>
      <c r="U267" s="45"/>
      <c r="V267" s="45"/>
      <c r="W267" s="45"/>
      <c r="X267" s="45"/>
      <c r="Y267" s="45"/>
      <c r="Z267" s="45"/>
    </row>
    <row r="268">
      <c r="A268" s="46">
        <v>267.0</v>
      </c>
      <c r="B268" s="47" t="str">
        <f>'Project Stocktaking Template'!B269</f>
        <v>RENOVATION OF IJARA HOSPITAL</v>
      </c>
      <c r="C268" s="47" t="str">
        <f>'Project Stocktaking Template'!H269</f>
        <v>Ijara</v>
      </c>
      <c r="D268" s="47" t="str">
        <f>'Project Stocktaking Template'!I269</f>
        <v>Township</v>
      </c>
      <c r="E268" s="48" t="str">
        <f>'Project Stocktaking Template'!O269</f>
        <v>1st aug 2023</v>
      </c>
      <c r="F268" s="48" t="str">
        <f>'Project Stocktaking Template'!P269</f>
        <v>30th june 2024</v>
      </c>
      <c r="G268" s="48" t="str">
        <f>'Project Stocktaking Template'!Q269</f>
        <v>30th june 2024</v>
      </c>
      <c r="H268" s="49">
        <f>'Project Stocktaking Template'!R269</f>
        <v>1691261</v>
      </c>
      <c r="I268" s="50" t="str">
        <f>'Project Stocktaking Template'!AD269</f>
        <v>Completed</v>
      </c>
      <c r="J268" s="45"/>
      <c r="K268" s="45"/>
      <c r="L268" s="45"/>
      <c r="M268" s="45"/>
      <c r="N268" s="45"/>
      <c r="O268" s="45"/>
      <c r="P268" s="45"/>
      <c r="Q268" s="45"/>
      <c r="R268" s="45"/>
      <c r="S268" s="45"/>
      <c r="T268" s="45"/>
      <c r="U268" s="45"/>
      <c r="V268" s="45"/>
      <c r="W268" s="45"/>
      <c r="X268" s="45"/>
      <c r="Y268" s="45"/>
      <c r="Z268" s="45"/>
    </row>
    <row r="269">
      <c r="A269" s="51">
        <v>268.0</v>
      </c>
      <c r="B269" s="47" t="str">
        <f>'Project Stocktaking Template'!B270</f>
        <v>RENOVATIONNOF MODOGAHSE HOSPITAL</v>
      </c>
      <c r="C269" s="47" t="str">
        <f>'Project Stocktaking Template'!H270</f>
        <v>Lagdera</v>
      </c>
      <c r="D269" s="47" t="str">
        <f>'Project Stocktaking Template'!I270</f>
        <v>Galbet</v>
      </c>
      <c r="E269" s="48" t="str">
        <f>'Project Stocktaking Template'!O270</f>
        <v>1st aug 2023</v>
      </c>
      <c r="F269" s="48" t="str">
        <f>'Project Stocktaking Template'!P270</f>
        <v>30th june 2024</v>
      </c>
      <c r="G269" s="48" t="str">
        <f>'Project Stocktaking Template'!Q270</f>
        <v>30th june 2024</v>
      </c>
      <c r="H269" s="49">
        <f>'Project Stocktaking Template'!R270</f>
        <v>1900000</v>
      </c>
      <c r="I269" s="50" t="str">
        <f>'Project Stocktaking Template'!AD270</f>
        <v>Completed</v>
      </c>
      <c r="J269" s="45"/>
      <c r="K269" s="45"/>
      <c r="L269" s="45"/>
      <c r="M269" s="45"/>
      <c r="N269" s="45"/>
      <c r="O269" s="45"/>
      <c r="P269" s="45"/>
      <c r="Q269" s="45"/>
      <c r="R269" s="45"/>
      <c r="S269" s="45"/>
      <c r="T269" s="45"/>
      <c r="U269" s="45"/>
      <c r="V269" s="45"/>
      <c r="W269" s="45"/>
      <c r="X269" s="45"/>
      <c r="Y269" s="45"/>
      <c r="Z269" s="45"/>
    </row>
    <row r="270">
      <c r="A270" s="46">
        <v>269.0</v>
      </c>
      <c r="B270" s="47" t="str">
        <f>'Project Stocktaking Template'!B271</f>
        <v>MOIT WATER PAN</v>
      </c>
      <c r="C270" s="47" t="str">
        <f>'Project Stocktaking Template'!H271</f>
        <v>GarissaTownship</v>
      </c>
      <c r="D270" s="47" t="str">
        <f>'Project Stocktaking Template'!I271</f>
        <v>Township</v>
      </c>
      <c r="E270" s="48" t="str">
        <f>'Project Stocktaking Template'!O271</f>
        <v>1st aug 2023</v>
      </c>
      <c r="F270" s="48" t="str">
        <f>'Project Stocktaking Template'!P271</f>
        <v>30th june 2024</v>
      </c>
      <c r="G270" s="48" t="str">
        <f>'Project Stocktaking Template'!Q271</f>
        <v>30th june 2024</v>
      </c>
      <c r="H270" s="49">
        <f>'Project Stocktaking Template'!R271</f>
        <v>3000000</v>
      </c>
      <c r="I270" s="50" t="str">
        <f>'Project Stocktaking Template'!AD271</f>
        <v>Completed</v>
      </c>
      <c r="J270" s="45"/>
      <c r="K270" s="45"/>
      <c r="L270" s="45"/>
      <c r="M270" s="45"/>
      <c r="N270" s="45"/>
      <c r="O270" s="45"/>
      <c r="P270" s="45"/>
      <c r="Q270" s="45"/>
      <c r="R270" s="45"/>
      <c r="S270" s="45"/>
      <c r="T270" s="45"/>
      <c r="U270" s="45"/>
      <c r="V270" s="45"/>
      <c r="W270" s="45"/>
      <c r="X270" s="45"/>
      <c r="Y270" s="45"/>
      <c r="Z270" s="45"/>
    </row>
    <row r="271">
      <c r="A271" s="51">
        <v>270.0</v>
      </c>
      <c r="B271" s="47" t="str">
        <f>'Project Stocktaking Template'!B272</f>
        <v>RENOVATION OF FIRE STATIONS</v>
      </c>
      <c r="C271" s="47" t="str">
        <f>'Project Stocktaking Template'!H272</f>
        <v>GarissaTownship</v>
      </c>
      <c r="D271" s="47" t="str">
        <f>'Project Stocktaking Template'!I272</f>
        <v>Township</v>
      </c>
      <c r="E271" s="48" t="str">
        <f>'Project Stocktaking Template'!O272</f>
        <v>1st aug 2023</v>
      </c>
      <c r="F271" s="48" t="str">
        <f>'Project Stocktaking Template'!P272</f>
        <v>30th june 2024</v>
      </c>
      <c r="G271" s="48" t="str">
        <f>'Project Stocktaking Template'!Q272</f>
        <v>30th june 2024</v>
      </c>
      <c r="H271" s="49">
        <f>'Project Stocktaking Template'!R272</f>
        <v>5181688</v>
      </c>
      <c r="I271" s="50" t="str">
        <f>'Project Stocktaking Template'!AD272</f>
        <v>Completed</v>
      </c>
      <c r="J271" s="45"/>
      <c r="K271" s="45"/>
      <c r="L271" s="45"/>
      <c r="M271" s="45"/>
      <c r="N271" s="45"/>
      <c r="O271" s="45"/>
      <c r="P271" s="45"/>
      <c r="Q271" s="45"/>
      <c r="R271" s="45"/>
      <c r="S271" s="45"/>
      <c r="T271" s="45"/>
      <c r="U271" s="45"/>
      <c r="V271" s="45"/>
      <c r="W271" s="45"/>
      <c r="X271" s="45"/>
      <c r="Y271" s="45"/>
      <c r="Z271" s="45"/>
    </row>
    <row r="272">
      <c r="A272" s="46">
        <v>271.0</v>
      </c>
      <c r="B272" s="47" t="str">
        <f>'Project Stocktaking Template'!B273</f>
        <v>CONSTRUTCION OF WARD ADMIN</v>
      </c>
      <c r="C272" s="47" t="str">
        <f>'Project Stocktaking Template'!H273</f>
        <v>GarissaTownship</v>
      </c>
      <c r="D272" s="47" t="str">
        <f>'Project Stocktaking Template'!I273</f>
        <v>Township</v>
      </c>
      <c r="E272" s="48" t="str">
        <f>'Project Stocktaking Template'!O273</f>
        <v>1st aug 2023</v>
      </c>
      <c r="F272" s="48" t="str">
        <f>'Project Stocktaking Template'!P273</f>
        <v>30th june 2024</v>
      </c>
      <c r="G272" s="48" t="str">
        <f>'Project Stocktaking Template'!Q273</f>
        <v>30th june 2024</v>
      </c>
      <c r="H272" s="49">
        <f>'Project Stocktaking Template'!R273</f>
        <v>570000</v>
      </c>
      <c r="I272" s="50" t="str">
        <f>'Project Stocktaking Template'!AD273</f>
        <v>Completed</v>
      </c>
      <c r="J272" s="45"/>
      <c r="K272" s="45"/>
      <c r="L272" s="45"/>
      <c r="M272" s="45"/>
      <c r="N272" s="45"/>
      <c r="O272" s="45"/>
      <c r="P272" s="45"/>
      <c r="Q272" s="45"/>
      <c r="R272" s="45"/>
      <c r="S272" s="45"/>
      <c r="T272" s="45"/>
      <c r="U272" s="45"/>
      <c r="V272" s="45"/>
      <c r="W272" s="45"/>
      <c r="X272" s="45"/>
      <c r="Y272" s="45"/>
      <c r="Z272" s="45"/>
    </row>
    <row r="273">
      <c r="A273" s="51">
        <v>272.0</v>
      </c>
      <c r="B273" s="47" t="str">
        <f>'Project Stocktaking Template'!B274</f>
        <v>CONSTRUCTION OF WARD </v>
      </c>
      <c r="C273" s="47" t="str">
        <f>'Project Stocktaking Template'!H274</f>
        <v>GarissaTownship</v>
      </c>
      <c r="D273" s="47" t="str">
        <f>'Project Stocktaking Template'!I274</f>
        <v>Township</v>
      </c>
      <c r="E273" s="48" t="str">
        <f>'Project Stocktaking Template'!O274</f>
        <v>1st aug 2023</v>
      </c>
      <c r="F273" s="48" t="str">
        <f>'Project Stocktaking Template'!P274</f>
        <v>30th june 2024</v>
      </c>
      <c r="G273" s="48" t="str">
        <f>'Project Stocktaking Template'!Q274</f>
        <v>30th june 2024</v>
      </c>
      <c r="H273" s="49">
        <f>'Project Stocktaking Template'!R274</f>
        <v>855000</v>
      </c>
      <c r="I273" s="50" t="str">
        <f>'Project Stocktaking Template'!AD274</f>
        <v>Completed</v>
      </c>
      <c r="J273" s="45"/>
      <c r="K273" s="45"/>
      <c r="L273" s="45"/>
      <c r="M273" s="45"/>
      <c r="N273" s="45"/>
      <c r="O273" s="45"/>
      <c r="P273" s="45"/>
      <c r="Q273" s="45"/>
      <c r="R273" s="45"/>
      <c r="S273" s="45"/>
      <c r="T273" s="45"/>
      <c r="U273" s="45"/>
      <c r="V273" s="45"/>
      <c r="W273" s="45"/>
      <c r="X273" s="45"/>
      <c r="Y273" s="45"/>
      <c r="Z273" s="45"/>
    </row>
    <row r="274">
      <c r="A274" s="46">
        <v>273.0</v>
      </c>
      <c r="B274" s="47" t="str">
        <f>'Project Stocktaking Template'!B275</f>
        <v>CONSTRUCTION OF WARD ADMIN AT BARAKI</v>
      </c>
      <c r="C274" s="47" t="str">
        <f>'Project Stocktaking Template'!H275</f>
        <v>Lagdera</v>
      </c>
      <c r="D274" s="47" t="str">
        <f>'Project Stocktaking Template'!I275</f>
        <v>Baraki</v>
      </c>
      <c r="E274" s="48" t="str">
        <f>'Project Stocktaking Template'!O275</f>
        <v>1st aug 2023</v>
      </c>
      <c r="F274" s="48" t="str">
        <f>'Project Stocktaking Template'!P275</f>
        <v>30th june 2024</v>
      </c>
      <c r="G274" s="48" t="str">
        <f>'Project Stocktaking Template'!Q275</f>
        <v>30th june 2024</v>
      </c>
      <c r="H274" s="49">
        <f>'Project Stocktaking Template'!R275</f>
        <v>855000</v>
      </c>
      <c r="I274" s="50" t="str">
        <f>'Project Stocktaking Template'!AD275</f>
        <v>Completed</v>
      </c>
      <c r="J274" s="45"/>
      <c r="K274" s="45"/>
      <c r="L274" s="45"/>
      <c r="M274" s="45"/>
      <c r="N274" s="45"/>
      <c r="O274" s="45"/>
      <c r="P274" s="45"/>
      <c r="Q274" s="45"/>
      <c r="R274" s="45"/>
      <c r="S274" s="45"/>
      <c r="T274" s="45"/>
      <c r="U274" s="45"/>
      <c r="V274" s="45"/>
      <c r="W274" s="45"/>
      <c r="X274" s="45"/>
      <c r="Y274" s="45"/>
      <c r="Z274" s="45"/>
    </row>
    <row r="275">
      <c r="A275" s="51">
        <v>274.0</v>
      </c>
      <c r="B275" s="47" t="str">
        <f>'Project Stocktaking Template'!B276</f>
        <v>CONSTRUCTION OF WARD ADMIN AT DADAAB</v>
      </c>
      <c r="C275" s="47" t="str">
        <f>'Project Stocktaking Template'!H276</f>
        <v>Dadaab</v>
      </c>
      <c r="D275" s="47" t="str">
        <f>'Project Stocktaking Template'!I276</f>
        <v>Township</v>
      </c>
      <c r="E275" s="48" t="str">
        <f>'Project Stocktaking Template'!O276</f>
        <v>1st aug 2023</v>
      </c>
      <c r="F275" s="48" t="str">
        <f>'Project Stocktaking Template'!P276</f>
        <v>30th june 2024</v>
      </c>
      <c r="G275" s="48" t="str">
        <f>'Project Stocktaking Template'!Q276</f>
        <v>30th june 2024</v>
      </c>
      <c r="H275" s="49">
        <f>'Project Stocktaking Template'!R276</f>
        <v>855000</v>
      </c>
      <c r="I275" s="50" t="str">
        <f>'Project Stocktaking Template'!AD276</f>
        <v>Completed</v>
      </c>
      <c r="J275" s="45"/>
      <c r="K275" s="45"/>
      <c r="L275" s="45"/>
      <c r="M275" s="45"/>
      <c r="N275" s="45"/>
      <c r="O275" s="45"/>
      <c r="P275" s="45"/>
      <c r="Q275" s="45"/>
      <c r="R275" s="45"/>
      <c r="S275" s="45"/>
      <c r="T275" s="45"/>
      <c r="U275" s="45"/>
      <c r="V275" s="45"/>
      <c r="W275" s="45"/>
      <c r="X275" s="45"/>
      <c r="Y275" s="45"/>
      <c r="Z275" s="45"/>
    </row>
    <row r="276">
      <c r="A276" s="46">
        <v>275.0</v>
      </c>
      <c r="B276" s="47" t="str">
        <f>'Project Stocktaking Template'!B277</f>
        <v>CONSTRUCTION OF WARD ADMIN AT DAMAJALEY</v>
      </c>
      <c r="C276" s="47" t="str">
        <f>'Project Stocktaking Template'!H277</f>
        <v>Dadaab</v>
      </c>
      <c r="D276" s="47" t="str">
        <f>'Project Stocktaking Template'!I277</f>
        <v>Dadaab</v>
      </c>
      <c r="E276" s="48" t="str">
        <f>'Project Stocktaking Template'!O277</f>
        <v>1st aug 2023</v>
      </c>
      <c r="F276" s="48" t="str">
        <f>'Project Stocktaking Template'!P277</f>
        <v>30th june 2024</v>
      </c>
      <c r="G276" s="48" t="str">
        <f>'Project Stocktaking Template'!Q277</f>
        <v>30th june 2024</v>
      </c>
      <c r="H276" s="49">
        <f>'Project Stocktaking Template'!R277</f>
        <v>855000</v>
      </c>
      <c r="I276" s="50" t="str">
        <f>'Project Stocktaking Template'!AD277</f>
        <v>Completed</v>
      </c>
      <c r="J276" s="45"/>
      <c r="K276" s="45"/>
      <c r="L276" s="45"/>
      <c r="M276" s="45"/>
      <c r="N276" s="45"/>
      <c r="O276" s="45"/>
      <c r="P276" s="45"/>
      <c r="Q276" s="45"/>
      <c r="R276" s="45"/>
      <c r="S276" s="45"/>
      <c r="T276" s="45"/>
      <c r="U276" s="45"/>
      <c r="V276" s="45"/>
      <c r="W276" s="45"/>
      <c r="X276" s="45"/>
      <c r="Y276" s="45"/>
      <c r="Z276" s="45"/>
    </row>
    <row r="277">
      <c r="A277" s="51">
        <v>276.0</v>
      </c>
      <c r="B277" s="47" t="str">
        <f>'Project Stocktaking Template'!B278</f>
        <v>CONSTRUCTION OF WARD ADMIN AT HULUGHO</v>
      </c>
      <c r="C277" s="47" t="str">
        <f>'Project Stocktaking Template'!H278</f>
        <v>Ijara</v>
      </c>
      <c r="D277" s="47" t="str">
        <f>'Project Stocktaking Template'!I278</f>
        <v>Hulugho</v>
      </c>
      <c r="E277" s="48" t="str">
        <f>'Project Stocktaking Template'!O278</f>
        <v>1st aug 2023</v>
      </c>
      <c r="F277" s="48" t="str">
        <f>'Project Stocktaking Template'!P278</f>
        <v>30th june 2024</v>
      </c>
      <c r="G277" s="48" t="str">
        <f>'Project Stocktaking Template'!Q278</f>
        <v>30th june 2024</v>
      </c>
      <c r="H277" s="49">
        <f>'Project Stocktaking Template'!R278</f>
        <v>855000</v>
      </c>
      <c r="I277" s="50" t="str">
        <f>'Project Stocktaking Template'!AD278</f>
        <v>Completed</v>
      </c>
      <c r="J277" s="45"/>
      <c r="K277" s="45"/>
      <c r="L277" s="45"/>
      <c r="M277" s="45"/>
      <c r="N277" s="45"/>
      <c r="O277" s="45"/>
      <c r="P277" s="45"/>
      <c r="Q277" s="45"/>
      <c r="R277" s="45"/>
      <c r="S277" s="45"/>
      <c r="T277" s="45"/>
      <c r="U277" s="45"/>
      <c r="V277" s="45"/>
      <c r="W277" s="45"/>
      <c r="X277" s="45"/>
      <c r="Y277" s="45"/>
      <c r="Z277" s="45"/>
    </row>
    <row r="278">
      <c r="A278" s="46">
        <v>277.0</v>
      </c>
      <c r="B278" s="47" t="str">
        <f>'Project Stocktaking Template'!B279</f>
        <v>CONSTRUCTION OF WARD ADMIN AT SABENA</v>
      </c>
      <c r="C278" s="47" t="str">
        <f>'Project Stocktaking Template'!H279</f>
        <v>Lagdera</v>
      </c>
      <c r="D278" s="47" t="str">
        <f>'Project Stocktaking Template'!I279</f>
        <v>Sabena</v>
      </c>
      <c r="E278" s="48" t="str">
        <f>'Project Stocktaking Template'!O279</f>
        <v>1st aug 2023</v>
      </c>
      <c r="F278" s="48" t="str">
        <f>'Project Stocktaking Template'!P279</f>
        <v>30th june 2024</v>
      </c>
      <c r="G278" s="48" t="str">
        <f>'Project Stocktaking Template'!Q279</f>
        <v>30th june 2024</v>
      </c>
      <c r="H278" s="49">
        <f>'Project Stocktaking Template'!R279</f>
        <v>855000</v>
      </c>
      <c r="I278" s="50" t="str">
        <f>'Project Stocktaking Template'!AD279</f>
        <v>Completed</v>
      </c>
      <c r="J278" s="45"/>
      <c r="K278" s="45"/>
      <c r="L278" s="45"/>
      <c r="M278" s="45"/>
      <c r="N278" s="45"/>
      <c r="O278" s="45"/>
      <c r="P278" s="45"/>
      <c r="Q278" s="45"/>
      <c r="R278" s="45"/>
      <c r="S278" s="45"/>
      <c r="T278" s="45"/>
      <c r="U278" s="45"/>
      <c r="V278" s="45"/>
      <c r="W278" s="45"/>
      <c r="X278" s="45"/>
      <c r="Y278" s="45"/>
      <c r="Z278" s="45"/>
    </row>
    <row r="279">
      <c r="A279" s="51">
        <v>278.0</v>
      </c>
      <c r="B279" s="47" t="str">
        <f>'Project Stocktaking Template'!B280</f>
        <v>CONSTRUCTION OF WARD ADMIN AT DANYERE</v>
      </c>
      <c r="C279" s="47" t="str">
        <f>'Project Stocktaking Template'!H280</f>
        <v>Balambala</v>
      </c>
      <c r="D279" s="47" t="str">
        <f>'Project Stocktaking Template'!I280</f>
        <v>Danyere</v>
      </c>
      <c r="E279" s="48" t="str">
        <f>'Project Stocktaking Template'!O280</f>
        <v>1st aug 2023</v>
      </c>
      <c r="F279" s="48" t="str">
        <f>'Project Stocktaking Template'!P280</f>
        <v>30th june 2024</v>
      </c>
      <c r="G279" s="48" t="str">
        <f>'Project Stocktaking Template'!Q280</f>
        <v>30th june 2024</v>
      </c>
      <c r="H279" s="49">
        <f>'Project Stocktaking Template'!R280</f>
        <v>950000</v>
      </c>
      <c r="I279" s="50" t="str">
        <f>'Project Stocktaking Template'!AD280</f>
        <v>Completed</v>
      </c>
      <c r="J279" s="45"/>
      <c r="K279" s="45"/>
      <c r="L279" s="45"/>
      <c r="M279" s="45"/>
      <c r="N279" s="45"/>
      <c r="O279" s="45"/>
      <c r="P279" s="45"/>
      <c r="Q279" s="45"/>
      <c r="R279" s="45"/>
      <c r="S279" s="45"/>
      <c r="T279" s="45"/>
      <c r="U279" s="45"/>
      <c r="V279" s="45"/>
      <c r="W279" s="45"/>
      <c r="X279" s="45"/>
      <c r="Y279" s="45"/>
      <c r="Z279" s="45"/>
    </row>
    <row r="280">
      <c r="A280" s="46">
        <v>279.0</v>
      </c>
      <c r="B280" s="47" t="str">
        <f>'Project Stocktaking Template'!B281</f>
        <v>CONSTRUCTION OF WARD ADMIN AT NANINGI</v>
      </c>
      <c r="C280" s="47" t="str">
        <f>'Project Stocktaking Template'!H281</f>
        <v>Fafi</v>
      </c>
      <c r="D280" s="47" t="str">
        <f>'Project Stocktaking Template'!I281</f>
        <v>Nanighi</v>
      </c>
      <c r="E280" s="48" t="str">
        <f>'Project Stocktaking Template'!O281</f>
        <v>1st aug 2023</v>
      </c>
      <c r="F280" s="48" t="str">
        <f>'Project Stocktaking Template'!P281</f>
        <v>30th june 2024</v>
      </c>
      <c r="G280" s="48" t="str">
        <f>'Project Stocktaking Template'!Q281</f>
        <v>30th june 2024</v>
      </c>
      <c r="H280" s="49">
        <f>'Project Stocktaking Template'!R281</f>
        <v>1140000</v>
      </c>
      <c r="I280" s="50" t="str">
        <f>'Project Stocktaking Template'!AD281</f>
        <v>Completed</v>
      </c>
      <c r="J280" s="45"/>
      <c r="K280" s="45"/>
      <c r="L280" s="45"/>
      <c r="M280" s="45"/>
      <c r="N280" s="45"/>
      <c r="O280" s="45"/>
      <c r="P280" s="45"/>
      <c r="Q280" s="45"/>
      <c r="R280" s="45"/>
      <c r="S280" s="45"/>
      <c r="T280" s="45"/>
      <c r="U280" s="45"/>
      <c r="V280" s="45"/>
      <c r="W280" s="45"/>
      <c r="X280" s="45"/>
      <c r="Y280" s="45"/>
      <c r="Z280" s="45"/>
    </row>
    <row r="281">
      <c r="A281" s="51">
        <v>280.0</v>
      </c>
      <c r="B281" s="47" t="str">
        <f>'Project Stocktaking Template'!B282</f>
        <v>CONSTRUCTION OF WARD JARAJILA</v>
      </c>
      <c r="C281" s="47" t="str">
        <f>'Project Stocktaking Template'!H282</f>
        <v>Fafi</v>
      </c>
      <c r="D281" s="47" t="str">
        <f>'Project Stocktaking Template'!I282</f>
        <v>Jarajila</v>
      </c>
      <c r="E281" s="48" t="str">
        <f>'Project Stocktaking Template'!O282</f>
        <v>1st aug 2023</v>
      </c>
      <c r="F281" s="48" t="str">
        <f>'Project Stocktaking Template'!P282</f>
        <v>30th june 2024</v>
      </c>
      <c r="G281" s="48" t="str">
        <f>'Project Stocktaking Template'!Q282</f>
        <v>30th june 2024</v>
      </c>
      <c r="H281" s="49">
        <f>'Project Stocktaking Template'!R282</f>
        <v>1140000</v>
      </c>
      <c r="I281" s="50" t="str">
        <f>'Project Stocktaking Template'!AD282</f>
        <v>Completed</v>
      </c>
      <c r="J281" s="45"/>
      <c r="K281" s="45"/>
      <c r="L281" s="45"/>
      <c r="M281" s="45"/>
      <c r="N281" s="45"/>
      <c r="O281" s="45"/>
      <c r="P281" s="45"/>
      <c r="Q281" s="45"/>
      <c r="R281" s="45"/>
      <c r="S281" s="45"/>
      <c r="T281" s="45"/>
      <c r="U281" s="45"/>
      <c r="V281" s="45"/>
      <c r="W281" s="45"/>
      <c r="X281" s="45"/>
      <c r="Y281" s="45"/>
      <c r="Z281" s="45"/>
    </row>
    <row r="282">
      <c r="A282" s="46">
        <v>281.0</v>
      </c>
      <c r="B282" s="47" t="str">
        <f>'Project Stocktaking Template'!B283</f>
        <v>CONSTRUCTION OF WARD ADMIN AT SAKA</v>
      </c>
      <c r="C282" s="47" t="str">
        <f>'Project Stocktaking Template'!H283</f>
        <v>Balambala</v>
      </c>
      <c r="D282" s="47" t="str">
        <f>'Project Stocktaking Template'!I283</f>
        <v>Saka</v>
      </c>
      <c r="E282" s="48" t="str">
        <f>'Project Stocktaking Template'!O283</f>
        <v>1st aug 2023</v>
      </c>
      <c r="F282" s="48" t="str">
        <f>'Project Stocktaking Template'!P283</f>
        <v>30th june 2024</v>
      </c>
      <c r="G282" s="48" t="str">
        <f>'Project Stocktaking Template'!Q283</f>
        <v>30th june 2024</v>
      </c>
      <c r="H282" s="49">
        <f>'Project Stocktaking Template'!R283</f>
        <v>1425000</v>
      </c>
      <c r="I282" s="50" t="str">
        <f>'Project Stocktaking Template'!AD283</f>
        <v>Completed</v>
      </c>
      <c r="J282" s="45"/>
      <c r="K282" s="45"/>
      <c r="L282" s="45"/>
      <c r="M282" s="45"/>
      <c r="N282" s="45"/>
      <c r="O282" s="45"/>
      <c r="P282" s="45"/>
      <c r="Q282" s="45"/>
      <c r="R282" s="45"/>
      <c r="S282" s="45"/>
      <c r="T282" s="45"/>
      <c r="U282" s="45"/>
      <c r="V282" s="45"/>
      <c r="W282" s="45"/>
      <c r="X282" s="45"/>
      <c r="Y282" s="45"/>
      <c r="Z282" s="45"/>
    </row>
    <row r="283">
      <c r="A283" s="51">
        <v>282.0</v>
      </c>
      <c r="B283" s="47" t="str">
        <f>'Project Stocktaking Template'!B284</f>
        <v>MAINATAINACE OF FARM ACCESSS</v>
      </c>
      <c r="C283" s="47" t="str">
        <f>'Project Stocktaking Template'!H284</f>
        <v>GarissaTownship</v>
      </c>
      <c r="D283" s="47" t="str">
        <f>'Project Stocktaking Template'!I284</f>
        <v>Township</v>
      </c>
      <c r="E283" s="48" t="str">
        <f>'Project Stocktaking Template'!O284</f>
        <v>1st aug 2023</v>
      </c>
      <c r="F283" s="48" t="str">
        <f>'Project Stocktaking Template'!P284</f>
        <v>30th june 2024</v>
      </c>
      <c r="G283" s="48" t="str">
        <f>'Project Stocktaking Template'!Q284</f>
        <v>30th june 2024</v>
      </c>
      <c r="H283" s="49">
        <f>'Project Stocktaking Template'!R284</f>
        <v>1900000</v>
      </c>
      <c r="I283" s="50" t="str">
        <f>'Project Stocktaking Template'!AD284</f>
        <v>Completed</v>
      </c>
      <c r="J283" s="45"/>
      <c r="K283" s="45"/>
      <c r="L283" s="45"/>
      <c r="M283" s="45"/>
      <c r="N283" s="45"/>
      <c r="O283" s="45"/>
      <c r="P283" s="45"/>
      <c r="Q283" s="45"/>
      <c r="R283" s="45"/>
      <c r="S283" s="45"/>
      <c r="T283" s="45"/>
      <c r="U283" s="45"/>
      <c r="V283" s="45"/>
      <c r="W283" s="45"/>
      <c r="X283" s="45"/>
      <c r="Y283" s="45"/>
      <c r="Z283" s="45"/>
    </row>
    <row r="284">
      <c r="A284" s="46">
        <v>283.0</v>
      </c>
      <c r="B284" s="47" t="str">
        <f>'Project Stocktaking Template'!B285</f>
        <v>RENOVATION OF ECD CLASSROOM AT AP CAMP PRIMARY</v>
      </c>
      <c r="C284" s="47" t="str">
        <f>'Project Stocktaking Template'!H285</f>
        <v>GarissaTownship</v>
      </c>
      <c r="D284" s="47" t="str">
        <f>'Project Stocktaking Template'!I285</f>
        <v>Galbet</v>
      </c>
      <c r="E284" s="48" t="str">
        <f>'Project Stocktaking Template'!O285</f>
        <v>1st aug 2023</v>
      </c>
      <c r="F284" s="48" t="str">
        <f>'Project Stocktaking Template'!P285</f>
        <v>30th june 2024</v>
      </c>
      <c r="G284" s="48" t="str">
        <f>'Project Stocktaking Template'!Q285</f>
        <v>30th june 2024</v>
      </c>
      <c r="H284" s="49">
        <f>'Project Stocktaking Template'!R285</f>
        <v>1900000</v>
      </c>
      <c r="I284" s="50" t="str">
        <f>'Project Stocktaking Template'!AD285</f>
        <v>Completed</v>
      </c>
      <c r="J284" s="45"/>
      <c r="K284" s="45"/>
      <c r="L284" s="45"/>
      <c r="M284" s="45"/>
      <c r="N284" s="45"/>
      <c r="O284" s="45"/>
      <c r="P284" s="45"/>
      <c r="Q284" s="45"/>
      <c r="R284" s="45"/>
      <c r="S284" s="45"/>
      <c r="T284" s="45"/>
      <c r="U284" s="45"/>
      <c r="V284" s="45"/>
      <c r="W284" s="45"/>
      <c r="X284" s="45"/>
      <c r="Y284" s="45"/>
      <c r="Z284" s="45"/>
    </row>
    <row r="285">
      <c r="A285" s="51">
        <v>284.0</v>
      </c>
      <c r="B285" s="47" t="str">
        <f>'Project Stocktaking Template'!B286</f>
        <v>CONSTRUCTION OF WARD ADMIN AT SANGAILU</v>
      </c>
      <c r="C285" s="47" t="str">
        <f>'Project Stocktaking Template'!H286</f>
        <v>Ijara</v>
      </c>
      <c r="D285" s="47" t="str">
        <f>'Project Stocktaking Template'!I286</f>
        <v>Hulugho</v>
      </c>
      <c r="E285" s="48" t="str">
        <f>'Project Stocktaking Template'!O286</f>
        <v>1st aug 2023</v>
      </c>
      <c r="F285" s="48" t="str">
        <f>'Project Stocktaking Template'!P286</f>
        <v>30th june 2024</v>
      </c>
      <c r="G285" s="48" t="str">
        <f>'Project Stocktaking Template'!Q286</f>
        <v>30th june 2024</v>
      </c>
      <c r="H285" s="49">
        <f>'Project Stocktaking Template'!R286</f>
        <v>1900000</v>
      </c>
      <c r="I285" s="50" t="str">
        <f>'Project Stocktaking Template'!AD286</f>
        <v>Completed</v>
      </c>
      <c r="J285" s="45"/>
      <c r="K285" s="45"/>
      <c r="L285" s="45"/>
      <c r="M285" s="45"/>
      <c r="N285" s="45"/>
      <c r="O285" s="45"/>
      <c r="P285" s="45"/>
      <c r="Q285" s="45"/>
      <c r="R285" s="45"/>
      <c r="S285" s="45"/>
      <c r="T285" s="45"/>
      <c r="U285" s="45"/>
      <c r="V285" s="45"/>
      <c r="W285" s="45"/>
      <c r="X285" s="45"/>
      <c r="Y285" s="45"/>
      <c r="Z285" s="45"/>
    </row>
    <row r="286">
      <c r="A286" s="46">
        <v>285.0</v>
      </c>
      <c r="B286" s="47" t="str">
        <f>'Project Stocktaking Template'!B287</f>
        <v>CONSTRUCTION OF WARD ADMIN AT BURA</v>
      </c>
      <c r="C286" s="47" t="str">
        <f>'Project Stocktaking Template'!H287</f>
        <v>Fafi</v>
      </c>
      <c r="D286" s="47" t="str">
        <f>'Project Stocktaking Template'!I287</f>
        <v>Bura</v>
      </c>
      <c r="E286" s="48" t="str">
        <f>'Project Stocktaking Template'!O287</f>
        <v>1st aug 2023</v>
      </c>
      <c r="F286" s="48" t="str">
        <f>'Project Stocktaking Template'!P287</f>
        <v>30th june 2024</v>
      </c>
      <c r="G286" s="48" t="str">
        <f>'Project Stocktaking Template'!Q287</f>
        <v>30th june 2024</v>
      </c>
      <c r="H286" s="49">
        <f>'Project Stocktaking Template'!R287</f>
        <v>2090000</v>
      </c>
      <c r="I286" s="50" t="str">
        <f>'Project Stocktaking Template'!AD287</f>
        <v>Completed</v>
      </c>
      <c r="J286" s="45"/>
      <c r="K286" s="45"/>
      <c r="L286" s="45"/>
      <c r="M286" s="45"/>
      <c r="N286" s="45"/>
      <c r="O286" s="45"/>
      <c r="P286" s="45"/>
      <c r="Q286" s="45"/>
      <c r="R286" s="45"/>
      <c r="S286" s="45"/>
      <c r="T286" s="45"/>
      <c r="U286" s="45"/>
      <c r="V286" s="45"/>
      <c r="W286" s="45"/>
      <c r="X286" s="45"/>
      <c r="Y286" s="45"/>
      <c r="Z286" s="45"/>
    </row>
    <row r="287">
      <c r="A287" s="51">
        <v>286.0</v>
      </c>
      <c r="B287" s="47" t="str">
        <f>'Project Stocktaking Template'!B288</f>
        <v>CONSTRUCTION OF WARD ADMIN</v>
      </c>
      <c r="C287" s="47" t="str">
        <f>'Project Stocktaking Template'!H288</f>
        <v>GarissaTownship</v>
      </c>
      <c r="D287" s="47" t="str">
        <f>'Project Stocktaking Template'!I288</f>
        <v>Township</v>
      </c>
      <c r="E287" s="48" t="str">
        <f>'Project Stocktaking Template'!O288</f>
        <v>1st aug 2023</v>
      </c>
      <c r="F287" s="48" t="str">
        <f>'Project Stocktaking Template'!P288</f>
        <v>30th june 2024</v>
      </c>
      <c r="G287" s="48" t="str">
        <f>'Project Stocktaking Template'!Q288</f>
        <v>30th june 2024</v>
      </c>
      <c r="H287" s="49">
        <f>'Project Stocktaking Template'!R288</f>
        <v>2090000</v>
      </c>
      <c r="I287" s="50" t="str">
        <f>'Project Stocktaking Template'!AD288</f>
        <v>Completed</v>
      </c>
      <c r="J287" s="45"/>
      <c r="K287" s="45"/>
      <c r="L287" s="45"/>
      <c r="M287" s="45"/>
      <c r="N287" s="45"/>
      <c r="O287" s="45"/>
      <c r="P287" s="45"/>
      <c r="Q287" s="45"/>
      <c r="R287" s="45"/>
      <c r="S287" s="45"/>
      <c r="T287" s="45"/>
      <c r="U287" s="45"/>
      <c r="V287" s="45"/>
      <c r="W287" s="45"/>
      <c r="X287" s="45"/>
      <c r="Y287" s="45"/>
      <c r="Z287" s="45"/>
    </row>
    <row r="288">
      <c r="A288" s="46">
        <v>287.0</v>
      </c>
      <c r="B288" s="47" t="str">
        <f>'Project Stocktaking Template'!B289</f>
        <v>CONSTRUCTION OIF WARD ADMIN</v>
      </c>
      <c r="C288" s="47" t="str">
        <f>'Project Stocktaking Template'!H289</f>
        <v>GarissaTownship</v>
      </c>
      <c r="D288" s="47" t="str">
        <f>'Project Stocktaking Template'!I289</f>
        <v>Township</v>
      </c>
      <c r="E288" s="48" t="str">
        <f>'Project Stocktaking Template'!O289</f>
        <v>1st aug 2023</v>
      </c>
      <c r="F288" s="48" t="str">
        <f>'Project Stocktaking Template'!P289</f>
        <v>30th june 2024</v>
      </c>
      <c r="G288" s="48" t="str">
        <f>'Project Stocktaking Template'!Q289</f>
        <v>30th june 2024</v>
      </c>
      <c r="H288" s="49">
        <f>'Project Stocktaking Template'!R289</f>
        <v>2090000</v>
      </c>
      <c r="I288" s="50" t="str">
        <f>'Project Stocktaking Template'!AD289</f>
        <v>Completed</v>
      </c>
      <c r="J288" s="45"/>
      <c r="K288" s="45"/>
      <c r="L288" s="45"/>
      <c r="M288" s="45"/>
      <c r="N288" s="45"/>
      <c r="O288" s="45"/>
      <c r="P288" s="45"/>
      <c r="Q288" s="45"/>
      <c r="R288" s="45"/>
      <c r="S288" s="45"/>
      <c r="T288" s="45"/>
      <c r="U288" s="45"/>
      <c r="V288" s="45"/>
      <c r="W288" s="45"/>
      <c r="X288" s="45"/>
      <c r="Y288" s="45"/>
      <c r="Z288" s="45"/>
    </row>
    <row r="289">
      <c r="A289" s="51">
        <v>288.0</v>
      </c>
      <c r="B289" s="47" t="str">
        <f>'Project Stocktaking Template'!B290</f>
        <v>CONSTRUCTION OF WARD ADMIN AT JARAJARA</v>
      </c>
      <c r="C289" s="47" t="str">
        <f>'Project Stocktaking Template'!H290</f>
        <v>Balambala</v>
      </c>
      <c r="D289" s="47" t="str">
        <f>'Project Stocktaking Template'!I290</f>
        <v>Jarajara</v>
      </c>
      <c r="E289" s="48" t="str">
        <f>'Project Stocktaking Template'!O290</f>
        <v>1st aug 2023</v>
      </c>
      <c r="F289" s="48" t="str">
        <f>'Project Stocktaking Template'!P290</f>
        <v>30th june 2024</v>
      </c>
      <c r="G289" s="48" t="str">
        <f>'Project Stocktaking Template'!Q290</f>
        <v>30th june 2024</v>
      </c>
      <c r="H289" s="49">
        <f>'Project Stocktaking Template'!R290</f>
        <v>2090000</v>
      </c>
      <c r="I289" s="50" t="str">
        <f>'Project Stocktaking Template'!AD290</f>
        <v>Completed</v>
      </c>
      <c r="J289" s="45"/>
      <c r="K289" s="45"/>
      <c r="L289" s="45"/>
      <c r="M289" s="45"/>
      <c r="N289" s="45"/>
      <c r="O289" s="45"/>
      <c r="P289" s="45"/>
      <c r="Q289" s="45"/>
      <c r="R289" s="45"/>
      <c r="S289" s="45"/>
      <c r="T289" s="45"/>
      <c r="U289" s="45"/>
      <c r="V289" s="45"/>
      <c r="W289" s="45"/>
      <c r="X289" s="45"/>
      <c r="Y289" s="45"/>
      <c r="Z289" s="45"/>
    </row>
    <row r="290">
      <c r="A290" s="46">
        <v>289.0</v>
      </c>
      <c r="B290" s="47" t="str">
        <f>'Project Stocktaking Template'!B291</f>
        <v>CONSTRUCTION OF WARD ADMIN AT BALAMABALA</v>
      </c>
      <c r="C290" s="47" t="str">
        <f>'Project Stocktaking Template'!H291</f>
        <v>Balambala</v>
      </c>
      <c r="D290" s="47" t="str">
        <f>'Project Stocktaking Template'!I291</f>
        <v>Balambala</v>
      </c>
      <c r="E290" s="48" t="str">
        <f>'Project Stocktaking Template'!O291</f>
        <v>1st aug 2023</v>
      </c>
      <c r="F290" s="48" t="str">
        <f>'Project Stocktaking Template'!P291</f>
        <v>30th june 2024</v>
      </c>
      <c r="G290" s="48" t="str">
        <f>'Project Stocktaking Template'!Q291</f>
        <v>30th june 2024</v>
      </c>
      <c r="H290" s="49">
        <f>'Project Stocktaking Template'!R291</f>
        <v>2090000</v>
      </c>
      <c r="I290" s="50" t="str">
        <f>'Project Stocktaking Template'!AD291</f>
        <v>Completed</v>
      </c>
      <c r="J290" s="45"/>
      <c r="K290" s="45"/>
      <c r="L290" s="45"/>
      <c r="M290" s="45"/>
      <c r="N290" s="45"/>
      <c r="O290" s="45"/>
      <c r="P290" s="45"/>
      <c r="Q290" s="45"/>
      <c r="R290" s="45"/>
      <c r="S290" s="45"/>
      <c r="T290" s="45"/>
      <c r="U290" s="45"/>
      <c r="V290" s="45"/>
      <c r="W290" s="45"/>
      <c r="X290" s="45"/>
      <c r="Y290" s="45"/>
      <c r="Z290" s="45"/>
    </row>
    <row r="291">
      <c r="A291" s="51">
        <v>290.0</v>
      </c>
      <c r="B291" s="47" t="str">
        <f>'Project Stocktaking Template'!B292</f>
        <v>CONSTRUCTION OF WARD ADMIN </v>
      </c>
      <c r="C291" s="47" t="str">
        <f>'Project Stocktaking Template'!H292</f>
        <v>GarissaTownship</v>
      </c>
      <c r="D291" s="47" t="str">
        <f>'Project Stocktaking Template'!I292</f>
        <v>Township</v>
      </c>
      <c r="E291" s="48" t="str">
        <f>'Project Stocktaking Template'!O292</f>
        <v>1st aug 2023</v>
      </c>
      <c r="F291" s="48" t="str">
        <f>'Project Stocktaking Template'!P292</f>
        <v>30th june 2024</v>
      </c>
      <c r="G291" s="48" t="str">
        <f>'Project Stocktaking Template'!Q292</f>
        <v>30th june 2024</v>
      </c>
      <c r="H291" s="49">
        <f>'Project Stocktaking Template'!R292</f>
        <v>2090000</v>
      </c>
      <c r="I291" s="50" t="str">
        <f>'Project Stocktaking Template'!AD292</f>
        <v>Completed</v>
      </c>
      <c r="J291" s="45"/>
      <c r="K291" s="45"/>
      <c r="L291" s="45"/>
      <c r="M291" s="45"/>
      <c r="N291" s="45"/>
      <c r="O291" s="45"/>
      <c r="P291" s="45"/>
      <c r="Q291" s="45"/>
      <c r="R291" s="45"/>
      <c r="S291" s="45"/>
      <c r="T291" s="45"/>
      <c r="U291" s="45"/>
      <c r="V291" s="45"/>
      <c r="W291" s="45"/>
      <c r="X291" s="45"/>
      <c r="Y291" s="45"/>
      <c r="Z291" s="45"/>
    </row>
    <row r="292">
      <c r="A292" s="46">
        <v>291.0</v>
      </c>
      <c r="B292" s="47" t="str">
        <f>'Project Stocktaking Template'!B293</f>
        <v>RENNOVATION ECD CLASSROOM AT HAMEY</v>
      </c>
      <c r="C292" s="47" t="str">
        <f>'Project Stocktaking Template'!H293</f>
        <v>Dadaab</v>
      </c>
      <c r="D292" s="47" t="str">
        <f>'Project Stocktaking Template'!I293</f>
        <v>Dadaab</v>
      </c>
      <c r="E292" s="48" t="str">
        <f>'Project Stocktaking Template'!O293</f>
        <v>1st aug 2023</v>
      </c>
      <c r="F292" s="48" t="str">
        <f>'Project Stocktaking Template'!P293</f>
        <v>30th june 2024</v>
      </c>
      <c r="G292" s="48" t="str">
        <f>'Project Stocktaking Template'!Q293</f>
        <v>30th june 2024</v>
      </c>
      <c r="H292" s="49">
        <f>'Project Stocktaking Template'!R293</f>
        <v>234000</v>
      </c>
      <c r="I292" s="50" t="str">
        <f>'Project Stocktaking Template'!AD293</f>
        <v>Completed</v>
      </c>
      <c r="J292" s="45"/>
      <c r="K292" s="45"/>
      <c r="L292" s="45"/>
      <c r="M292" s="45"/>
      <c r="N292" s="45"/>
      <c r="O292" s="45"/>
      <c r="P292" s="45"/>
      <c r="Q292" s="45"/>
      <c r="R292" s="45"/>
      <c r="S292" s="45"/>
      <c r="T292" s="45"/>
      <c r="U292" s="45"/>
      <c r="V292" s="45"/>
      <c r="W292" s="45"/>
      <c r="X292" s="45"/>
      <c r="Y292" s="45"/>
      <c r="Z292" s="45"/>
    </row>
    <row r="293">
      <c r="A293" s="51">
        <v>292.0</v>
      </c>
      <c r="B293" s="47" t="str">
        <f>'Project Stocktaking Template'!B294</f>
        <v>CHAINLINK FENCE AT MASLAH PRIMARY</v>
      </c>
      <c r="C293" s="47" t="str">
        <f>'Project Stocktaking Template'!H294</f>
        <v>GarissaTownship</v>
      </c>
      <c r="D293" s="47" t="str">
        <f>'Project Stocktaking Template'!I294</f>
        <v>Township</v>
      </c>
      <c r="E293" s="48" t="str">
        <f>'Project Stocktaking Template'!O294</f>
        <v>1st aug 2023</v>
      </c>
      <c r="F293" s="48" t="str">
        <f>'Project Stocktaking Template'!P294</f>
        <v>30th june 2024</v>
      </c>
      <c r="G293" s="48" t="str">
        <f>'Project Stocktaking Template'!Q294</f>
        <v>30th june 2024</v>
      </c>
      <c r="H293" s="49">
        <f>'Project Stocktaking Template'!R294</f>
        <v>237900</v>
      </c>
      <c r="I293" s="50" t="str">
        <f>'Project Stocktaking Template'!AD294</f>
        <v>Completed</v>
      </c>
      <c r="J293" s="45"/>
      <c r="K293" s="45"/>
      <c r="L293" s="45"/>
      <c r="M293" s="45"/>
      <c r="N293" s="45"/>
      <c r="O293" s="45"/>
      <c r="P293" s="45"/>
      <c r="Q293" s="45"/>
      <c r="R293" s="45"/>
      <c r="S293" s="45"/>
      <c r="T293" s="45"/>
      <c r="U293" s="45"/>
      <c r="V293" s="45"/>
      <c r="W293" s="45"/>
      <c r="X293" s="45"/>
      <c r="Y293" s="45"/>
      <c r="Z293" s="45"/>
    </row>
    <row r="294">
      <c r="A294" s="46">
        <v>293.0</v>
      </c>
      <c r="B294" s="47" t="str">
        <f>'Project Stocktaking Template'!B295</f>
        <v>RENNOVATION OF GK HOUSE MG23</v>
      </c>
      <c r="C294" s="47" t="str">
        <f>'Project Stocktaking Template'!H295</f>
        <v>GarissaTownship</v>
      </c>
      <c r="D294" s="47" t="str">
        <f>'Project Stocktaking Template'!I295</f>
        <v>Township</v>
      </c>
      <c r="E294" s="48" t="str">
        <f>'Project Stocktaking Template'!O295</f>
        <v>1st aug 2023</v>
      </c>
      <c r="F294" s="48" t="str">
        <f>'Project Stocktaking Template'!P295</f>
        <v>30th june 2024</v>
      </c>
      <c r="G294" s="48" t="str">
        <f>'Project Stocktaking Template'!Q295</f>
        <v>30th june 2024</v>
      </c>
      <c r="H294" s="49">
        <f>'Project Stocktaking Template'!R295</f>
        <v>238000</v>
      </c>
      <c r="I294" s="50" t="str">
        <f>'Project Stocktaking Template'!AD295</f>
        <v>Completed</v>
      </c>
      <c r="J294" s="45"/>
      <c r="K294" s="45"/>
      <c r="L294" s="45"/>
      <c r="M294" s="45"/>
      <c r="N294" s="45"/>
      <c r="O294" s="45"/>
      <c r="P294" s="45"/>
      <c r="Q294" s="45"/>
      <c r="R294" s="45"/>
      <c r="S294" s="45"/>
      <c r="T294" s="45"/>
      <c r="U294" s="45"/>
      <c r="V294" s="45"/>
      <c r="W294" s="45"/>
      <c r="X294" s="45"/>
      <c r="Y294" s="45"/>
      <c r="Z294" s="45"/>
    </row>
    <row r="295">
      <c r="A295" s="51">
        <v>294.0</v>
      </c>
      <c r="B295" s="47" t="str">
        <f>'Project Stocktaking Template'!B296</f>
        <v>CHAINLINK FENCE AT BULLA BANAN BOREHOLE</v>
      </c>
      <c r="C295" s="47" t="str">
        <f>'Project Stocktaking Template'!H296</f>
        <v>GarissaTownship</v>
      </c>
      <c r="D295" s="47" t="str">
        <f>'Project Stocktaking Template'!I296</f>
        <v>Township</v>
      </c>
      <c r="E295" s="48" t="str">
        <f>'Project Stocktaking Template'!O296</f>
        <v>1st aug 2023</v>
      </c>
      <c r="F295" s="48" t="str">
        <f>'Project Stocktaking Template'!P296</f>
        <v>30th june 2024</v>
      </c>
      <c r="G295" s="48" t="str">
        <f>'Project Stocktaking Template'!Q296</f>
        <v>30th june 2024</v>
      </c>
      <c r="H295" s="49">
        <f>'Project Stocktaking Template'!R296</f>
        <v>239000</v>
      </c>
      <c r="I295" s="50" t="str">
        <f>'Project Stocktaking Template'!AD296</f>
        <v>Completed</v>
      </c>
      <c r="J295" s="45"/>
      <c r="K295" s="45"/>
      <c r="L295" s="45"/>
      <c r="M295" s="45"/>
      <c r="N295" s="45"/>
      <c r="O295" s="45"/>
      <c r="P295" s="45"/>
      <c r="Q295" s="45"/>
      <c r="R295" s="45"/>
      <c r="S295" s="45"/>
      <c r="T295" s="45"/>
      <c r="U295" s="45"/>
      <c r="V295" s="45"/>
      <c r="W295" s="45"/>
      <c r="X295" s="45"/>
      <c r="Y295" s="45"/>
      <c r="Z295" s="45"/>
    </row>
    <row r="296">
      <c r="A296" s="46">
        <v>295.0</v>
      </c>
      <c r="B296" s="47" t="str">
        <f>'Project Stocktaking Template'!B297</f>
        <v>CHAINLINK FENCE AT HARA  PRIMARY IN MASALANI</v>
      </c>
      <c r="C296" s="47" t="str">
        <f>'Project Stocktaking Template'!H297</f>
        <v>Ijara</v>
      </c>
      <c r="D296" s="47" t="str">
        <f>'Project Stocktaking Template'!I297</f>
        <v>Masalani</v>
      </c>
      <c r="E296" s="48" t="str">
        <f>'Project Stocktaking Template'!O297</f>
        <v>1st aug 2023</v>
      </c>
      <c r="F296" s="48" t="str">
        <f>'Project Stocktaking Template'!P297</f>
        <v>30th june 2024</v>
      </c>
      <c r="G296" s="48" t="str">
        <f>'Project Stocktaking Template'!Q297</f>
        <v>30th june 2024</v>
      </c>
      <c r="H296" s="49">
        <f>'Project Stocktaking Template'!R297</f>
        <v>239000</v>
      </c>
      <c r="I296" s="50" t="str">
        <f>'Project Stocktaking Template'!AD297</f>
        <v>Completed</v>
      </c>
      <c r="J296" s="45"/>
      <c r="K296" s="45"/>
      <c r="L296" s="45"/>
      <c r="M296" s="45"/>
      <c r="N296" s="45"/>
      <c r="O296" s="45"/>
      <c r="P296" s="45"/>
      <c r="Q296" s="45"/>
      <c r="R296" s="45"/>
      <c r="S296" s="45"/>
      <c r="T296" s="45"/>
      <c r="U296" s="45"/>
      <c r="V296" s="45"/>
      <c r="W296" s="45"/>
      <c r="X296" s="45"/>
      <c r="Y296" s="45"/>
      <c r="Z296" s="45"/>
    </row>
    <row r="297">
      <c r="A297" s="51">
        <v>296.0</v>
      </c>
      <c r="B297" s="47" t="str">
        <f>'Project Stocktaking Template'!B298</f>
        <v>DESILTING OF WAKBAHAERY WATER PAN</v>
      </c>
      <c r="C297" s="47" t="str">
        <f>'Project Stocktaking Template'!H298</f>
        <v>GarissaTownship</v>
      </c>
      <c r="D297" s="47" t="str">
        <f>'Project Stocktaking Template'!I298</f>
        <v>Township</v>
      </c>
      <c r="E297" s="48" t="str">
        <f>'Project Stocktaking Template'!O298</f>
        <v>1st aug 2023</v>
      </c>
      <c r="F297" s="48" t="str">
        <f>'Project Stocktaking Template'!P298</f>
        <v>30th june 2024</v>
      </c>
      <c r="G297" s="48" t="str">
        <f>'Project Stocktaking Template'!Q298</f>
        <v>30th june 2024</v>
      </c>
      <c r="H297" s="49">
        <f>'Project Stocktaking Template'!R298</f>
        <v>239000</v>
      </c>
      <c r="I297" s="50" t="str">
        <f>'Project Stocktaking Template'!AD298</f>
        <v>Completed</v>
      </c>
      <c r="J297" s="45"/>
      <c r="K297" s="45"/>
      <c r="L297" s="45"/>
      <c r="M297" s="45"/>
      <c r="N297" s="45"/>
      <c r="O297" s="45"/>
      <c r="P297" s="45"/>
      <c r="Q297" s="45"/>
      <c r="R297" s="45"/>
      <c r="S297" s="45"/>
      <c r="T297" s="45"/>
      <c r="U297" s="45"/>
      <c r="V297" s="45"/>
      <c r="W297" s="45"/>
      <c r="X297" s="45"/>
      <c r="Y297" s="45"/>
      <c r="Z297" s="45"/>
    </row>
    <row r="298">
      <c r="A298" s="46">
        <v>297.0</v>
      </c>
      <c r="B298" s="47" t="str">
        <f>'Project Stocktaking Template'!B299</f>
        <v>EQUIPING OF ABDI SUGOW BOREHOLE</v>
      </c>
      <c r="C298" s="47" t="str">
        <f>'Project Stocktaking Template'!H299</f>
        <v>GarissaTownship</v>
      </c>
      <c r="D298" s="47" t="str">
        <f>'Project Stocktaking Template'!I299</f>
        <v>Township</v>
      </c>
      <c r="E298" s="48" t="str">
        <f>'Project Stocktaking Template'!O299</f>
        <v>1st aug 2023</v>
      </c>
      <c r="F298" s="48" t="str">
        <f>'Project Stocktaking Template'!P299</f>
        <v>30th june 2024</v>
      </c>
      <c r="G298" s="48" t="str">
        <f>'Project Stocktaking Template'!Q299</f>
        <v>30th june 2024</v>
      </c>
      <c r="H298" s="49">
        <f>'Project Stocktaking Template'!R299</f>
        <v>239000</v>
      </c>
      <c r="I298" s="50" t="str">
        <f>'Project Stocktaking Template'!AD299</f>
        <v>Completed</v>
      </c>
      <c r="J298" s="45"/>
      <c r="K298" s="45"/>
      <c r="L298" s="45"/>
      <c r="M298" s="45"/>
      <c r="N298" s="45"/>
      <c r="O298" s="45"/>
      <c r="P298" s="45"/>
      <c r="Q298" s="45"/>
      <c r="R298" s="45"/>
      <c r="S298" s="45"/>
      <c r="T298" s="45"/>
      <c r="U298" s="45"/>
      <c r="V298" s="45"/>
      <c r="W298" s="45"/>
      <c r="X298" s="45"/>
      <c r="Y298" s="45"/>
      <c r="Z298" s="45"/>
    </row>
    <row r="299">
      <c r="A299" s="51">
        <v>298.0</v>
      </c>
      <c r="B299" s="47" t="str">
        <f>'Project Stocktaking Template'!B300</f>
        <v>RENOVATION OF STAFF QAUTERS AT DADDAABN</v>
      </c>
      <c r="C299" s="47" t="str">
        <f>'Project Stocktaking Template'!H300</f>
        <v>GarissaTownship</v>
      </c>
      <c r="D299" s="47" t="str">
        <f>'Project Stocktaking Template'!I300</f>
        <v>Township</v>
      </c>
      <c r="E299" s="48" t="str">
        <f>'Project Stocktaking Template'!O300</f>
        <v>1st aug 2023</v>
      </c>
      <c r="F299" s="48" t="str">
        <f>'Project Stocktaking Template'!P300</f>
        <v>30th june 2024</v>
      </c>
      <c r="G299" s="48" t="str">
        <f>'Project Stocktaking Template'!Q300</f>
        <v>30th june 2024</v>
      </c>
      <c r="H299" s="49">
        <f>'Project Stocktaking Template'!R300</f>
        <v>239800</v>
      </c>
      <c r="I299" s="50" t="str">
        <f>'Project Stocktaking Template'!AD300</f>
        <v>Completed</v>
      </c>
      <c r="J299" s="45"/>
      <c r="K299" s="45"/>
      <c r="L299" s="45"/>
      <c r="M299" s="45"/>
      <c r="N299" s="45"/>
      <c r="O299" s="45"/>
      <c r="P299" s="45"/>
      <c r="Q299" s="45"/>
      <c r="R299" s="45"/>
      <c r="S299" s="45"/>
      <c r="T299" s="45"/>
      <c r="U299" s="45"/>
      <c r="V299" s="45"/>
      <c r="W299" s="45"/>
      <c r="X299" s="45"/>
      <c r="Y299" s="45"/>
      <c r="Z299" s="45"/>
    </row>
    <row r="300">
      <c r="A300" s="46">
        <v>299.0</v>
      </c>
      <c r="B300" s="47" t="str">
        <f>'Project Stocktaking Template'!B301</f>
        <v>CONSTRUCTION OF NEW WATER PAN AT DAGAHLEY</v>
      </c>
      <c r="C300" s="47" t="str">
        <f>'Project Stocktaking Template'!H301</f>
        <v>Dadaab</v>
      </c>
      <c r="D300" s="47" t="str">
        <f>'Project Stocktaking Template'!I301</f>
        <v>Dadaab</v>
      </c>
      <c r="E300" s="48" t="str">
        <f>'Project Stocktaking Template'!O301</f>
        <v>1st aug 2023</v>
      </c>
      <c r="F300" s="48" t="str">
        <f>'Project Stocktaking Template'!P301</f>
        <v>30th june 2024</v>
      </c>
      <c r="G300" s="48" t="str">
        <f>'Project Stocktaking Template'!Q301</f>
        <v>30th june 2024</v>
      </c>
      <c r="H300" s="49">
        <f>'Project Stocktaking Template'!R301</f>
        <v>240000</v>
      </c>
      <c r="I300" s="50" t="str">
        <f>'Project Stocktaking Template'!AD301</f>
        <v>Completed</v>
      </c>
      <c r="J300" s="45"/>
      <c r="K300" s="45"/>
      <c r="L300" s="45"/>
      <c r="M300" s="45"/>
      <c r="N300" s="45"/>
      <c r="O300" s="45"/>
      <c r="P300" s="45"/>
      <c r="Q300" s="45"/>
      <c r="R300" s="45"/>
      <c r="S300" s="45"/>
      <c r="T300" s="45"/>
      <c r="U300" s="45"/>
      <c r="V300" s="45"/>
      <c r="W300" s="45"/>
      <c r="X300" s="45"/>
      <c r="Y300" s="45"/>
      <c r="Z300" s="45"/>
    </row>
    <row r="301">
      <c r="A301" s="51">
        <v>300.0</v>
      </c>
      <c r="B301" s="47" t="str">
        <f>'Project Stocktaking Template'!B302</f>
        <v>CONSTRUCTION OF NEW WATER PAN AT JILO MATA CENTRE</v>
      </c>
      <c r="C301" s="47" t="str">
        <f>'Project Stocktaking Template'!H302</f>
        <v>GarissaTownship</v>
      </c>
      <c r="D301" s="47" t="str">
        <f>'Project Stocktaking Template'!I302</f>
        <v>Township</v>
      </c>
      <c r="E301" s="48" t="str">
        <f>'Project Stocktaking Template'!O302</f>
        <v>1st aug 2023</v>
      </c>
      <c r="F301" s="48" t="str">
        <f>'Project Stocktaking Template'!P302</f>
        <v>30th june 2024</v>
      </c>
      <c r="G301" s="48" t="str">
        <f>'Project Stocktaking Template'!Q302</f>
        <v>30th june 2024</v>
      </c>
      <c r="H301" s="49">
        <f>'Project Stocktaking Template'!R302</f>
        <v>240000</v>
      </c>
      <c r="I301" s="50" t="str">
        <f>'Project Stocktaking Template'!AD302</f>
        <v>Completed</v>
      </c>
      <c r="J301" s="45"/>
      <c r="K301" s="45"/>
      <c r="L301" s="45"/>
      <c r="M301" s="45"/>
      <c r="N301" s="45"/>
      <c r="O301" s="45"/>
      <c r="P301" s="45"/>
      <c r="Q301" s="45"/>
      <c r="R301" s="45"/>
      <c r="S301" s="45"/>
      <c r="T301" s="45"/>
      <c r="U301" s="45"/>
      <c r="V301" s="45"/>
      <c r="W301" s="45"/>
      <c r="X301" s="45"/>
      <c r="Y301" s="45"/>
      <c r="Z301" s="45"/>
    </row>
    <row r="302">
      <c r="A302" s="46">
        <v>301.0</v>
      </c>
      <c r="B302" s="47" t="str">
        <f>'Project Stocktaking Template'!B303</f>
        <v>CONSTRUCTION OF  RIIG WATER PAN</v>
      </c>
      <c r="C302" s="47" t="str">
        <f>'Project Stocktaking Template'!H303</f>
        <v>GarissaTownship</v>
      </c>
      <c r="D302" s="47" t="str">
        <f>'Project Stocktaking Template'!I303</f>
        <v>Township</v>
      </c>
      <c r="E302" s="48" t="str">
        <f>'Project Stocktaking Template'!O303</f>
        <v>1st aug 2023</v>
      </c>
      <c r="F302" s="48" t="str">
        <f>'Project Stocktaking Template'!P303</f>
        <v>30th june 2024</v>
      </c>
      <c r="G302" s="48" t="str">
        <f>'Project Stocktaking Template'!Q303</f>
        <v>30th june 2024</v>
      </c>
      <c r="H302" s="49">
        <f>'Project Stocktaking Template'!R303</f>
        <v>240000</v>
      </c>
      <c r="I302" s="50" t="str">
        <f>'Project Stocktaking Template'!AD303</f>
        <v>Completed</v>
      </c>
      <c r="J302" s="45"/>
      <c r="K302" s="45"/>
      <c r="L302" s="45"/>
      <c r="M302" s="45"/>
      <c r="N302" s="45"/>
      <c r="O302" s="45"/>
      <c r="P302" s="45"/>
      <c r="Q302" s="45"/>
      <c r="R302" s="45"/>
      <c r="S302" s="45"/>
      <c r="T302" s="45"/>
      <c r="U302" s="45"/>
      <c r="V302" s="45"/>
      <c r="W302" s="45"/>
      <c r="X302" s="45"/>
      <c r="Y302" s="45"/>
      <c r="Z302" s="45"/>
    </row>
    <row r="303">
      <c r="A303" s="51">
        <v>302.0</v>
      </c>
      <c r="B303" s="47" t="str">
        <f>'Project Stocktaking Template'!B304</f>
        <v>RENOVATION WORKS TO GOVERNMENT HOUSE</v>
      </c>
      <c r="C303" s="47" t="str">
        <f>'Project Stocktaking Template'!H304</f>
        <v>GarissaTownship</v>
      </c>
      <c r="D303" s="47" t="str">
        <f>'Project Stocktaking Template'!I304</f>
        <v>Township</v>
      </c>
      <c r="E303" s="48" t="str">
        <f>'Project Stocktaking Template'!O304</f>
        <v>1st aug 2023</v>
      </c>
      <c r="F303" s="48" t="str">
        <f>'Project Stocktaking Template'!P304</f>
        <v>30th june 2024</v>
      </c>
      <c r="G303" s="48" t="str">
        <f>'Project Stocktaking Template'!Q304</f>
        <v>30th june 2024</v>
      </c>
      <c r="H303" s="49">
        <f>'Project Stocktaking Template'!R304</f>
        <v>241000</v>
      </c>
      <c r="I303" s="50" t="str">
        <f>'Project Stocktaking Template'!AD304</f>
        <v>Completed</v>
      </c>
      <c r="J303" s="45"/>
      <c r="K303" s="45"/>
      <c r="L303" s="45"/>
      <c r="M303" s="45"/>
      <c r="N303" s="45"/>
      <c r="O303" s="45"/>
      <c r="P303" s="45"/>
      <c r="Q303" s="45"/>
      <c r="R303" s="45"/>
      <c r="S303" s="45"/>
      <c r="T303" s="45"/>
      <c r="U303" s="45"/>
      <c r="V303" s="45"/>
      <c r="W303" s="45"/>
      <c r="X303" s="45"/>
      <c r="Y303" s="45"/>
      <c r="Z303" s="45"/>
    </row>
    <row r="304">
      <c r="A304" s="46">
        <v>303.0</v>
      </c>
      <c r="B304" s="47" t="str">
        <f>'Project Stocktaking Template'!B305</f>
        <v>RENOVATION OF ADMIN BLOCK AT DAMAJALE PRIMARY</v>
      </c>
      <c r="C304" s="47" t="str">
        <f>'Project Stocktaking Template'!H305</f>
        <v>Dadaab</v>
      </c>
      <c r="D304" s="47" t="str">
        <f>'Project Stocktaking Template'!I305</f>
        <v>Damajale</v>
      </c>
      <c r="E304" s="48" t="str">
        <f>'Project Stocktaking Template'!O305</f>
        <v>1st aug 2023</v>
      </c>
      <c r="F304" s="48" t="str">
        <f>'Project Stocktaking Template'!P305</f>
        <v>30th june 2024</v>
      </c>
      <c r="G304" s="48" t="str">
        <f>'Project Stocktaking Template'!Q305</f>
        <v>30th june 2024</v>
      </c>
      <c r="H304" s="49">
        <f>'Project Stocktaking Template'!R305</f>
        <v>241000</v>
      </c>
      <c r="I304" s="50" t="str">
        <f>'Project Stocktaking Template'!AD305</f>
        <v>Completed</v>
      </c>
      <c r="J304" s="45"/>
      <c r="K304" s="45"/>
      <c r="L304" s="45"/>
      <c r="M304" s="45"/>
      <c r="N304" s="45"/>
      <c r="O304" s="45"/>
      <c r="P304" s="45"/>
      <c r="Q304" s="45"/>
      <c r="R304" s="45"/>
      <c r="S304" s="45"/>
      <c r="T304" s="45"/>
      <c r="U304" s="45"/>
      <c r="V304" s="45"/>
      <c r="W304" s="45"/>
      <c r="X304" s="45"/>
      <c r="Y304" s="45"/>
      <c r="Z304" s="45"/>
    </row>
    <row r="305">
      <c r="A305" s="51">
        <v>304.0</v>
      </c>
      <c r="B305" s="47" t="str">
        <f>'Project Stocktaking Template'!B306</f>
        <v>CONSTRUCTION OF STAFF QUARTER AT SKANSA</v>
      </c>
      <c r="C305" s="47" t="str">
        <f>'Project Stocktaking Template'!H306</f>
        <v>Lagdera</v>
      </c>
      <c r="D305" s="47" t="str">
        <f>'Project Stocktaking Template'!I306</f>
        <v>Modogashe</v>
      </c>
      <c r="E305" s="48" t="str">
        <f>'Project Stocktaking Template'!O306</f>
        <v>1st aug 2023</v>
      </c>
      <c r="F305" s="48" t="str">
        <f>'Project Stocktaking Template'!P306</f>
        <v>30th june 2024</v>
      </c>
      <c r="G305" s="48" t="str">
        <f>'Project Stocktaking Template'!Q306</f>
        <v>30th june 2024</v>
      </c>
      <c r="H305" s="49">
        <f>'Project Stocktaking Template'!R306</f>
        <v>241500</v>
      </c>
      <c r="I305" s="50" t="str">
        <f>'Project Stocktaking Template'!AD306</f>
        <v>Completed</v>
      </c>
      <c r="J305" s="45"/>
      <c r="K305" s="45"/>
      <c r="L305" s="45"/>
      <c r="M305" s="45"/>
      <c r="N305" s="45"/>
      <c r="O305" s="45"/>
      <c r="P305" s="45"/>
      <c r="Q305" s="45"/>
      <c r="R305" s="45"/>
      <c r="S305" s="45"/>
      <c r="T305" s="45"/>
      <c r="U305" s="45"/>
      <c r="V305" s="45"/>
      <c r="W305" s="45"/>
      <c r="X305" s="45"/>
      <c r="Y305" s="45"/>
      <c r="Z305" s="45"/>
    </row>
    <row r="306">
      <c r="A306" s="46">
        <v>305.0</v>
      </c>
      <c r="B306" s="47" t="str">
        <f>'Project Stocktaking Template'!B307</f>
        <v>HIRE OF TRUCKS  FOR TWON CLEANING</v>
      </c>
      <c r="C306" s="47" t="str">
        <f>'Project Stocktaking Template'!H307</f>
        <v>GarissaTownship</v>
      </c>
      <c r="D306" s="47" t="str">
        <f>'Project Stocktaking Template'!I307</f>
        <v>Township</v>
      </c>
      <c r="E306" s="48" t="str">
        <f>'Project Stocktaking Template'!O307</f>
        <v>1st aug 2023</v>
      </c>
      <c r="F306" s="48" t="str">
        <f>'Project Stocktaking Template'!P307</f>
        <v>30th june 2024</v>
      </c>
      <c r="G306" s="48" t="str">
        <f>'Project Stocktaking Template'!Q307</f>
        <v>30th june 2024</v>
      </c>
      <c r="H306" s="49">
        <f>'Project Stocktaking Template'!R307</f>
        <v>242000</v>
      </c>
      <c r="I306" s="50" t="str">
        <f>'Project Stocktaking Template'!AD307</f>
        <v>Completed</v>
      </c>
      <c r="J306" s="45"/>
      <c r="K306" s="45"/>
      <c r="L306" s="45"/>
      <c r="M306" s="45"/>
      <c r="N306" s="45"/>
      <c r="O306" s="45"/>
      <c r="P306" s="45"/>
      <c r="Q306" s="45"/>
      <c r="R306" s="45"/>
      <c r="S306" s="45"/>
      <c r="T306" s="45"/>
      <c r="U306" s="45"/>
      <c r="V306" s="45"/>
      <c r="W306" s="45"/>
      <c r="X306" s="45"/>
      <c r="Y306" s="45"/>
      <c r="Z306" s="45"/>
    </row>
    <row r="307">
      <c r="A307" s="51">
        <v>306.0</v>
      </c>
      <c r="B307" s="47" t="str">
        <f>'Project Stocktaking Template'!B308</f>
        <v>DESILTING OF GOBGADUD WATER PAN IN DADAAB</v>
      </c>
      <c r="C307" s="47" t="str">
        <f>'Project Stocktaking Template'!H308</f>
        <v>Dadaab</v>
      </c>
      <c r="D307" s="47" t="str">
        <f>'Project Stocktaking Template'!I308</f>
        <v>Dadaab</v>
      </c>
      <c r="E307" s="48" t="str">
        <f>'Project Stocktaking Template'!O308</f>
        <v>1st aug 2023</v>
      </c>
      <c r="F307" s="48" t="str">
        <f>'Project Stocktaking Template'!P308</f>
        <v>30th june 2024</v>
      </c>
      <c r="G307" s="48" t="str">
        <f>'Project Stocktaking Template'!Q308</f>
        <v>30th june 2024</v>
      </c>
      <c r="H307" s="49">
        <f>'Project Stocktaking Template'!R308</f>
        <v>242000</v>
      </c>
      <c r="I307" s="50" t="str">
        <f>'Project Stocktaking Template'!AD308</f>
        <v>Completed</v>
      </c>
      <c r="J307" s="45"/>
      <c r="K307" s="45"/>
      <c r="L307" s="45"/>
      <c r="M307" s="45"/>
      <c r="N307" s="45"/>
      <c r="O307" s="45"/>
      <c r="P307" s="45"/>
      <c r="Q307" s="45"/>
      <c r="R307" s="45"/>
      <c r="S307" s="45"/>
      <c r="T307" s="45"/>
      <c r="U307" s="45"/>
      <c r="V307" s="45"/>
      <c r="W307" s="45"/>
      <c r="X307" s="45"/>
      <c r="Y307" s="45"/>
      <c r="Z307" s="45"/>
    </row>
    <row r="308">
      <c r="A308" s="46">
        <v>307.0</v>
      </c>
      <c r="B308" s="47" t="str">
        <f>'Project Stocktaking Template'!B309</f>
        <v>REFURBISHMENT OF ECD CLASSROM AT SAKA</v>
      </c>
      <c r="C308" s="47" t="str">
        <f>'Project Stocktaking Template'!H309</f>
        <v>Balambala</v>
      </c>
      <c r="D308" s="47" t="str">
        <f>'Project Stocktaking Template'!I309</f>
        <v>Saka</v>
      </c>
      <c r="E308" s="48" t="str">
        <f>'Project Stocktaking Template'!O309</f>
        <v>1st aug 2023</v>
      </c>
      <c r="F308" s="48" t="str">
        <f>'Project Stocktaking Template'!P309</f>
        <v>30th june 2024</v>
      </c>
      <c r="G308" s="48" t="str">
        <f>'Project Stocktaking Template'!Q309</f>
        <v>30th june 2024</v>
      </c>
      <c r="H308" s="49">
        <f>'Project Stocktaking Template'!R309</f>
        <v>243000</v>
      </c>
      <c r="I308" s="50" t="str">
        <f>'Project Stocktaking Template'!AD309</f>
        <v>Completed</v>
      </c>
      <c r="J308" s="45"/>
      <c r="K308" s="45"/>
      <c r="L308" s="45"/>
      <c r="M308" s="45"/>
      <c r="N308" s="45"/>
      <c r="O308" s="45"/>
      <c r="P308" s="45"/>
      <c r="Q308" s="45"/>
      <c r="R308" s="45"/>
      <c r="S308" s="45"/>
      <c r="T308" s="45"/>
      <c r="U308" s="45"/>
      <c r="V308" s="45"/>
      <c r="W308" s="45"/>
      <c r="X308" s="45"/>
      <c r="Y308" s="45"/>
      <c r="Z308" s="45"/>
    </row>
    <row r="309">
      <c r="A309" s="51">
        <v>308.0</v>
      </c>
      <c r="B309" s="47" t="str">
        <f>'Project Stocktaking Template'!B310</f>
        <v>UPGRADING OF ELKAMBARE HULUGHO ROAD</v>
      </c>
      <c r="C309" s="47" t="str">
        <f>'Project Stocktaking Template'!H310</f>
        <v>Ijara</v>
      </c>
      <c r="D309" s="47" t="str">
        <f>'Project Stocktaking Template'!I310</f>
        <v>Hulugho</v>
      </c>
      <c r="E309" s="48" t="str">
        <f>'Project Stocktaking Template'!O310</f>
        <v>1st aug 2023</v>
      </c>
      <c r="F309" s="48" t="str">
        <f>'Project Stocktaking Template'!P310</f>
        <v>30th june 2024</v>
      </c>
      <c r="G309" s="48" t="str">
        <f>'Project Stocktaking Template'!Q310</f>
        <v>30th june 2024</v>
      </c>
      <c r="H309" s="49">
        <f>'Project Stocktaking Template'!R310</f>
        <v>243000</v>
      </c>
      <c r="I309" s="50" t="str">
        <f>'Project Stocktaking Template'!AD310</f>
        <v>Completed</v>
      </c>
      <c r="J309" s="45"/>
      <c r="K309" s="45"/>
      <c r="L309" s="45"/>
      <c r="M309" s="45"/>
      <c r="N309" s="45"/>
      <c r="O309" s="45"/>
      <c r="P309" s="45"/>
      <c r="Q309" s="45"/>
      <c r="R309" s="45"/>
      <c r="S309" s="45"/>
      <c r="T309" s="45"/>
      <c r="U309" s="45"/>
      <c r="V309" s="45"/>
      <c r="W309" s="45"/>
      <c r="X309" s="45"/>
      <c r="Y309" s="45"/>
      <c r="Z309" s="45"/>
    </row>
    <row r="310">
      <c r="A310" s="46">
        <v>309.0</v>
      </c>
      <c r="B310" s="47" t="str">
        <f>'Project Stocktaking Template'!B311</f>
        <v>CONSTRUCTION CHAINLINK  FENCE AT SABENA CENTRE</v>
      </c>
      <c r="C310" s="47" t="str">
        <f>'Project Stocktaking Template'!H311</f>
        <v>Lagdera</v>
      </c>
      <c r="D310" s="47" t="str">
        <f>'Project Stocktaking Template'!I311</f>
        <v>Sabena</v>
      </c>
      <c r="E310" s="48" t="str">
        <f>'Project Stocktaking Template'!O311</f>
        <v>1st aug 2023</v>
      </c>
      <c r="F310" s="48" t="str">
        <f>'Project Stocktaking Template'!P311</f>
        <v>30th june 2024</v>
      </c>
      <c r="G310" s="48" t="str">
        <f>'Project Stocktaking Template'!Q311</f>
        <v>30th june 2024</v>
      </c>
      <c r="H310" s="49">
        <f>'Project Stocktaking Template'!R311</f>
        <v>243000</v>
      </c>
      <c r="I310" s="50" t="str">
        <f>'Project Stocktaking Template'!AD311</f>
        <v>Completed</v>
      </c>
      <c r="J310" s="45"/>
      <c r="K310" s="45"/>
      <c r="L310" s="45"/>
      <c r="M310" s="45"/>
      <c r="N310" s="45"/>
      <c r="O310" s="45"/>
      <c r="P310" s="45"/>
      <c r="Q310" s="45"/>
      <c r="R310" s="45"/>
      <c r="S310" s="45"/>
      <c r="T310" s="45"/>
      <c r="U310" s="45"/>
      <c r="V310" s="45"/>
      <c r="W310" s="45"/>
      <c r="X310" s="45"/>
      <c r="Y310" s="45"/>
      <c r="Z310" s="45"/>
    </row>
    <row r="311">
      <c r="A311" s="51">
        <v>310.0</v>
      </c>
      <c r="B311" s="47" t="str">
        <f>'Project Stocktaking Template'!B312</f>
        <v>IMPROVEMENT OF GUYO BARAKI ROAD</v>
      </c>
      <c r="C311" s="47" t="str">
        <f>'Project Stocktaking Template'!H312</f>
        <v>Lagdera</v>
      </c>
      <c r="D311" s="47" t="str">
        <f>'Project Stocktaking Template'!I312</f>
        <v>Baraki</v>
      </c>
      <c r="E311" s="48" t="str">
        <f>'Project Stocktaking Template'!O312</f>
        <v>1st aug 2023</v>
      </c>
      <c r="F311" s="48" t="str">
        <f>'Project Stocktaking Template'!P312</f>
        <v>30th june 2024</v>
      </c>
      <c r="G311" s="48" t="str">
        <f>'Project Stocktaking Template'!Q312</f>
        <v>30th june 2024</v>
      </c>
      <c r="H311" s="49">
        <f>'Project Stocktaking Template'!R312</f>
        <v>245000</v>
      </c>
      <c r="I311" s="50" t="str">
        <f>'Project Stocktaking Template'!AD312</f>
        <v>Completed</v>
      </c>
      <c r="J311" s="45"/>
      <c r="K311" s="45"/>
      <c r="L311" s="45"/>
      <c r="M311" s="45"/>
      <c r="N311" s="45"/>
      <c r="O311" s="45"/>
      <c r="P311" s="45"/>
      <c r="Q311" s="45"/>
      <c r="R311" s="45"/>
      <c r="S311" s="45"/>
      <c r="T311" s="45"/>
      <c r="U311" s="45"/>
      <c r="V311" s="45"/>
      <c r="W311" s="45"/>
      <c r="X311" s="45"/>
      <c r="Y311" s="45"/>
      <c r="Z311" s="45"/>
    </row>
    <row r="312">
      <c r="A312" s="46">
        <v>311.0</v>
      </c>
      <c r="B312" s="47" t="str">
        <f>'Project Stocktaking Template'!B313</f>
        <v>CHAINLINK FENCE AT HAGAR JARIR HEALTH CENTR</v>
      </c>
      <c r="C312" s="47" t="str">
        <f>'Project Stocktaking Template'!H313</f>
        <v>Fafi</v>
      </c>
      <c r="D312" s="47" t="str">
        <f>'Project Stocktaking Template'!I313</f>
        <v>Fafi</v>
      </c>
      <c r="E312" s="48" t="str">
        <f>'Project Stocktaking Template'!O313</f>
        <v>1st aug 2023</v>
      </c>
      <c r="F312" s="48" t="str">
        <f>'Project Stocktaking Template'!P313</f>
        <v>30th june 2024</v>
      </c>
      <c r="G312" s="48" t="str">
        <f>'Project Stocktaking Template'!Q313</f>
        <v>30th june 2024</v>
      </c>
      <c r="H312" s="49">
        <f>'Project Stocktaking Template'!R313</f>
        <v>245000</v>
      </c>
      <c r="I312" s="50" t="str">
        <f>'Project Stocktaking Template'!AD313</f>
        <v>Completed</v>
      </c>
      <c r="J312" s="45"/>
      <c r="K312" s="45"/>
      <c r="L312" s="45"/>
      <c r="M312" s="45"/>
      <c r="N312" s="45"/>
      <c r="O312" s="45"/>
      <c r="P312" s="45"/>
      <c r="Q312" s="45"/>
      <c r="R312" s="45"/>
      <c r="S312" s="45"/>
      <c r="T312" s="45"/>
      <c r="U312" s="45"/>
      <c r="V312" s="45"/>
      <c r="W312" s="45"/>
      <c r="X312" s="45"/>
      <c r="Y312" s="45"/>
      <c r="Z312" s="45"/>
    </row>
    <row r="313">
      <c r="A313" s="51">
        <v>312.0</v>
      </c>
      <c r="B313" s="47" t="str">
        <f>'Project Stocktaking Template'!B314</f>
        <v>HALUKA WATER PAN</v>
      </c>
      <c r="C313" s="47" t="str">
        <f>'Project Stocktaking Template'!H314</f>
        <v>GarissaTownship</v>
      </c>
      <c r="D313" s="47" t="str">
        <f>'Project Stocktaking Template'!I314</f>
        <v>Township</v>
      </c>
      <c r="E313" s="48" t="str">
        <f>'Project Stocktaking Template'!O314</f>
        <v>1st aug 2023</v>
      </c>
      <c r="F313" s="48" t="str">
        <f>'Project Stocktaking Template'!P314</f>
        <v>30th june 2024</v>
      </c>
      <c r="G313" s="48" t="str">
        <f>'Project Stocktaking Template'!Q314</f>
        <v>30th june 2024</v>
      </c>
      <c r="H313" s="49">
        <f>'Project Stocktaking Template'!R314</f>
        <v>246000</v>
      </c>
      <c r="I313" s="50" t="str">
        <f>'Project Stocktaking Template'!AD314</f>
        <v>Completed</v>
      </c>
      <c r="J313" s="45"/>
      <c r="K313" s="45"/>
      <c r="L313" s="45"/>
      <c r="M313" s="45"/>
      <c r="N313" s="45"/>
      <c r="O313" s="45"/>
      <c r="P313" s="45"/>
      <c r="Q313" s="45"/>
      <c r="R313" s="45"/>
      <c r="S313" s="45"/>
      <c r="T313" s="45"/>
      <c r="U313" s="45"/>
      <c r="V313" s="45"/>
      <c r="W313" s="45"/>
      <c r="X313" s="45"/>
      <c r="Y313" s="45"/>
      <c r="Z313" s="45"/>
    </row>
    <row r="314">
      <c r="A314" s="46">
        <v>313.0</v>
      </c>
      <c r="B314" s="47" t="str">
        <f>'Project Stocktaking Template'!B315</f>
        <v>CONSTRUCTION OF 12 OF BODY CAPACITY MORTURY</v>
      </c>
      <c r="C314" s="47" t="str">
        <f>'Project Stocktaking Template'!H315</f>
        <v>GarissaTownship</v>
      </c>
      <c r="D314" s="47" t="str">
        <f>'Project Stocktaking Template'!I315</f>
        <v>Township</v>
      </c>
      <c r="E314" s="48" t="str">
        <f>'Project Stocktaking Template'!O315</f>
        <v>1st aug 2023</v>
      </c>
      <c r="F314" s="48" t="str">
        <f>'Project Stocktaking Template'!P315</f>
        <v>30th june 2024</v>
      </c>
      <c r="G314" s="48" t="str">
        <f>'Project Stocktaking Template'!Q315</f>
        <v>30th june 2024</v>
      </c>
      <c r="H314" s="49">
        <f>'Project Stocktaking Template'!R315</f>
        <v>247000</v>
      </c>
      <c r="I314" s="50" t="str">
        <f>'Project Stocktaking Template'!AD315</f>
        <v>Completed</v>
      </c>
      <c r="J314" s="45"/>
      <c r="K314" s="45"/>
      <c r="L314" s="45"/>
      <c r="M314" s="45"/>
      <c r="N314" s="45"/>
      <c r="O314" s="45"/>
      <c r="P314" s="45"/>
      <c r="Q314" s="45"/>
      <c r="R314" s="45"/>
      <c r="S314" s="45"/>
      <c r="T314" s="45"/>
      <c r="U314" s="45"/>
      <c r="V314" s="45"/>
      <c r="W314" s="45"/>
      <c r="X314" s="45"/>
      <c r="Y314" s="45"/>
      <c r="Z314" s="45"/>
    </row>
    <row r="315">
      <c r="A315" s="51">
        <v>314.0</v>
      </c>
      <c r="B315" s="47" t="str">
        <f>'Project Stocktaking Template'!B316</f>
        <v>MAINTAINANCE OF LAGDERA FARM ACCESS ROAD</v>
      </c>
      <c r="C315" s="47" t="str">
        <f>'Project Stocktaking Template'!H316</f>
        <v>Lagdera</v>
      </c>
      <c r="D315" s="47" t="str">
        <f>'Project Stocktaking Template'!I316</f>
        <v>Galbet</v>
      </c>
      <c r="E315" s="48" t="str">
        <f>'Project Stocktaking Template'!O316</f>
        <v>1st aug 2023</v>
      </c>
      <c r="F315" s="48" t="str">
        <f>'Project Stocktaking Template'!P316</f>
        <v>30th june 2024</v>
      </c>
      <c r="G315" s="48" t="str">
        <f>'Project Stocktaking Template'!Q316</f>
        <v>30th june 2024</v>
      </c>
      <c r="H315" s="49">
        <f>'Project Stocktaking Template'!R316</f>
        <v>248000</v>
      </c>
      <c r="I315" s="50" t="str">
        <f>'Project Stocktaking Template'!AD316</f>
        <v>Completed</v>
      </c>
      <c r="J315" s="45"/>
      <c r="K315" s="45"/>
      <c r="L315" s="45"/>
      <c r="M315" s="45"/>
      <c r="N315" s="45"/>
      <c r="O315" s="45"/>
      <c r="P315" s="45"/>
      <c r="Q315" s="45"/>
      <c r="R315" s="45"/>
      <c r="S315" s="45"/>
      <c r="T315" s="45"/>
      <c r="U315" s="45"/>
      <c r="V315" s="45"/>
      <c r="W315" s="45"/>
      <c r="X315" s="45"/>
      <c r="Y315" s="45"/>
      <c r="Z315" s="45"/>
    </row>
    <row r="316">
      <c r="A316" s="46">
        <v>315.0</v>
      </c>
      <c r="B316" s="47" t="str">
        <f>'Project Stocktaking Template'!B317</f>
        <v>EQUIPING OF ABDI SUGOW BOREHOLE</v>
      </c>
      <c r="C316" s="47" t="str">
        <f>'Project Stocktaking Template'!H317</f>
        <v>GarissaTownship</v>
      </c>
      <c r="D316" s="47" t="str">
        <f>'Project Stocktaking Template'!I317</f>
        <v>Township</v>
      </c>
      <c r="E316" s="48" t="str">
        <f>'Project Stocktaking Template'!O317</f>
        <v>1st aug 2023</v>
      </c>
      <c r="F316" s="48" t="str">
        <f>'Project Stocktaking Template'!P317</f>
        <v>30th june 2024</v>
      </c>
      <c r="G316" s="48" t="str">
        <f>'Project Stocktaking Template'!Q317</f>
        <v>30th june 2024</v>
      </c>
      <c r="H316" s="49">
        <f>'Project Stocktaking Template'!R317</f>
        <v>248000</v>
      </c>
      <c r="I316" s="50" t="str">
        <f>'Project Stocktaking Template'!AD317</f>
        <v>Completed</v>
      </c>
      <c r="J316" s="45"/>
      <c r="K316" s="45"/>
      <c r="L316" s="45"/>
      <c r="M316" s="45"/>
      <c r="N316" s="45"/>
      <c r="O316" s="45"/>
      <c r="P316" s="45"/>
      <c r="Q316" s="45"/>
      <c r="R316" s="45"/>
      <c r="S316" s="45"/>
      <c r="T316" s="45"/>
      <c r="U316" s="45"/>
      <c r="V316" s="45"/>
      <c r="W316" s="45"/>
      <c r="X316" s="45"/>
      <c r="Y316" s="45"/>
      <c r="Z316" s="45"/>
    </row>
    <row r="317">
      <c r="A317" s="51">
        <v>316.0</v>
      </c>
      <c r="B317" s="47" t="str">
        <f>'Project Stocktaking Template'!B318</f>
        <v>6 BED MATERNITY UNIT AT KAMUTHE DISPENSARY</v>
      </c>
      <c r="C317" s="47" t="str">
        <f>'Project Stocktaking Template'!H318</f>
        <v>Fafi</v>
      </c>
      <c r="D317" s="47" t="str">
        <f>'Project Stocktaking Template'!I318</f>
        <v>Nanighi</v>
      </c>
      <c r="E317" s="48" t="str">
        <f>'Project Stocktaking Template'!O318</f>
        <v>1st aug 2023</v>
      </c>
      <c r="F317" s="48" t="str">
        <f>'Project Stocktaking Template'!P318</f>
        <v>30th june 2024</v>
      </c>
      <c r="G317" s="48" t="str">
        <f>'Project Stocktaking Template'!Q318</f>
        <v>30th june 2024</v>
      </c>
      <c r="H317" s="49">
        <f>'Project Stocktaking Template'!R318</f>
        <v>249000</v>
      </c>
      <c r="I317" s="50" t="str">
        <f>'Project Stocktaking Template'!AD318</f>
        <v>Completed</v>
      </c>
      <c r="J317" s="45"/>
      <c r="K317" s="45"/>
      <c r="L317" s="45"/>
      <c r="M317" s="45"/>
      <c r="N317" s="45"/>
      <c r="O317" s="45"/>
      <c r="P317" s="45"/>
      <c r="Q317" s="45"/>
      <c r="R317" s="45"/>
      <c r="S317" s="45"/>
      <c r="T317" s="45"/>
      <c r="U317" s="45"/>
      <c r="V317" s="45"/>
      <c r="W317" s="45"/>
      <c r="X317" s="45"/>
      <c r="Y317" s="45"/>
      <c r="Z317" s="45"/>
    </row>
    <row r="318">
      <c r="A318" s="46">
        <v>317.0</v>
      </c>
      <c r="B318" s="47" t="str">
        <f>'Project Stocktaking Template'!B319</f>
        <v>CHAINLINK FENCE AT HAGARJARI PRIMARY</v>
      </c>
      <c r="C318" s="47" t="str">
        <f>'Project Stocktaking Template'!H319</f>
        <v>Fafi</v>
      </c>
      <c r="D318" s="47" t="str">
        <f>'Project Stocktaking Template'!I319</f>
        <v>Fafi</v>
      </c>
      <c r="E318" s="48" t="str">
        <f>'Project Stocktaking Template'!O319</f>
        <v>1st aug 2023</v>
      </c>
      <c r="F318" s="48" t="str">
        <f>'Project Stocktaking Template'!P319</f>
        <v>30th june 2024</v>
      </c>
      <c r="G318" s="48" t="str">
        <f>'Project Stocktaking Template'!Q319</f>
        <v>30th june 2024</v>
      </c>
      <c r="H318" s="49">
        <f>'Project Stocktaking Template'!R319</f>
        <v>249000</v>
      </c>
      <c r="I318" s="50" t="str">
        <f>'Project Stocktaking Template'!AD319</f>
        <v>Completed</v>
      </c>
      <c r="J318" s="45"/>
      <c r="K318" s="45"/>
      <c r="L318" s="45"/>
      <c r="M318" s="45"/>
      <c r="N318" s="45"/>
      <c r="O318" s="45"/>
      <c r="P318" s="45"/>
      <c r="Q318" s="45"/>
      <c r="R318" s="45"/>
      <c r="S318" s="45"/>
      <c r="T318" s="45"/>
      <c r="U318" s="45"/>
      <c r="V318" s="45"/>
      <c r="W318" s="45"/>
      <c r="X318" s="45"/>
      <c r="Y318" s="45"/>
      <c r="Z318" s="45"/>
    </row>
    <row r="319">
      <c r="A319" s="51">
        <v>318.0</v>
      </c>
      <c r="B319" s="47" t="str">
        <f>'Project Stocktaking Template'!B320</f>
        <v>CONSTRUCTION OF SHANTABAQ MARKETS</v>
      </c>
      <c r="C319" s="47" t="str">
        <f>'Project Stocktaking Template'!H320</f>
        <v>Lagdera</v>
      </c>
      <c r="D319" s="47" t="str">
        <f>'Project Stocktaking Template'!I320</f>
        <v>Township</v>
      </c>
      <c r="E319" s="48" t="str">
        <f>'Project Stocktaking Template'!O320</f>
        <v>1st aug 2023</v>
      </c>
      <c r="F319" s="48" t="str">
        <f>'Project Stocktaking Template'!P320</f>
        <v>30th june 2024</v>
      </c>
      <c r="G319" s="48" t="str">
        <f>'Project Stocktaking Template'!Q320</f>
        <v>30th june 2024</v>
      </c>
      <c r="H319" s="49">
        <f>'Project Stocktaking Template'!R320</f>
        <v>250000</v>
      </c>
      <c r="I319" s="50" t="str">
        <f>'Project Stocktaking Template'!AD320</f>
        <v>Completed</v>
      </c>
      <c r="J319" s="45"/>
      <c r="K319" s="45"/>
      <c r="L319" s="45"/>
      <c r="M319" s="45"/>
      <c r="N319" s="45"/>
      <c r="O319" s="45"/>
      <c r="P319" s="45"/>
      <c r="Q319" s="45"/>
      <c r="R319" s="45"/>
      <c r="S319" s="45"/>
      <c r="T319" s="45"/>
      <c r="U319" s="45"/>
      <c r="V319" s="45"/>
      <c r="W319" s="45"/>
      <c r="X319" s="45"/>
      <c r="Y319" s="45"/>
      <c r="Z319" s="45"/>
    </row>
    <row r="320">
      <c r="A320" s="46">
        <v>319.0</v>
      </c>
      <c r="B320" s="47" t="str">
        <f>'Project Stocktaking Template'!B321</f>
        <v>PERIMETER WALL AT BULLA MASALANI GRAVE YARD</v>
      </c>
      <c r="C320" s="47" t="str">
        <f>'Project Stocktaking Template'!H321</f>
        <v>GarissaTownship</v>
      </c>
      <c r="D320" s="47" t="str">
        <f>'Project Stocktaking Template'!I321</f>
        <v>Waberi</v>
      </c>
      <c r="E320" s="48" t="str">
        <f>'Project Stocktaking Template'!O321</f>
        <v>1st aug 2023</v>
      </c>
      <c r="F320" s="48" t="str">
        <f>'Project Stocktaking Template'!P321</f>
        <v>30th june 2024</v>
      </c>
      <c r="G320" s="48" t="str">
        <f>'Project Stocktaking Template'!Q321</f>
        <v>30th june 2024</v>
      </c>
      <c r="H320" s="49">
        <f>'Project Stocktaking Template'!R321</f>
        <v>250000</v>
      </c>
      <c r="I320" s="50" t="str">
        <f>'Project Stocktaking Template'!AD321</f>
        <v>Completed</v>
      </c>
      <c r="J320" s="45"/>
      <c r="K320" s="45"/>
      <c r="L320" s="45"/>
      <c r="M320" s="45"/>
      <c r="N320" s="45"/>
      <c r="O320" s="45"/>
      <c r="P320" s="45"/>
      <c r="Q320" s="45"/>
      <c r="R320" s="45"/>
      <c r="S320" s="45"/>
      <c r="T320" s="45"/>
      <c r="U320" s="45"/>
      <c r="V320" s="45"/>
      <c r="W320" s="45"/>
      <c r="X320" s="45"/>
      <c r="Y320" s="45"/>
      <c r="Z320" s="45"/>
    </row>
    <row r="321">
      <c r="A321" s="51">
        <v>320.0</v>
      </c>
      <c r="B321" s="47" t="str">
        <f>'Project Stocktaking Template'!B322</f>
        <v>EQUPING OF BAHURI BOREHOLE</v>
      </c>
      <c r="C321" s="47" t="str">
        <f>'Project Stocktaking Template'!H322</f>
        <v>GarissaTownship</v>
      </c>
      <c r="D321" s="47" t="str">
        <f>'Project Stocktaking Template'!I322</f>
        <v>Township</v>
      </c>
      <c r="E321" s="48" t="str">
        <f>'Project Stocktaking Template'!O322</f>
        <v>1st aug 2023</v>
      </c>
      <c r="F321" s="48" t="str">
        <f>'Project Stocktaking Template'!P322</f>
        <v>30th june 2024</v>
      </c>
      <c r="G321" s="48" t="str">
        <f>'Project Stocktaking Template'!Q322</f>
        <v>30th june 2024</v>
      </c>
      <c r="H321" s="49">
        <f>'Project Stocktaking Template'!R322</f>
        <v>250000</v>
      </c>
      <c r="I321" s="50" t="str">
        <f>'Project Stocktaking Template'!AD322</f>
        <v>Completed</v>
      </c>
      <c r="J321" s="45"/>
      <c r="K321" s="45"/>
      <c r="L321" s="45"/>
      <c r="M321" s="45"/>
      <c r="N321" s="45"/>
      <c r="O321" s="45"/>
      <c r="P321" s="45"/>
      <c r="Q321" s="45"/>
      <c r="R321" s="45"/>
      <c r="S321" s="45"/>
      <c r="T321" s="45"/>
      <c r="U321" s="45"/>
      <c r="V321" s="45"/>
      <c r="W321" s="45"/>
      <c r="X321" s="45"/>
      <c r="Y321" s="45"/>
      <c r="Z321" s="45"/>
    </row>
    <row r="322">
      <c r="A322" s="46">
        <v>321.0</v>
      </c>
      <c r="B322" s="47" t="str">
        <f>'Project Stocktaking Template'!B323</f>
        <v>CHAINLINK FENCE AT MALEYLEY DISPENSARY</v>
      </c>
      <c r="C322" s="47" t="str">
        <f>'Project Stocktaking Template'!H323</f>
        <v>GarissaTownship</v>
      </c>
      <c r="D322" s="47" t="str">
        <f>'Project Stocktaking Template'!I323</f>
        <v>Township</v>
      </c>
      <c r="E322" s="48" t="str">
        <f>'Project Stocktaking Template'!O323</f>
        <v>1st aug 2023</v>
      </c>
      <c r="F322" s="48" t="str">
        <f>'Project Stocktaking Template'!P323</f>
        <v>30th june 2024</v>
      </c>
      <c r="G322" s="48" t="str">
        <f>'Project Stocktaking Template'!Q323</f>
        <v>30th june 2024</v>
      </c>
      <c r="H322" s="49">
        <f>'Project Stocktaking Template'!R323</f>
        <v>252000</v>
      </c>
      <c r="I322" s="50" t="str">
        <f>'Project Stocktaking Template'!AD323</f>
        <v>Completed</v>
      </c>
      <c r="J322" s="45"/>
      <c r="K322" s="45"/>
      <c r="L322" s="45"/>
      <c r="M322" s="45"/>
      <c r="N322" s="45"/>
      <c r="O322" s="45"/>
      <c r="P322" s="45"/>
      <c r="Q322" s="45"/>
      <c r="R322" s="45"/>
      <c r="S322" s="45"/>
      <c r="T322" s="45"/>
      <c r="U322" s="45"/>
      <c r="V322" s="45"/>
      <c r="W322" s="45"/>
      <c r="X322" s="45"/>
      <c r="Y322" s="45"/>
      <c r="Z322" s="45"/>
    </row>
    <row r="323">
      <c r="A323" s="51">
        <v>322.0</v>
      </c>
      <c r="B323" s="47" t="str">
        <f>'Project Stocktaking Template'!B324</f>
        <v>CHAINLINK FENCE AT BANANE AP CAMP</v>
      </c>
      <c r="C323" s="47" t="str">
        <f>'Project Stocktaking Template'!H324</f>
        <v>Lagdera</v>
      </c>
      <c r="D323" s="47" t="str">
        <f>'Project Stocktaking Template'!I324</f>
        <v>Benane</v>
      </c>
      <c r="E323" s="48" t="str">
        <f>'Project Stocktaking Template'!O324</f>
        <v>1st aug 2023</v>
      </c>
      <c r="F323" s="48" t="str">
        <f>'Project Stocktaking Template'!P324</f>
        <v>30th june 2024</v>
      </c>
      <c r="G323" s="48" t="str">
        <f>'Project Stocktaking Template'!Q324</f>
        <v>30th june 2024</v>
      </c>
      <c r="H323" s="49">
        <f>'Project Stocktaking Template'!R324</f>
        <v>252000</v>
      </c>
      <c r="I323" s="50" t="str">
        <f>'Project Stocktaking Template'!AD324</f>
        <v>Completed</v>
      </c>
      <c r="J323" s="45"/>
      <c r="K323" s="45"/>
      <c r="L323" s="45"/>
      <c r="M323" s="45"/>
      <c r="N323" s="45"/>
      <c r="O323" s="45"/>
      <c r="P323" s="45"/>
      <c r="Q323" s="45"/>
      <c r="R323" s="45"/>
      <c r="S323" s="45"/>
      <c r="T323" s="45"/>
      <c r="U323" s="45"/>
      <c r="V323" s="45"/>
      <c r="W323" s="45"/>
      <c r="X323" s="45"/>
      <c r="Y323" s="45"/>
      <c r="Z323" s="45"/>
    </row>
    <row r="324">
      <c r="A324" s="46">
        <v>323.0</v>
      </c>
      <c r="B324" s="47" t="str">
        <f>'Project Stocktaking Template'!B325</f>
        <v>CONSTRUCTION OF TWO ECDE CLASS ROOMS, CHAINLINK FENCING AND TWIN PIT LATRINE AT MADHAHGISI PRIMARY SCHOOL</v>
      </c>
      <c r="C324" s="47" t="str">
        <f>'Project Stocktaking Template'!H325</f>
        <v>Dadaab</v>
      </c>
      <c r="D324" s="47" t="str">
        <f>'Project Stocktaking Template'!I325</f>
        <v>Damajale</v>
      </c>
      <c r="E324" s="48" t="str">
        <f>'Project Stocktaking Template'!O325</f>
        <v>1st aug 2023</v>
      </c>
      <c r="F324" s="48" t="str">
        <f>'Project Stocktaking Template'!P325</f>
        <v>30th june 2024</v>
      </c>
      <c r="G324" s="48" t="str">
        <f>'Project Stocktaking Template'!Q325</f>
        <v>30th june 2024</v>
      </c>
      <c r="H324" s="49">
        <f>'Project Stocktaking Template'!R325</f>
        <v>255000</v>
      </c>
      <c r="I324" s="50" t="str">
        <f>'Project Stocktaking Template'!AD325</f>
        <v>Completed</v>
      </c>
      <c r="J324" s="45"/>
      <c r="K324" s="45"/>
      <c r="L324" s="45"/>
      <c r="M324" s="45"/>
      <c r="N324" s="45"/>
      <c r="O324" s="45"/>
      <c r="P324" s="45"/>
      <c r="Q324" s="45"/>
      <c r="R324" s="45"/>
      <c r="S324" s="45"/>
      <c r="T324" s="45"/>
      <c r="U324" s="45"/>
      <c r="V324" s="45"/>
      <c r="W324" s="45"/>
      <c r="X324" s="45"/>
      <c r="Y324" s="45"/>
      <c r="Z324" s="45"/>
    </row>
    <row r="325">
      <c r="A325" s="51">
        <v>324.0</v>
      </c>
      <c r="B325" s="47" t="str">
        <f>'Project Stocktaking Template'!B326</f>
        <v>PROPOSED RENOVATION/REFURBISHMENT TO GOVERNMENT HOUSE MG15,MG21,MG10 IN GARISSA TOWN</v>
      </c>
      <c r="C325" s="47" t="str">
        <f>'Project Stocktaking Template'!H326</f>
        <v>GarissaTownship</v>
      </c>
      <c r="D325" s="47" t="str">
        <f>'Project Stocktaking Template'!I326</f>
        <v>Township</v>
      </c>
      <c r="E325" s="48" t="str">
        <f>'Project Stocktaking Template'!O326</f>
        <v>1st aug 2023</v>
      </c>
      <c r="F325" s="48" t="str">
        <f>'Project Stocktaking Template'!P326</f>
        <v>30th june 2024</v>
      </c>
      <c r="G325" s="48" t="str">
        <f>'Project Stocktaking Template'!Q326</f>
        <v>30th june 2024</v>
      </c>
      <c r="H325" s="49">
        <f>'Project Stocktaking Template'!R326</f>
        <v>255000</v>
      </c>
      <c r="I325" s="50" t="str">
        <f>'Project Stocktaking Template'!AD326</f>
        <v>Completed</v>
      </c>
      <c r="J325" s="45"/>
      <c r="K325" s="45"/>
      <c r="L325" s="45"/>
      <c r="M325" s="45"/>
      <c r="N325" s="45"/>
      <c r="O325" s="45"/>
      <c r="P325" s="45"/>
      <c r="Q325" s="45"/>
      <c r="R325" s="45"/>
      <c r="S325" s="45"/>
      <c r="T325" s="45"/>
      <c r="U325" s="45"/>
      <c r="V325" s="45"/>
      <c r="W325" s="45"/>
      <c r="X325" s="45"/>
      <c r="Y325" s="45"/>
      <c r="Z325" s="45"/>
    </row>
    <row r="326">
      <c r="A326" s="46">
        <v>325.0</v>
      </c>
      <c r="B326" s="47" t="str">
        <f>'Project Stocktaking Template'!B327</f>
        <v>CONSTRUCTION OF BULA WABERI DRIFT ROAD</v>
      </c>
      <c r="C326" s="47" t="str">
        <f>'Project Stocktaking Template'!H327</f>
        <v>GarissaTownship</v>
      </c>
      <c r="D326" s="47" t="str">
        <f>'Project Stocktaking Template'!I327</f>
        <v>Waberi</v>
      </c>
      <c r="E326" s="48" t="str">
        <f>'Project Stocktaking Template'!O327</f>
        <v>1st aug 2023</v>
      </c>
      <c r="F326" s="48" t="str">
        <f>'Project Stocktaking Template'!P327</f>
        <v>30th june 2024</v>
      </c>
      <c r="G326" s="48" t="str">
        <f>'Project Stocktaking Template'!Q327</f>
        <v>30th june 2024</v>
      </c>
      <c r="H326" s="49">
        <f>'Project Stocktaking Template'!R327</f>
        <v>256000</v>
      </c>
      <c r="I326" s="50" t="str">
        <f>'Project Stocktaking Template'!AD327</f>
        <v>Completed</v>
      </c>
      <c r="J326" s="45"/>
      <c r="K326" s="45"/>
      <c r="L326" s="45"/>
      <c r="M326" s="45"/>
      <c r="N326" s="45"/>
      <c r="O326" s="45"/>
      <c r="P326" s="45"/>
      <c r="Q326" s="45"/>
      <c r="R326" s="45"/>
      <c r="S326" s="45"/>
      <c r="T326" s="45"/>
      <c r="U326" s="45"/>
      <c r="V326" s="45"/>
      <c r="W326" s="45"/>
      <c r="X326" s="45"/>
      <c r="Y326" s="45"/>
      <c r="Z326" s="45"/>
    </row>
    <row r="327">
      <c r="A327" s="51">
        <v>326.0</v>
      </c>
      <c r="B327" s="47" t="str">
        <f>'Project Stocktaking Template'!B328</f>
        <v>CONSTRUCTION OF WATER PAN AT AGAGUDALEY IN IJARA</v>
      </c>
      <c r="C327" s="47" t="str">
        <f>'Project Stocktaking Template'!H328</f>
        <v>Ijara</v>
      </c>
      <c r="D327" s="47" t="str">
        <f>'Project Stocktaking Template'!I328</f>
        <v>Ijara</v>
      </c>
      <c r="E327" s="48" t="str">
        <f>'Project Stocktaking Template'!O328</f>
        <v>1st aug 2023</v>
      </c>
      <c r="F327" s="48" t="str">
        <f>'Project Stocktaking Template'!P328</f>
        <v>30th june 2024</v>
      </c>
      <c r="G327" s="48" t="str">
        <f>'Project Stocktaking Template'!Q328</f>
        <v>30th june 2024</v>
      </c>
      <c r="H327" s="49">
        <f>'Project Stocktaking Template'!R328</f>
        <v>257000</v>
      </c>
      <c r="I327" s="50" t="str">
        <f>'Project Stocktaking Template'!AD328</f>
        <v>Completed</v>
      </c>
      <c r="J327" s="45"/>
      <c r="K327" s="45"/>
      <c r="L327" s="45"/>
      <c r="M327" s="45"/>
      <c r="N327" s="45"/>
      <c r="O327" s="45"/>
      <c r="P327" s="45"/>
      <c r="Q327" s="45"/>
      <c r="R327" s="45"/>
      <c r="S327" s="45"/>
      <c r="T327" s="45"/>
      <c r="U327" s="45"/>
      <c r="V327" s="45"/>
      <c r="W327" s="45"/>
      <c r="X327" s="45"/>
      <c r="Y327" s="45"/>
      <c r="Z327" s="45"/>
    </row>
    <row r="328">
      <c r="A328" s="46">
        <v>327.0</v>
      </c>
      <c r="B328" s="47" t="str">
        <f>'Project Stocktaking Template'!B329</f>
        <v>CONSTRUCTION OF NEW WATER SUPPLY AT LIBOI CENTRE</v>
      </c>
      <c r="C328" s="47" t="str">
        <f>'Project Stocktaking Template'!H329</f>
        <v>Dadaab</v>
      </c>
      <c r="D328" s="47" t="str">
        <f>'Project Stocktaking Template'!I329</f>
        <v>Liboi</v>
      </c>
      <c r="E328" s="48" t="str">
        <f>'Project Stocktaking Template'!O329</f>
        <v>1st aug 2023</v>
      </c>
      <c r="F328" s="48" t="str">
        <f>'Project Stocktaking Template'!P329</f>
        <v>30th june 2024</v>
      </c>
      <c r="G328" s="48" t="str">
        <f>'Project Stocktaking Template'!Q329</f>
        <v>30th june 2024</v>
      </c>
      <c r="H328" s="49">
        <f>'Project Stocktaking Template'!R329</f>
        <v>260000</v>
      </c>
      <c r="I328" s="50" t="str">
        <f>'Project Stocktaking Template'!AD329</f>
        <v>Completed</v>
      </c>
      <c r="J328" s="45"/>
      <c r="K328" s="45"/>
      <c r="L328" s="45"/>
      <c r="M328" s="45"/>
      <c r="N328" s="45"/>
      <c r="O328" s="45"/>
      <c r="P328" s="45"/>
      <c r="Q328" s="45"/>
      <c r="R328" s="45"/>
      <c r="S328" s="45"/>
      <c r="T328" s="45"/>
      <c r="U328" s="45"/>
      <c r="V328" s="45"/>
      <c r="W328" s="45"/>
      <c r="X328" s="45"/>
      <c r="Y328" s="45"/>
      <c r="Z328" s="45"/>
    </row>
    <row r="329">
      <c r="A329" s="51">
        <v>328.0</v>
      </c>
      <c r="B329" s="47" t="str">
        <f>'Project Stocktaking Template'!B330</f>
        <v>FENCING OF WILDLIFE DRINKING WATER PAN</v>
      </c>
      <c r="C329" s="47" t="str">
        <f>'Project Stocktaking Template'!H330</f>
        <v>GarissaTownship</v>
      </c>
      <c r="D329" s="47" t="str">
        <f>'Project Stocktaking Template'!I330</f>
        <v>Township</v>
      </c>
      <c r="E329" s="48" t="str">
        <f>'Project Stocktaking Template'!O330</f>
        <v>1st aug 2023</v>
      </c>
      <c r="F329" s="48" t="str">
        <f>'Project Stocktaking Template'!P330</f>
        <v>30th june 2024</v>
      </c>
      <c r="G329" s="48" t="str">
        <f>'Project Stocktaking Template'!Q330</f>
        <v>30th june 2024</v>
      </c>
      <c r="H329" s="49">
        <f>'Project Stocktaking Template'!R330</f>
        <v>261000</v>
      </c>
      <c r="I329" s="50" t="str">
        <f>'Project Stocktaking Template'!AD330</f>
        <v>Completed</v>
      </c>
      <c r="J329" s="45"/>
      <c r="K329" s="45"/>
      <c r="L329" s="45"/>
      <c r="M329" s="45"/>
      <c r="N329" s="45"/>
      <c r="O329" s="45"/>
      <c r="P329" s="45"/>
      <c r="Q329" s="45"/>
      <c r="R329" s="45"/>
      <c r="S329" s="45"/>
      <c r="T329" s="45"/>
      <c r="U329" s="45"/>
      <c r="V329" s="45"/>
      <c r="W329" s="45"/>
      <c r="X329" s="45"/>
      <c r="Y329" s="45"/>
      <c r="Z329" s="45"/>
    </row>
    <row r="330">
      <c r="A330" s="46">
        <v>329.0</v>
      </c>
      <c r="B330" s="47" t="str">
        <f>'Project Stocktaking Template'!B331</f>
        <v>CONSTRUCTION OF ECD CLASSROM AT MADINA PRIMARY</v>
      </c>
      <c r="C330" s="47" t="str">
        <f>'Project Stocktaking Template'!H331</f>
        <v>GarissaTownship</v>
      </c>
      <c r="D330" s="47" t="str">
        <f>'Project Stocktaking Template'!I331</f>
        <v>Township</v>
      </c>
      <c r="E330" s="48" t="str">
        <f>'Project Stocktaking Template'!O331</f>
        <v>1st aug 2023</v>
      </c>
      <c r="F330" s="48" t="str">
        <f>'Project Stocktaking Template'!P331</f>
        <v>30th june 2024</v>
      </c>
      <c r="G330" s="48" t="str">
        <f>'Project Stocktaking Template'!Q331</f>
        <v>30th june 2024</v>
      </c>
      <c r="H330" s="49">
        <f>'Project Stocktaking Template'!R331</f>
        <v>261300</v>
      </c>
      <c r="I330" s="50" t="str">
        <f>'Project Stocktaking Template'!AD331</f>
        <v>Completed</v>
      </c>
      <c r="J330" s="45"/>
      <c r="K330" s="45"/>
      <c r="L330" s="45"/>
      <c r="M330" s="45"/>
      <c r="N330" s="45"/>
      <c r="O330" s="45"/>
      <c r="P330" s="45"/>
      <c r="Q330" s="45"/>
      <c r="R330" s="45"/>
      <c r="S330" s="45"/>
      <c r="T330" s="45"/>
      <c r="U330" s="45"/>
      <c r="V330" s="45"/>
      <c r="W330" s="45"/>
      <c r="X330" s="45"/>
      <c r="Y330" s="45"/>
      <c r="Z330" s="45"/>
    </row>
    <row r="331">
      <c r="A331" s="51">
        <v>330.0</v>
      </c>
      <c r="B331" s="47" t="str">
        <f>'Project Stocktaking Template'!B332</f>
        <v>CHAINLINK FENCE AT KIWANJA PRIMARY</v>
      </c>
      <c r="C331" s="47" t="str">
        <f>'Project Stocktaking Template'!H332</f>
        <v>GarissaTownship</v>
      </c>
      <c r="D331" s="47" t="str">
        <f>'Project Stocktaking Template'!I332</f>
        <v>Township</v>
      </c>
      <c r="E331" s="48" t="str">
        <f>'Project Stocktaking Template'!O332</f>
        <v>1st aug 2023</v>
      </c>
      <c r="F331" s="48" t="str">
        <f>'Project Stocktaking Template'!P332</f>
        <v>30th june 2024</v>
      </c>
      <c r="G331" s="48" t="str">
        <f>'Project Stocktaking Template'!Q332</f>
        <v>30th june 2024</v>
      </c>
      <c r="H331" s="49">
        <f>'Project Stocktaking Template'!R332</f>
        <v>265000</v>
      </c>
      <c r="I331" s="50" t="str">
        <f>'Project Stocktaking Template'!AD332</f>
        <v>Completed</v>
      </c>
      <c r="J331" s="45"/>
      <c r="K331" s="45"/>
      <c r="L331" s="45"/>
      <c r="M331" s="45"/>
      <c r="N331" s="45"/>
      <c r="O331" s="45"/>
      <c r="P331" s="45"/>
      <c r="Q331" s="45"/>
      <c r="R331" s="45"/>
      <c r="S331" s="45"/>
      <c r="T331" s="45"/>
      <c r="U331" s="45"/>
      <c r="V331" s="45"/>
      <c r="W331" s="45"/>
      <c r="X331" s="45"/>
      <c r="Y331" s="45"/>
      <c r="Z331" s="45"/>
    </row>
    <row r="332">
      <c r="A332" s="46">
        <v>331.0</v>
      </c>
      <c r="B332" s="47" t="str">
        <f>'Project Stocktaking Template'!B333</f>
        <v>CLEANING AND UPGRDAING OF MARE DAROW ROAD</v>
      </c>
      <c r="C332" s="47" t="str">
        <f>'Project Stocktaking Template'!H333</f>
        <v>GarissaTownship</v>
      </c>
      <c r="D332" s="47" t="str">
        <f>'Project Stocktaking Template'!I333</f>
        <v>Township</v>
      </c>
      <c r="E332" s="48" t="str">
        <f>'Project Stocktaking Template'!O333</f>
        <v>1st aug 2023</v>
      </c>
      <c r="F332" s="48" t="str">
        <f>'Project Stocktaking Template'!P333</f>
        <v>30th june 2024</v>
      </c>
      <c r="G332" s="48" t="str">
        <f>'Project Stocktaking Template'!Q333</f>
        <v>30th june 2024</v>
      </c>
      <c r="H332" s="49">
        <f>'Project Stocktaking Template'!R333</f>
        <v>268000</v>
      </c>
      <c r="I332" s="50" t="str">
        <f>'Project Stocktaking Template'!AD333</f>
        <v>Completed</v>
      </c>
      <c r="J332" s="45"/>
      <c r="K332" s="45"/>
      <c r="L332" s="45"/>
      <c r="M332" s="45"/>
      <c r="N332" s="45"/>
      <c r="O332" s="45"/>
      <c r="P332" s="45"/>
      <c r="Q332" s="45"/>
      <c r="R332" s="45"/>
      <c r="S332" s="45"/>
      <c r="T332" s="45"/>
      <c r="U332" s="45"/>
      <c r="V332" s="45"/>
      <c r="W332" s="45"/>
      <c r="X332" s="45"/>
      <c r="Y332" s="45"/>
      <c r="Z332" s="45"/>
    </row>
    <row r="333">
      <c r="A333" s="51">
        <v>332.0</v>
      </c>
      <c r="B333" s="47" t="str">
        <f>'Project Stocktaking Template'!B334</f>
        <v>IMPROVEMENT OF MASALANI WEMA ROAD</v>
      </c>
      <c r="C333" s="47" t="str">
        <f>'Project Stocktaking Template'!H334</f>
        <v>GarissaTownship</v>
      </c>
      <c r="D333" s="47" t="str">
        <f>'Project Stocktaking Template'!I334</f>
        <v>Township</v>
      </c>
      <c r="E333" s="48" t="str">
        <f>'Project Stocktaking Template'!O334</f>
        <v>1st aug 2023</v>
      </c>
      <c r="F333" s="48" t="str">
        <f>'Project Stocktaking Template'!P334</f>
        <v>30th june 2024</v>
      </c>
      <c r="G333" s="48" t="str">
        <f>'Project Stocktaking Template'!Q334</f>
        <v>30th june 2024</v>
      </c>
      <c r="H333" s="49">
        <f>'Project Stocktaking Template'!R334</f>
        <v>268000</v>
      </c>
      <c r="I333" s="50" t="str">
        <f>'Project Stocktaking Template'!AD334</f>
        <v>Completed</v>
      </c>
      <c r="J333" s="45"/>
      <c r="K333" s="45"/>
      <c r="L333" s="45"/>
      <c r="M333" s="45"/>
      <c r="N333" s="45"/>
      <c r="O333" s="45"/>
      <c r="P333" s="45"/>
      <c r="Q333" s="45"/>
      <c r="R333" s="45"/>
      <c r="S333" s="45"/>
      <c r="T333" s="45"/>
      <c r="U333" s="45"/>
      <c r="V333" s="45"/>
      <c r="W333" s="45"/>
      <c r="X333" s="45"/>
      <c r="Y333" s="45"/>
      <c r="Z333" s="45"/>
    </row>
    <row r="334">
      <c r="A334" s="46">
        <v>333.0</v>
      </c>
      <c r="B334" s="47" t="str">
        <f>'Project Stocktaking Template'!B335</f>
        <v>CONSTRUCTOION OF MARKET STALL AT GABABA </v>
      </c>
      <c r="C334" s="47" t="str">
        <f>'Project Stocktaking Template'!H335</f>
        <v>GarissaTownship</v>
      </c>
      <c r="D334" s="47" t="str">
        <f>'Project Stocktaking Template'!I335</f>
        <v>Township</v>
      </c>
      <c r="E334" s="48" t="str">
        <f>'Project Stocktaking Template'!O335</f>
        <v>1st aug 2023</v>
      </c>
      <c r="F334" s="48" t="str">
        <f>'Project Stocktaking Template'!P335</f>
        <v>30th june 2024</v>
      </c>
      <c r="G334" s="48" t="str">
        <f>'Project Stocktaking Template'!Q335</f>
        <v>30th june 2024</v>
      </c>
      <c r="H334" s="49">
        <f>'Project Stocktaking Template'!R335</f>
        <v>269000</v>
      </c>
      <c r="I334" s="50" t="str">
        <f>'Project Stocktaking Template'!AD335</f>
        <v>Completed</v>
      </c>
      <c r="J334" s="45"/>
      <c r="K334" s="45"/>
      <c r="L334" s="45"/>
      <c r="M334" s="45"/>
      <c r="N334" s="45"/>
      <c r="O334" s="45"/>
      <c r="P334" s="45"/>
      <c r="Q334" s="45"/>
      <c r="R334" s="45"/>
      <c r="S334" s="45"/>
      <c r="T334" s="45"/>
      <c r="U334" s="45"/>
      <c r="V334" s="45"/>
      <c r="W334" s="45"/>
      <c r="X334" s="45"/>
      <c r="Y334" s="45"/>
      <c r="Z334" s="45"/>
    </row>
    <row r="335">
      <c r="A335" s="51">
        <v>334.0</v>
      </c>
      <c r="B335" s="47" t="str">
        <f>'Project Stocktaking Template'!B336</f>
        <v>FENCING OF WILDLIFE DRINKING WATER PAN</v>
      </c>
      <c r="C335" s="47" t="str">
        <f>'Project Stocktaking Template'!H336</f>
        <v>GarissaTownship</v>
      </c>
      <c r="D335" s="47" t="str">
        <f>'Project Stocktaking Template'!I336</f>
        <v>Township</v>
      </c>
      <c r="E335" s="48" t="str">
        <f>'Project Stocktaking Template'!O336</f>
        <v>1st aug 2023</v>
      </c>
      <c r="F335" s="48" t="str">
        <f>'Project Stocktaking Template'!P336</f>
        <v>30th june 2024</v>
      </c>
      <c r="G335" s="48" t="str">
        <f>'Project Stocktaking Template'!Q336</f>
        <v>30th june 2024</v>
      </c>
      <c r="H335" s="49">
        <f>'Project Stocktaking Template'!R336</f>
        <v>270000</v>
      </c>
      <c r="I335" s="50" t="str">
        <f>'Project Stocktaking Template'!AD336</f>
        <v>Completed</v>
      </c>
      <c r="J335" s="45"/>
      <c r="K335" s="45"/>
      <c r="L335" s="45"/>
      <c r="M335" s="45"/>
      <c r="N335" s="45"/>
      <c r="O335" s="45"/>
      <c r="P335" s="45"/>
      <c r="Q335" s="45"/>
      <c r="R335" s="45"/>
      <c r="S335" s="45"/>
      <c r="T335" s="45"/>
      <c r="U335" s="45"/>
      <c r="V335" s="45"/>
      <c r="W335" s="45"/>
      <c r="X335" s="45"/>
      <c r="Y335" s="45"/>
      <c r="Z335" s="45"/>
    </row>
    <row r="336">
      <c r="A336" s="46">
        <v>335.0</v>
      </c>
      <c r="B336" s="47" t="str">
        <f>'Project Stocktaking Template'!B337</f>
        <v>MAINTAINANCE OF SHUKRI KABAHAY ROAD</v>
      </c>
      <c r="C336" s="47" t="str">
        <f>'Project Stocktaking Template'!H337</f>
        <v>GarissaTownship</v>
      </c>
      <c r="D336" s="47" t="str">
        <f>'Project Stocktaking Template'!I337</f>
        <v>Township</v>
      </c>
      <c r="E336" s="48" t="str">
        <f>'Project Stocktaking Template'!O337</f>
        <v>1st aug 2023</v>
      </c>
      <c r="F336" s="48" t="str">
        <f>'Project Stocktaking Template'!P337</f>
        <v>30th june 2024</v>
      </c>
      <c r="G336" s="48" t="str">
        <f>'Project Stocktaking Template'!Q337</f>
        <v>30th june 2024</v>
      </c>
      <c r="H336" s="49">
        <f>'Project Stocktaking Template'!R337</f>
        <v>272000</v>
      </c>
      <c r="I336" s="50" t="str">
        <f>'Project Stocktaking Template'!AD337</f>
        <v>Completed</v>
      </c>
      <c r="J336" s="45"/>
      <c r="K336" s="45"/>
      <c r="L336" s="45"/>
      <c r="M336" s="45"/>
      <c r="N336" s="45"/>
      <c r="O336" s="45"/>
      <c r="P336" s="45"/>
      <c r="Q336" s="45"/>
      <c r="R336" s="45"/>
      <c r="S336" s="45"/>
      <c r="T336" s="45"/>
      <c r="U336" s="45"/>
      <c r="V336" s="45"/>
      <c r="W336" s="45"/>
      <c r="X336" s="45"/>
      <c r="Y336" s="45"/>
      <c r="Z336" s="45"/>
    </row>
    <row r="337">
      <c r="A337" s="51">
        <v>336.0</v>
      </c>
      <c r="B337" s="47" t="str">
        <f>'Project Stocktaking Template'!B338</f>
        <v>CHAINLINK FENCE AT HULIGJHPO PLAY GROUND</v>
      </c>
      <c r="C337" s="47" t="str">
        <f>'Project Stocktaking Template'!H338</f>
        <v>GarissaTownship</v>
      </c>
      <c r="D337" s="47" t="str">
        <f>'Project Stocktaking Template'!I338</f>
        <v>Township</v>
      </c>
      <c r="E337" s="48" t="str">
        <f>'Project Stocktaking Template'!O338</f>
        <v>1st aug 2023</v>
      </c>
      <c r="F337" s="48" t="str">
        <f>'Project Stocktaking Template'!P338</f>
        <v>30th june 2024</v>
      </c>
      <c r="G337" s="48" t="str">
        <f>'Project Stocktaking Template'!Q338</f>
        <v>30th june 2024</v>
      </c>
      <c r="H337" s="49">
        <f>'Project Stocktaking Template'!R338</f>
        <v>273000</v>
      </c>
      <c r="I337" s="50" t="str">
        <f>'Project Stocktaking Template'!AD338</f>
        <v>Completed</v>
      </c>
      <c r="J337" s="45"/>
      <c r="K337" s="45"/>
      <c r="L337" s="45"/>
      <c r="M337" s="45"/>
      <c r="N337" s="45"/>
      <c r="O337" s="45"/>
      <c r="P337" s="45"/>
      <c r="Q337" s="45"/>
      <c r="R337" s="45"/>
      <c r="S337" s="45"/>
      <c r="T337" s="45"/>
      <c r="U337" s="45"/>
      <c r="V337" s="45"/>
      <c r="W337" s="45"/>
      <c r="X337" s="45"/>
      <c r="Y337" s="45"/>
      <c r="Z337" s="45"/>
    </row>
    <row r="338">
      <c r="A338" s="46">
        <v>337.0</v>
      </c>
      <c r="B338" s="47" t="str">
        <f>'Project Stocktaking Template'!B339</f>
        <v>CONSTRUCTION OF DEGELEMA WATER PAN</v>
      </c>
      <c r="C338" s="47" t="str">
        <f>'Project Stocktaking Template'!H339</f>
        <v>GarissaTownship</v>
      </c>
      <c r="D338" s="47" t="str">
        <f>'Project Stocktaking Template'!I339</f>
        <v>Township</v>
      </c>
      <c r="E338" s="48" t="str">
        <f>'Project Stocktaking Template'!O339</f>
        <v>1st aug 2023</v>
      </c>
      <c r="F338" s="48" t="str">
        <f>'Project Stocktaking Template'!P339</f>
        <v>30th june 2024</v>
      </c>
      <c r="G338" s="48" t="str">
        <f>'Project Stocktaking Template'!Q339</f>
        <v>30th june 2024</v>
      </c>
      <c r="H338" s="49">
        <f>'Project Stocktaking Template'!R339</f>
        <v>274000</v>
      </c>
      <c r="I338" s="50" t="str">
        <f>'Project Stocktaking Template'!AD339</f>
        <v>Completed</v>
      </c>
      <c r="J338" s="45"/>
      <c r="K338" s="45"/>
      <c r="L338" s="45"/>
      <c r="M338" s="45"/>
      <c r="N338" s="45"/>
      <c r="O338" s="45"/>
      <c r="P338" s="45"/>
      <c r="Q338" s="45"/>
      <c r="R338" s="45"/>
      <c r="S338" s="45"/>
      <c r="T338" s="45"/>
      <c r="U338" s="45"/>
      <c r="V338" s="45"/>
      <c r="W338" s="45"/>
      <c r="X338" s="45"/>
      <c r="Y338" s="45"/>
      <c r="Z338" s="45"/>
    </row>
    <row r="339">
      <c r="A339" s="51">
        <v>338.0</v>
      </c>
      <c r="B339" s="47" t="str">
        <f>'Project Stocktaking Template'!B340</f>
        <v>CONSTRUCTION OF CHAINLINK AT DUJIS DISPENSARY</v>
      </c>
      <c r="C339" s="47" t="str">
        <f>'Project Stocktaking Template'!H340</f>
        <v>Lagdera</v>
      </c>
      <c r="D339" s="47" t="str">
        <f>'Project Stocktaking Template'!I340</f>
        <v>Modogashe</v>
      </c>
      <c r="E339" s="48" t="str">
        <f>'Project Stocktaking Template'!O340</f>
        <v>1st aug 2023</v>
      </c>
      <c r="F339" s="48" t="str">
        <f>'Project Stocktaking Template'!P340</f>
        <v>30th june 2024</v>
      </c>
      <c r="G339" s="48" t="str">
        <f>'Project Stocktaking Template'!Q340</f>
        <v>30th june 2024</v>
      </c>
      <c r="H339" s="49">
        <f>'Project Stocktaking Template'!R340</f>
        <v>278000</v>
      </c>
      <c r="I339" s="50" t="str">
        <f>'Project Stocktaking Template'!AD340</f>
        <v>Completed</v>
      </c>
      <c r="J339" s="45"/>
      <c r="K339" s="45"/>
      <c r="L339" s="45"/>
      <c r="M339" s="45"/>
      <c r="N339" s="45"/>
      <c r="O339" s="45"/>
      <c r="P339" s="45"/>
      <c r="Q339" s="45"/>
      <c r="R339" s="45"/>
      <c r="S339" s="45"/>
      <c r="T339" s="45"/>
      <c r="U339" s="45"/>
      <c r="V339" s="45"/>
      <c r="W339" s="45"/>
      <c r="X339" s="45"/>
      <c r="Y339" s="45"/>
      <c r="Z339" s="45"/>
    </row>
    <row r="340">
      <c r="A340" s="46">
        <v>339.0</v>
      </c>
      <c r="B340" s="47" t="str">
        <f>'Project Stocktaking Template'!B341</f>
        <v>CHAINLI K FENCE AT KULAN PRIMARY</v>
      </c>
      <c r="C340" s="47" t="str">
        <f>'Project Stocktaking Template'!H341</f>
        <v>Dadaab</v>
      </c>
      <c r="D340" s="47" t="str">
        <f>'Project Stocktaking Template'!I341</f>
        <v>Liboi</v>
      </c>
      <c r="E340" s="48" t="str">
        <f>'Project Stocktaking Template'!O341</f>
        <v>1st aug 2023</v>
      </c>
      <c r="F340" s="48" t="str">
        <f>'Project Stocktaking Template'!P341</f>
        <v>30th june 2024</v>
      </c>
      <c r="G340" s="48" t="str">
        <f>'Project Stocktaking Template'!Q341</f>
        <v>30th june 2024</v>
      </c>
      <c r="H340" s="49">
        <f>'Project Stocktaking Template'!R341</f>
        <v>279000</v>
      </c>
      <c r="I340" s="50" t="str">
        <f>'Project Stocktaking Template'!AD341</f>
        <v>Completed</v>
      </c>
      <c r="J340" s="45"/>
      <c r="K340" s="45"/>
      <c r="L340" s="45"/>
      <c r="M340" s="45"/>
      <c r="N340" s="45"/>
      <c r="O340" s="45"/>
      <c r="P340" s="45"/>
      <c r="Q340" s="45"/>
      <c r="R340" s="45"/>
      <c r="S340" s="45"/>
      <c r="T340" s="45"/>
      <c r="U340" s="45"/>
      <c r="V340" s="45"/>
      <c r="W340" s="45"/>
      <c r="X340" s="45"/>
      <c r="Y340" s="45"/>
      <c r="Z340" s="45"/>
    </row>
    <row r="341">
      <c r="A341" s="51">
        <v>340.0</v>
      </c>
      <c r="B341" s="47" t="str">
        <f>'Project Stocktaking Template'!B342</f>
        <v>CHAINLINK FENCE AT MASALANI PRIMARY</v>
      </c>
      <c r="C341" s="47" t="str">
        <f>'Project Stocktaking Template'!H342</f>
        <v>Ijara</v>
      </c>
      <c r="D341" s="47" t="str">
        <f>'Project Stocktaking Template'!I342</f>
        <v>Masalani</v>
      </c>
      <c r="E341" s="48" t="str">
        <f>'Project Stocktaking Template'!O342</f>
        <v>1st aug 2023</v>
      </c>
      <c r="F341" s="48" t="str">
        <f>'Project Stocktaking Template'!P342</f>
        <v>30th june 2024</v>
      </c>
      <c r="G341" s="48" t="str">
        <f>'Project Stocktaking Template'!Q342</f>
        <v>30th june 2024</v>
      </c>
      <c r="H341" s="49">
        <f>'Project Stocktaking Template'!R342</f>
        <v>285000</v>
      </c>
      <c r="I341" s="50" t="str">
        <f>'Project Stocktaking Template'!AD342</f>
        <v>Completed</v>
      </c>
      <c r="J341" s="45"/>
      <c r="K341" s="45"/>
      <c r="L341" s="45"/>
      <c r="M341" s="45"/>
      <c r="N341" s="45"/>
      <c r="O341" s="45"/>
      <c r="P341" s="45"/>
      <c r="Q341" s="45"/>
      <c r="R341" s="45"/>
      <c r="S341" s="45"/>
      <c r="T341" s="45"/>
      <c r="U341" s="45"/>
      <c r="V341" s="45"/>
      <c r="W341" s="45"/>
      <c r="X341" s="45"/>
      <c r="Y341" s="45"/>
      <c r="Z341" s="45"/>
    </row>
    <row r="342">
      <c r="A342" s="46">
        <v>341.0</v>
      </c>
      <c r="B342" s="47" t="str">
        <f>'Project Stocktaking Template'!B343</f>
        <v>CONSTRUCTION AND CHAINLINK FENCING</v>
      </c>
      <c r="C342" s="47" t="str">
        <f>'Project Stocktaking Template'!H343</f>
        <v>GarissaTownship</v>
      </c>
      <c r="D342" s="47" t="str">
        <f>'Project Stocktaking Template'!I343</f>
        <v>Township</v>
      </c>
      <c r="E342" s="48" t="str">
        <f>'Project Stocktaking Template'!O343</f>
        <v>1st aug 2023</v>
      </c>
      <c r="F342" s="48" t="str">
        <f>'Project Stocktaking Template'!P343</f>
        <v>30th june 2024</v>
      </c>
      <c r="G342" s="48" t="str">
        <f>'Project Stocktaking Template'!Q343</f>
        <v>30th june 2024</v>
      </c>
      <c r="H342" s="49">
        <f>'Project Stocktaking Template'!R343</f>
        <v>289000</v>
      </c>
      <c r="I342" s="50" t="str">
        <f>'Project Stocktaking Template'!AD343</f>
        <v>Completed</v>
      </c>
      <c r="J342" s="45"/>
      <c r="K342" s="45"/>
      <c r="L342" s="45"/>
      <c r="M342" s="45"/>
      <c r="N342" s="45"/>
      <c r="O342" s="45"/>
      <c r="P342" s="45"/>
      <c r="Q342" s="45"/>
      <c r="R342" s="45"/>
      <c r="S342" s="45"/>
      <c r="T342" s="45"/>
      <c r="U342" s="45"/>
      <c r="V342" s="45"/>
      <c r="W342" s="45"/>
      <c r="X342" s="45"/>
      <c r="Y342" s="45"/>
      <c r="Z342" s="45"/>
    </row>
    <row r="343">
      <c r="A343" s="51">
        <v>342.0</v>
      </c>
      <c r="B343" s="47" t="str">
        <f>'Project Stocktaking Template'!B344</f>
        <v>CHAINLINK FENCE AT BARQUKE DISPENSARY</v>
      </c>
      <c r="C343" s="47" t="str">
        <f>'Project Stocktaking Template'!H344</f>
        <v>Lagdera</v>
      </c>
      <c r="D343" s="47" t="str">
        <f>'Project Stocktaking Template'!I344</f>
        <v>Galbet</v>
      </c>
      <c r="E343" s="48" t="str">
        <f>'Project Stocktaking Template'!O344</f>
        <v>1st aug 2023</v>
      </c>
      <c r="F343" s="48" t="str">
        <f>'Project Stocktaking Template'!P344</f>
        <v>30th june 2024</v>
      </c>
      <c r="G343" s="48" t="str">
        <f>'Project Stocktaking Template'!Q344</f>
        <v>30th june 2024</v>
      </c>
      <c r="H343" s="49">
        <f>'Project Stocktaking Template'!R344</f>
        <v>290000</v>
      </c>
      <c r="I343" s="50" t="str">
        <f>'Project Stocktaking Template'!AD344</f>
        <v>Completed</v>
      </c>
      <c r="J343" s="45"/>
      <c r="K343" s="45"/>
      <c r="L343" s="45"/>
      <c r="M343" s="45"/>
      <c r="N343" s="45"/>
      <c r="O343" s="45"/>
      <c r="P343" s="45"/>
      <c r="Q343" s="45"/>
      <c r="R343" s="45"/>
      <c r="S343" s="45"/>
      <c r="T343" s="45"/>
      <c r="U343" s="45"/>
      <c r="V343" s="45"/>
      <c r="W343" s="45"/>
      <c r="X343" s="45"/>
      <c r="Y343" s="45"/>
      <c r="Z343" s="45"/>
    </row>
    <row r="344">
      <c r="A344" s="46">
        <v>343.0</v>
      </c>
      <c r="B344" s="47" t="str">
        <f>'Project Stocktaking Template'!B345</f>
        <v>EQUIPING OF ALQARSADE BOREHOLE</v>
      </c>
      <c r="C344" s="47" t="str">
        <f>'Project Stocktaking Template'!H345</f>
        <v>GarissaTownship</v>
      </c>
      <c r="D344" s="47" t="str">
        <f>'Project Stocktaking Template'!I345</f>
        <v>Township</v>
      </c>
      <c r="E344" s="48" t="str">
        <f>'Project Stocktaking Template'!O345</f>
        <v>1st aug 2023</v>
      </c>
      <c r="F344" s="48" t="str">
        <f>'Project Stocktaking Template'!P345</f>
        <v>30th june 2024</v>
      </c>
      <c r="G344" s="48" t="str">
        <f>'Project Stocktaking Template'!Q345</f>
        <v>30th june 2024</v>
      </c>
      <c r="H344" s="49">
        <f>'Project Stocktaking Template'!R345</f>
        <v>290000</v>
      </c>
      <c r="I344" s="50" t="str">
        <f>'Project Stocktaking Template'!AD345</f>
        <v>Completed</v>
      </c>
      <c r="J344" s="45"/>
      <c r="K344" s="45"/>
      <c r="L344" s="45"/>
      <c r="M344" s="45"/>
      <c r="N344" s="45"/>
      <c r="O344" s="45"/>
      <c r="P344" s="45"/>
      <c r="Q344" s="45"/>
      <c r="R344" s="45"/>
      <c r="S344" s="45"/>
      <c r="T344" s="45"/>
      <c r="U344" s="45"/>
      <c r="V344" s="45"/>
      <c r="W344" s="45"/>
      <c r="X344" s="45"/>
      <c r="Y344" s="45"/>
      <c r="Z344" s="45"/>
    </row>
    <row r="345">
      <c r="A345" s="51">
        <v>344.0</v>
      </c>
      <c r="B345" s="47" t="str">
        <f>'Project Stocktaking Template'!B346</f>
        <v>CONSTRUCTION OF DOBALE ACCESS ROAD</v>
      </c>
      <c r="C345" s="47" t="str">
        <f>'Project Stocktaking Template'!H346</f>
        <v>GarissaTownship</v>
      </c>
      <c r="D345" s="47" t="str">
        <f>'Project Stocktaking Template'!I346</f>
        <v>Township</v>
      </c>
      <c r="E345" s="48" t="str">
        <f>'Project Stocktaking Template'!O346</f>
        <v>1st aug 2023</v>
      </c>
      <c r="F345" s="48" t="str">
        <f>'Project Stocktaking Template'!P346</f>
        <v>30th june 2024</v>
      </c>
      <c r="G345" s="48" t="str">
        <f>'Project Stocktaking Template'!Q346</f>
        <v>30th june 2024</v>
      </c>
      <c r="H345" s="49">
        <f>'Project Stocktaking Template'!R346</f>
        <v>295000</v>
      </c>
      <c r="I345" s="50" t="str">
        <f>'Project Stocktaking Template'!AD346</f>
        <v>Completed</v>
      </c>
      <c r="J345" s="45"/>
      <c r="K345" s="45"/>
      <c r="L345" s="45"/>
      <c r="M345" s="45"/>
      <c r="N345" s="45"/>
      <c r="O345" s="45"/>
      <c r="P345" s="45"/>
      <c r="Q345" s="45"/>
      <c r="R345" s="45"/>
      <c r="S345" s="45"/>
      <c r="T345" s="45"/>
      <c r="U345" s="45"/>
      <c r="V345" s="45"/>
      <c r="W345" s="45"/>
      <c r="X345" s="45"/>
      <c r="Y345" s="45"/>
      <c r="Z345" s="45"/>
    </row>
    <row r="346">
      <c r="A346" s="46">
        <v>345.0</v>
      </c>
      <c r="B346" s="47" t="str">
        <f>'Project Stocktaking Template'!B347</f>
        <v>CONSTRUCTION OF MARKET SHADE AT LIBOI CENTRE</v>
      </c>
      <c r="C346" s="47" t="str">
        <f>'Project Stocktaking Template'!H347</f>
        <v>Dadaab</v>
      </c>
      <c r="D346" s="47" t="str">
        <f>'Project Stocktaking Template'!I347</f>
        <v>Liboi</v>
      </c>
      <c r="E346" s="48" t="str">
        <f>'Project Stocktaking Template'!O347</f>
        <v>1st aug 2023</v>
      </c>
      <c r="F346" s="48" t="str">
        <f>'Project Stocktaking Template'!P347</f>
        <v>30th june 2024</v>
      </c>
      <c r="G346" s="48" t="str">
        <f>'Project Stocktaking Template'!Q347</f>
        <v>30th june 2024</v>
      </c>
      <c r="H346" s="49">
        <f>'Project Stocktaking Template'!R347</f>
        <v>295000</v>
      </c>
      <c r="I346" s="50" t="str">
        <f>'Project Stocktaking Template'!AD347</f>
        <v>Completed</v>
      </c>
      <c r="J346" s="45"/>
      <c r="K346" s="45"/>
      <c r="L346" s="45"/>
      <c r="M346" s="45"/>
      <c r="N346" s="45"/>
      <c r="O346" s="45"/>
      <c r="P346" s="45"/>
      <c r="Q346" s="45"/>
      <c r="R346" s="45"/>
      <c r="S346" s="45"/>
      <c r="T346" s="45"/>
      <c r="U346" s="45"/>
      <c r="V346" s="45"/>
      <c r="W346" s="45"/>
      <c r="X346" s="45"/>
      <c r="Y346" s="45"/>
      <c r="Z346" s="45"/>
    </row>
    <row r="347">
      <c r="A347" s="51">
        <v>346.0</v>
      </c>
      <c r="B347" s="47" t="str">
        <f>'Project Stocktaking Template'!B348</f>
        <v>CHAINLINK FENCE AT KUMAHUMATO  PRIMARY</v>
      </c>
      <c r="C347" s="47" t="str">
        <f>'Project Stocktaking Template'!H348</f>
        <v>Dadaab</v>
      </c>
      <c r="D347" s="47" t="str">
        <f>'Project Stocktaking Template'!I348</f>
        <v>Abakaile</v>
      </c>
      <c r="E347" s="48" t="str">
        <f>'Project Stocktaking Template'!O348</f>
        <v>1st aug 2023</v>
      </c>
      <c r="F347" s="48" t="str">
        <f>'Project Stocktaking Template'!P348</f>
        <v>30th june 2024</v>
      </c>
      <c r="G347" s="48" t="str">
        <f>'Project Stocktaking Template'!Q348</f>
        <v>30th june 2024</v>
      </c>
      <c r="H347" s="49">
        <f>'Project Stocktaking Template'!R348</f>
        <v>300000</v>
      </c>
      <c r="I347" s="50" t="str">
        <f>'Project Stocktaking Template'!AD348</f>
        <v>Completed</v>
      </c>
      <c r="J347" s="45"/>
      <c r="K347" s="45"/>
      <c r="L347" s="45"/>
      <c r="M347" s="45"/>
      <c r="N347" s="45"/>
      <c r="O347" s="45"/>
      <c r="P347" s="45"/>
      <c r="Q347" s="45"/>
      <c r="R347" s="45"/>
      <c r="S347" s="45"/>
      <c r="T347" s="45"/>
      <c r="U347" s="45"/>
      <c r="V347" s="45"/>
      <c r="W347" s="45"/>
      <c r="X347" s="45"/>
      <c r="Y347" s="45"/>
      <c r="Z347" s="45"/>
    </row>
    <row r="348">
      <c r="A348" s="46">
        <v>347.0</v>
      </c>
      <c r="B348" s="47" t="str">
        <f>'Project Stocktaking Template'!B349</f>
        <v>RENOVATION WORKS AT DADAAB MUNICIPAL</v>
      </c>
      <c r="C348" s="47" t="str">
        <f>'Project Stocktaking Template'!H349</f>
        <v>Dadaab</v>
      </c>
      <c r="D348" s="47" t="str">
        <f>'Project Stocktaking Template'!I349</f>
        <v>Dadaab</v>
      </c>
      <c r="E348" s="48" t="str">
        <f>'Project Stocktaking Template'!O349</f>
        <v>1st aug 2023</v>
      </c>
      <c r="F348" s="48" t="str">
        <f>'Project Stocktaking Template'!P349</f>
        <v>30th june 2024</v>
      </c>
      <c r="G348" s="48" t="str">
        <f>'Project Stocktaking Template'!Q349</f>
        <v>30th june 2024</v>
      </c>
      <c r="H348" s="49">
        <f>'Project Stocktaking Template'!R349</f>
        <v>300000</v>
      </c>
      <c r="I348" s="50" t="str">
        <f>'Project Stocktaking Template'!AD349</f>
        <v>Completed</v>
      </c>
      <c r="J348" s="45"/>
      <c r="K348" s="45"/>
      <c r="L348" s="45"/>
      <c r="M348" s="45"/>
      <c r="N348" s="45"/>
      <c r="O348" s="45"/>
      <c r="P348" s="45"/>
      <c r="Q348" s="45"/>
      <c r="R348" s="45"/>
      <c r="S348" s="45"/>
      <c r="T348" s="45"/>
      <c r="U348" s="45"/>
      <c r="V348" s="45"/>
      <c r="W348" s="45"/>
      <c r="X348" s="45"/>
      <c r="Y348" s="45"/>
      <c r="Z348" s="45"/>
    </row>
    <row r="349">
      <c r="A349" s="51">
        <v>348.0</v>
      </c>
      <c r="B349" s="47" t="str">
        <f>'Project Stocktaking Template'!B350</f>
        <v>RENOVATION OF CECM FINANCE OFFICES</v>
      </c>
      <c r="C349" s="47" t="str">
        <f>'Project Stocktaking Template'!H350</f>
        <v>GarissaTownship</v>
      </c>
      <c r="D349" s="47" t="str">
        <f>'Project Stocktaking Template'!I350</f>
        <v>Township</v>
      </c>
      <c r="E349" s="48" t="str">
        <f>'Project Stocktaking Template'!O350</f>
        <v>1st aug 2023</v>
      </c>
      <c r="F349" s="48" t="str">
        <f>'Project Stocktaking Template'!P350</f>
        <v>30th june 2024</v>
      </c>
      <c r="G349" s="48" t="str">
        <f>'Project Stocktaking Template'!Q350</f>
        <v>30th june 2024</v>
      </c>
      <c r="H349" s="49">
        <f>'Project Stocktaking Template'!R350</f>
        <v>300000</v>
      </c>
      <c r="I349" s="50" t="str">
        <f>'Project Stocktaking Template'!AD350</f>
        <v>Completed</v>
      </c>
      <c r="J349" s="45"/>
      <c r="K349" s="45"/>
      <c r="L349" s="45"/>
      <c r="M349" s="45"/>
      <c r="N349" s="45"/>
      <c r="O349" s="45"/>
      <c r="P349" s="45"/>
      <c r="Q349" s="45"/>
      <c r="R349" s="45"/>
      <c r="S349" s="45"/>
      <c r="T349" s="45"/>
      <c r="U349" s="45"/>
      <c r="V349" s="45"/>
      <c r="W349" s="45"/>
      <c r="X349" s="45"/>
      <c r="Y349" s="45"/>
      <c r="Z349" s="45"/>
    </row>
    <row r="350">
      <c r="A350" s="46">
        <v>349.0</v>
      </c>
      <c r="B350" s="47" t="str">
        <f>'Project Stocktaking Template'!B351</f>
        <v>CONSTRUCTION OF BULA WABERI DRIFT ROAD</v>
      </c>
      <c r="C350" s="47" t="str">
        <f>'Project Stocktaking Template'!H351</f>
        <v>GarissaTownship</v>
      </c>
      <c r="D350" s="47" t="str">
        <f>'Project Stocktaking Template'!I351</f>
        <v>Township</v>
      </c>
      <c r="E350" s="48" t="str">
        <f>'Project Stocktaking Template'!O351</f>
        <v>1st aug 2023</v>
      </c>
      <c r="F350" s="48" t="str">
        <f>'Project Stocktaking Template'!P351</f>
        <v>30th june 2024</v>
      </c>
      <c r="G350" s="48" t="str">
        <f>'Project Stocktaking Template'!Q351</f>
        <v>30th june 2024</v>
      </c>
      <c r="H350" s="49">
        <f>'Project Stocktaking Template'!R351</f>
        <v>300000</v>
      </c>
      <c r="I350" s="50" t="str">
        <f>'Project Stocktaking Template'!AD351</f>
        <v>Completed</v>
      </c>
      <c r="J350" s="45"/>
      <c r="K350" s="45"/>
      <c r="L350" s="45"/>
      <c r="M350" s="45"/>
      <c r="N350" s="45"/>
      <c r="O350" s="45"/>
      <c r="P350" s="45"/>
      <c r="Q350" s="45"/>
      <c r="R350" s="45"/>
      <c r="S350" s="45"/>
      <c r="T350" s="45"/>
      <c r="U350" s="45"/>
      <c r="V350" s="45"/>
      <c r="W350" s="45"/>
      <c r="X350" s="45"/>
      <c r="Y350" s="45"/>
      <c r="Z350" s="45"/>
    </row>
    <row r="351">
      <c r="A351" s="51">
        <v>350.0</v>
      </c>
      <c r="B351" s="47" t="str">
        <f>'Project Stocktaking Template'!B352</f>
        <v>CHAINLINK FENCE AT MASALANI PRIMARY</v>
      </c>
      <c r="C351" s="47" t="str">
        <f>'Project Stocktaking Template'!H352</f>
        <v>Ijara</v>
      </c>
      <c r="D351" s="47" t="str">
        <f>'Project Stocktaking Template'!I352</f>
        <v>Masalani</v>
      </c>
      <c r="E351" s="48" t="str">
        <f>'Project Stocktaking Template'!O352</f>
        <v>1st aug 2023</v>
      </c>
      <c r="F351" s="48" t="str">
        <f>'Project Stocktaking Template'!P352</f>
        <v>30th june 2024</v>
      </c>
      <c r="G351" s="48" t="str">
        <f>'Project Stocktaking Template'!Q352</f>
        <v>30th june 2024</v>
      </c>
      <c r="H351" s="49">
        <f>'Project Stocktaking Template'!R352</f>
        <v>300000</v>
      </c>
      <c r="I351" s="50" t="str">
        <f>'Project Stocktaking Template'!AD352</f>
        <v>Completed</v>
      </c>
      <c r="J351" s="45"/>
      <c r="K351" s="45"/>
      <c r="L351" s="45"/>
      <c r="M351" s="45"/>
      <c r="N351" s="45"/>
      <c r="O351" s="45"/>
      <c r="P351" s="45"/>
      <c r="Q351" s="45"/>
      <c r="R351" s="45"/>
      <c r="S351" s="45"/>
      <c r="T351" s="45"/>
      <c r="U351" s="45"/>
      <c r="V351" s="45"/>
      <c r="W351" s="45"/>
      <c r="X351" s="45"/>
      <c r="Y351" s="45"/>
      <c r="Z351" s="45"/>
    </row>
    <row r="352">
      <c r="A352" s="46">
        <v>351.0</v>
      </c>
      <c r="B352" s="47" t="str">
        <f>'Project Stocktaking Template'!B353</f>
        <v>CONSTRUCTION OF WILDLIFE CHAILINK AT SABENA CENTRE</v>
      </c>
      <c r="C352" s="47" t="str">
        <f>'Project Stocktaking Template'!H353</f>
        <v>Lagdera</v>
      </c>
      <c r="D352" s="47" t="str">
        <f>'Project Stocktaking Template'!I353</f>
        <v>Sabena</v>
      </c>
      <c r="E352" s="48" t="str">
        <f>'Project Stocktaking Template'!O353</f>
        <v>1st aug 2023</v>
      </c>
      <c r="F352" s="48" t="str">
        <f>'Project Stocktaking Template'!P353</f>
        <v>30th june 2024</v>
      </c>
      <c r="G352" s="48" t="str">
        <f>'Project Stocktaking Template'!Q353</f>
        <v>30th june 2024</v>
      </c>
      <c r="H352" s="49">
        <f>'Project Stocktaking Template'!R353</f>
        <v>300000</v>
      </c>
      <c r="I352" s="50" t="str">
        <f>'Project Stocktaking Template'!AD353</f>
        <v>Completed</v>
      </c>
      <c r="J352" s="45"/>
      <c r="K352" s="45"/>
      <c r="L352" s="45"/>
      <c r="M352" s="45"/>
      <c r="N352" s="45"/>
      <c r="O352" s="45"/>
      <c r="P352" s="45"/>
      <c r="Q352" s="45"/>
      <c r="R352" s="45"/>
      <c r="S352" s="45"/>
      <c r="T352" s="45"/>
      <c r="U352" s="45"/>
      <c r="V352" s="45"/>
      <c r="W352" s="45"/>
      <c r="X352" s="45"/>
      <c r="Y352" s="45"/>
      <c r="Z352" s="45"/>
    </row>
    <row r="353">
      <c r="A353" s="51">
        <v>352.0</v>
      </c>
      <c r="B353" s="47" t="str">
        <f>'Project Stocktaking Template'!B354</f>
        <v>WATER TRUCKING SERVICES</v>
      </c>
      <c r="C353" s="47" t="str">
        <f>'Project Stocktaking Template'!H354</f>
        <v>GarissaTownship</v>
      </c>
      <c r="D353" s="47" t="str">
        <f>'Project Stocktaking Template'!I354</f>
        <v>Township</v>
      </c>
      <c r="E353" s="48" t="str">
        <f>'Project Stocktaking Template'!O354</f>
        <v>1st aug 2023</v>
      </c>
      <c r="F353" s="48" t="str">
        <f>'Project Stocktaking Template'!P354</f>
        <v>30th june 2024</v>
      </c>
      <c r="G353" s="48" t="str">
        <f>'Project Stocktaking Template'!Q354</f>
        <v>30th june 2024</v>
      </c>
      <c r="H353" s="49">
        <f>'Project Stocktaking Template'!R354</f>
        <v>301000</v>
      </c>
      <c r="I353" s="50" t="str">
        <f>'Project Stocktaking Template'!AD354</f>
        <v>Completed</v>
      </c>
      <c r="J353" s="45"/>
      <c r="K353" s="45"/>
      <c r="L353" s="45"/>
      <c r="M353" s="45"/>
      <c r="N353" s="45"/>
      <c r="O353" s="45"/>
      <c r="P353" s="45"/>
      <c r="Q353" s="45"/>
      <c r="R353" s="45"/>
      <c r="S353" s="45"/>
      <c r="T353" s="45"/>
      <c r="U353" s="45"/>
      <c r="V353" s="45"/>
      <c r="W353" s="45"/>
      <c r="X353" s="45"/>
      <c r="Y353" s="45"/>
      <c r="Z353" s="45"/>
    </row>
    <row r="354">
      <c r="A354" s="46">
        <v>353.0</v>
      </c>
      <c r="B354" s="47" t="str">
        <f>'Project Stocktaking Template'!B355</f>
        <v>CHAINLINK FENCE AT HAMEY PRIMARY</v>
      </c>
      <c r="C354" s="47" t="str">
        <f>'Project Stocktaking Template'!H355</f>
        <v>Dadaab</v>
      </c>
      <c r="D354" s="47" t="str">
        <f>'Project Stocktaking Template'!I355</f>
        <v>Dadaab</v>
      </c>
      <c r="E354" s="48" t="str">
        <f>'Project Stocktaking Template'!O355</f>
        <v>1st aug 2023</v>
      </c>
      <c r="F354" s="48" t="str">
        <f>'Project Stocktaking Template'!P355</f>
        <v>30th june 2024</v>
      </c>
      <c r="G354" s="48" t="str">
        <f>'Project Stocktaking Template'!Q355</f>
        <v>30th june 2024</v>
      </c>
      <c r="H354" s="49">
        <f>'Project Stocktaking Template'!R355</f>
        <v>301000</v>
      </c>
      <c r="I354" s="50" t="str">
        <f>'Project Stocktaking Template'!AD355</f>
        <v>Completed</v>
      </c>
      <c r="J354" s="45"/>
      <c r="K354" s="45"/>
      <c r="L354" s="45"/>
      <c r="M354" s="45"/>
      <c r="N354" s="45"/>
      <c r="O354" s="45"/>
      <c r="P354" s="45"/>
      <c r="Q354" s="45"/>
      <c r="R354" s="45"/>
      <c r="S354" s="45"/>
      <c r="T354" s="45"/>
      <c r="U354" s="45"/>
      <c r="V354" s="45"/>
      <c r="W354" s="45"/>
      <c r="X354" s="45"/>
      <c r="Y354" s="45"/>
      <c r="Z354" s="45"/>
    </row>
    <row r="355">
      <c r="A355" s="51">
        <v>354.0</v>
      </c>
      <c r="B355" s="47" t="str">
        <f>'Project Stocktaking Template'!B356</f>
        <v>CONSTRUCTION OF ALMAGAN WATER PAN</v>
      </c>
      <c r="C355" s="47" t="str">
        <f>'Project Stocktaking Template'!H356</f>
        <v>GarissaTownship</v>
      </c>
      <c r="D355" s="47" t="str">
        <f>'Project Stocktaking Template'!I356</f>
        <v>Township</v>
      </c>
      <c r="E355" s="48" t="str">
        <f>'Project Stocktaking Template'!O356</f>
        <v>1st aug 2023</v>
      </c>
      <c r="F355" s="48" t="str">
        <f>'Project Stocktaking Template'!P356</f>
        <v>30th june 2024</v>
      </c>
      <c r="G355" s="48" t="str">
        <f>'Project Stocktaking Template'!Q356</f>
        <v>30th june 2024</v>
      </c>
      <c r="H355" s="49">
        <f>'Project Stocktaking Template'!R356</f>
        <v>305000</v>
      </c>
      <c r="I355" s="50" t="str">
        <f>'Project Stocktaking Template'!AD356</f>
        <v>Completed</v>
      </c>
      <c r="J355" s="45"/>
      <c r="K355" s="45"/>
      <c r="L355" s="45"/>
      <c r="M355" s="45"/>
      <c r="N355" s="45"/>
      <c r="O355" s="45"/>
      <c r="P355" s="45"/>
      <c r="Q355" s="45"/>
      <c r="R355" s="45"/>
      <c r="S355" s="45"/>
      <c r="T355" s="45"/>
      <c r="U355" s="45"/>
      <c r="V355" s="45"/>
      <c r="W355" s="45"/>
      <c r="X355" s="45"/>
      <c r="Y355" s="45"/>
      <c r="Z355" s="45"/>
    </row>
    <row r="356">
      <c r="A356" s="46">
        <v>355.0</v>
      </c>
      <c r="B356" s="47" t="str">
        <f>'Project Stocktaking Template'!B357</f>
        <v>RENNOVATION OF ECONOMIC PLANNING OFFICE</v>
      </c>
      <c r="C356" s="47" t="str">
        <f>'Project Stocktaking Template'!H357</f>
        <v>GarissaTownship</v>
      </c>
      <c r="D356" s="47" t="str">
        <f>'Project Stocktaking Template'!I357</f>
        <v>Township</v>
      </c>
      <c r="E356" s="48" t="str">
        <f>'Project Stocktaking Template'!O357</f>
        <v>1st aug 2023</v>
      </c>
      <c r="F356" s="48" t="str">
        <f>'Project Stocktaking Template'!P357</f>
        <v>30th june 2024</v>
      </c>
      <c r="G356" s="48" t="str">
        <f>'Project Stocktaking Template'!Q357</f>
        <v>30th june 2024</v>
      </c>
      <c r="H356" s="49">
        <f>'Project Stocktaking Template'!R357</f>
        <v>309000</v>
      </c>
      <c r="I356" s="50" t="str">
        <f>'Project Stocktaking Template'!AD357</f>
        <v>Completed</v>
      </c>
      <c r="J356" s="45"/>
      <c r="K356" s="45"/>
      <c r="L356" s="45"/>
      <c r="M356" s="45"/>
      <c r="N356" s="45"/>
      <c r="O356" s="45"/>
      <c r="P356" s="45"/>
      <c r="Q356" s="45"/>
      <c r="R356" s="45"/>
      <c r="S356" s="45"/>
      <c r="T356" s="45"/>
      <c r="U356" s="45"/>
      <c r="V356" s="45"/>
      <c r="W356" s="45"/>
      <c r="X356" s="45"/>
      <c r="Y356" s="45"/>
      <c r="Z356" s="45"/>
    </row>
    <row r="357">
      <c r="A357" s="51">
        <v>356.0</v>
      </c>
      <c r="B357" s="47" t="str">
        <f>'Project Stocktaking Template'!B358</f>
        <v>CHAINLINK FENCE AT BULLA BANAN BOREHOLE</v>
      </c>
      <c r="C357" s="47" t="str">
        <f>'Project Stocktaking Template'!H358</f>
        <v>GarissaTownship</v>
      </c>
      <c r="D357" s="47" t="str">
        <f>'Project Stocktaking Template'!I358</f>
        <v>Township</v>
      </c>
      <c r="E357" s="48" t="str">
        <f>'Project Stocktaking Template'!O358</f>
        <v>1st aug 2023</v>
      </c>
      <c r="F357" s="48" t="str">
        <f>'Project Stocktaking Template'!P358</f>
        <v>30th june 2024</v>
      </c>
      <c r="G357" s="48" t="str">
        <f>'Project Stocktaking Template'!Q358</f>
        <v>30th june 2024</v>
      </c>
      <c r="H357" s="49">
        <f>'Project Stocktaking Template'!R358</f>
        <v>310000</v>
      </c>
      <c r="I357" s="50" t="str">
        <f>'Project Stocktaking Template'!AD358</f>
        <v>Completed</v>
      </c>
      <c r="J357" s="45"/>
      <c r="K357" s="45"/>
      <c r="L357" s="45"/>
      <c r="M357" s="45"/>
      <c r="N357" s="45"/>
      <c r="O357" s="45"/>
      <c r="P357" s="45"/>
      <c r="Q357" s="45"/>
      <c r="R357" s="45"/>
      <c r="S357" s="45"/>
      <c r="T357" s="45"/>
      <c r="U357" s="45"/>
      <c r="V357" s="45"/>
      <c r="W357" s="45"/>
      <c r="X357" s="45"/>
      <c r="Y357" s="45"/>
      <c r="Z357" s="45"/>
    </row>
    <row r="358">
      <c r="A358" s="46">
        <v>357.0</v>
      </c>
      <c r="B358" s="47" t="str">
        <f>'Project Stocktaking Template'!B359</f>
        <v>DELEIVERY OF LEARNING ,MATERIALS</v>
      </c>
      <c r="C358" s="47" t="str">
        <f>'Project Stocktaking Template'!H359</f>
        <v>GarissaTownship</v>
      </c>
      <c r="D358" s="47" t="str">
        <f>'Project Stocktaking Template'!I359</f>
        <v>Township</v>
      </c>
      <c r="E358" s="48" t="str">
        <f>'Project Stocktaking Template'!O359</f>
        <v>1st aug 2023</v>
      </c>
      <c r="F358" s="48" t="str">
        <f>'Project Stocktaking Template'!P359</f>
        <v>30th june 2024</v>
      </c>
      <c r="G358" s="48" t="str">
        <f>'Project Stocktaking Template'!Q359</f>
        <v>30th june 2024</v>
      </c>
      <c r="H358" s="49">
        <f>'Project Stocktaking Template'!R359</f>
        <v>310000</v>
      </c>
      <c r="I358" s="50" t="str">
        <f>'Project Stocktaking Template'!AD359</f>
        <v>Completed</v>
      </c>
      <c r="J358" s="45"/>
      <c r="K358" s="45"/>
      <c r="L358" s="45"/>
      <c r="M358" s="45"/>
      <c r="N358" s="45"/>
      <c r="O358" s="45"/>
      <c r="P358" s="45"/>
      <c r="Q358" s="45"/>
      <c r="R358" s="45"/>
      <c r="S358" s="45"/>
      <c r="T358" s="45"/>
      <c r="U358" s="45"/>
      <c r="V358" s="45"/>
      <c r="W358" s="45"/>
      <c r="X358" s="45"/>
      <c r="Y358" s="45"/>
      <c r="Z358" s="45"/>
    </row>
    <row r="359">
      <c r="A359" s="51">
        <v>358.0</v>
      </c>
      <c r="B359" s="47" t="str">
        <f>'Project Stocktaking Template'!B360</f>
        <v>CONSTRUCTION OF WIREHOUSE AT PGH</v>
      </c>
      <c r="C359" s="47" t="str">
        <f>'Project Stocktaking Template'!H360</f>
        <v>GarissaTownship</v>
      </c>
      <c r="D359" s="47" t="str">
        <f>'Project Stocktaking Template'!I360</f>
        <v>Township</v>
      </c>
      <c r="E359" s="48" t="str">
        <f>'Project Stocktaking Template'!O360</f>
        <v>1st aug 2023</v>
      </c>
      <c r="F359" s="48" t="str">
        <f>'Project Stocktaking Template'!P360</f>
        <v>30th june 2024</v>
      </c>
      <c r="G359" s="48" t="str">
        <f>'Project Stocktaking Template'!Q360</f>
        <v>30th june 2024</v>
      </c>
      <c r="H359" s="49">
        <f>'Project Stocktaking Template'!R360</f>
        <v>315000</v>
      </c>
      <c r="I359" s="50" t="str">
        <f>'Project Stocktaking Template'!AD360</f>
        <v>Completed</v>
      </c>
      <c r="J359" s="45"/>
      <c r="K359" s="45"/>
      <c r="L359" s="45"/>
      <c r="M359" s="45"/>
      <c r="N359" s="45"/>
      <c r="O359" s="45"/>
      <c r="P359" s="45"/>
      <c r="Q359" s="45"/>
      <c r="R359" s="45"/>
      <c r="S359" s="45"/>
      <c r="T359" s="45"/>
      <c r="U359" s="45"/>
      <c r="V359" s="45"/>
      <c r="W359" s="45"/>
      <c r="X359" s="45"/>
      <c r="Y359" s="45"/>
      <c r="Z359" s="45"/>
    </row>
    <row r="360">
      <c r="A360" s="46">
        <v>359.0</v>
      </c>
      <c r="B360" s="47" t="str">
        <f>'Project Stocktaking Template'!B361</f>
        <v>CONSTSTRUCTION OF CHAINLINK AT TOGDUB PRIMARY</v>
      </c>
      <c r="C360" s="47" t="str">
        <f>'Project Stocktaking Template'!H361</f>
        <v>Lagdera</v>
      </c>
      <c r="D360" s="47" t="str">
        <f>'Project Stocktaking Template'!I361</f>
        <v>Modogashe</v>
      </c>
      <c r="E360" s="48" t="str">
        <f>'Project Stocktaking Template'!O361</f>
        <v>1st aug 2023</v>
      </c>
      <c r="F360" s="48" t="str">
        <f>'Project Stocktaking Template'!P361</f>
        <v>30th june 2024</v>
      </c>
      <c r="G360" s="48" t="str">
        <f>'Project Stocktaking Template'!Q361</f>
        <v>30th june 2024</v>
      </c>
      <c r="H360" s="49">
        <f>'Project Stocktaking Template'!R361</f>
        <v>315000</v>
      </c>
      <c r="I360" s="50" t="str">
        <f>'Project Stocktaking Template'!AD361</f>
        <v>Completed</v>
      </c>
      <c r="J360" s="45"/>
      <c r="K360" s="45"/>
      <c r="L360" s="45"/>
      <c r="M360" s="45"/>
      <c r="N360" s="45"/>
      <c r="O360" s="45"/>
      <c r="P360" s="45"/>
      <c r="Q360" s="45"/>
      <c r="R360" s="45"/>
      <c r="S360" s="45"/>
      <c r="T360" s="45"/>
      <c r="U360" s="45"/>
      <c r="V360" s="45"/>
      <c r="W360" s="45"/>
      <c r="X360" s="45"/>
      <c r="Y360" s="45"/>
      <c r="Z360" s="45"/>
    </row>
    <row r="361">
      <c r="A361" s="51">
        <v>360.0</v>
      </c>
      <c r="B361" s="47" t="str">
        <f>'Project Stocktaking Template'!B362</f>
        <v>CHAINLINK FENCE AT ROKYAL IJARA SUB COUNTY</v>
      </c>
      <c r="C361" s="47" t="str">
        <f>'Project Stocktaking Template'!H362</f>
        <v>Ijara</v>
      </c>
      <c r="D361" s="47" t="str">
        <f>'Project Stocktaking Template'!I362</f>
        <v>Ijara</v>
      </c>
      <c r="E361" s="48" t="str">
        <f>'Project Stocktaking Template'!O362</f>
        <v>1st aug 2023</v>
      </c>
      <c r="F361" s="48" t="str">
        <f>'Project Stocktaking Template'!P362</f>
        <v>30th june 2024</v>
      </c>
      <c r="G361" s="48" t="str">
        <f>'Project Stocktaking Template'!Q362</f>
        <v>30th june 2024</v>
      </c>
      <c r="H361" s="49">
        <f>'Project Stocktaking Template'!R362</f>
        <v>340000</v>
      </c>
      <c r="I361" s="50" t="str">
        <f>'Project Stocktaking Template'!AD362</f>
        <v>Completed</v>
      </c>
      <c r="J361" s="45"/>
      <c r="K361" s="45"/>
      <c r="L361" s="45"/>
      <c r="M361" s="45"/>
      <c r="N361" s="45"/>
      <c r="O361" s="45"/>
      <c r="P361" s="45"/>
      <c r="Q361" s="45"/>
      <c r="R361" s="45"/>
      <c r="S361" s="45"/>
      <c r="T361" s="45"/>
      <c r="U361" s="45"/>
      <c r="V361" s="45"/>
      <c r="W361" s="45"/>
      <c r="X361" s="45"/>
      <c r="Y361" s="45"/>
      <c r="Z361" s="45"/>
    </row>
    <row r="362">
      <c r="A362" s="46">
        <v>361.0</v>
      </c>
      <c r="B362" s="47" t="str">
        <f>'Project Stocktaking Template'!B363</f>
        <v>MAINATAINCE OF DOGOB RAHOLE ROAD IN BALAMBALA</v>
      </c>
      <c r="C362" s="47" t="str">
        <f>'Project Stocktaking Template'!H363</f>
        <v>Balambala</v>
      </c>
      <c r="D362" s="47" t="str">
        <f>'Project Stocktaking Template'!I363</f>
        <v>Balambala</v>
      </c>
      <c r="E362" s="48" t="str">
        <f>'Project Stocktaking Template'!O363</f>
        <v>1st aug 2023</v>
      </c>
      <c r="F362" s="48" t="str">
        <f>'Project Stocktaking Template'!P363</f>
        <v>30th june 2024</v>
      </c>
      <c r="G362" s="48" t="str">
        <f>'Project Stocktaking Template'!Q363</f>
        <v>30th june 2024</v>
      </c>
      <c r="H362" s="49">
        <f>'Project Stocktaking Template'!R363</f>
        <v>350000</v>
      </c>
      <c r="I362" s="50" t="str">
        <f>'Project Stocktaking Template'!AD363</f>
        <v>Completed</v>
      </c>
      <c r="J362" s="45"/>
      <c r="K362" s="45"/>
      <c r="L362" s="45"/>
      <c r="M362" s="45"/>
      <c r="N362" s="45"/>
      <c r="O362" s="45"/>
      <c r="P362" s="45"/>
      <c r="Q362" s="45"/>
      <c r="R362" s="45"/>
      <c r="S362" s="45"/>
      <c r="T362" s="45"/>
      <c r="U362" s="45"/>
      <c r="V362" s="45"/>
      <c r="W362" s="45"/>
      <c r="X362" s="45"/>
      <c r="Y362" s="45"/>
      <c r="Z362" s="45"/>
    </row>
    <row r="363">
      <c r="A363" s="51">
        <v>362.0</v>
      </c>
      <c r="B363" s="47" t="str">
        <f>'Project Stocktaking Template'!B364</f>
        <v>WARD ADMIN AT BANANE WARD</v>
      </c>
      <c r="C363" s="47" t="str">
        <f>'Project Stocktaking Template'!H364</f>
        <v>Lagdera</v>
      </c>
      <c r="D363" s="47" t="str">
        <f>'Project Stocktaking Template'!I364</f>
        <v>Benane</v>
      </c>
      <c r="E363" s="48" t="str">
        <f>'Project Stocktaking Template'!O364</f>
        <v>1st aug 2023</v>
      </c>
      <c r="F363" s="48" t="str">
        <f>'Project Stocktaking Template'!P364</f>
        <v>30th june 2024</v>
      </c>
      <c r="G363" s="48" t="str">
        <f>'Project Stocktaking Template'!Q364</f>
        <v>30th june 2024</v>
      </c>
      <c r="H363" s="49">
        <f>'Project Stocktaking Template'!R364</f>
        <v>440000</v>
      </c>
      <c r="I363" s="50" t="str">
        <f>'Project Stocktaking Template'!AD364</f>
        <v>Completed</v>
      </c>
      <c r="J363" s="45"/>
      <c r="K363" s="45"/>
      <c r="L363" s="45"/>
      <c r="M363" s="45"/>
      <c r="N363" s="45"/>
      <c r="O363" s="45"/>
      <c r="P363" s="45"/>
      <c r="Q363" s="45"/>
      <c r="R363" s="45"/>
      <c r="S363" s="45"/>
      <c r="T363" s="45"/>
      <c r="U363" s="45"/>
      <c r="V363" s="45"/>
      <c r="W363" s="45"/>
      <c r="X363" s="45"/>
      <c r="Y363" s="45"/>
      <c r="Z363" s="45"/>
    </row>
    <row r="364">
      <c r="A364" s="46">
        <v>363.0</v>
      </c>
      <c r="B364" s="47" t="str">
        <f>'Project Stocktaking Template'!B365</f>
        <v>CONSTRUCTION OF 6 BED MATERNITY AT ILAN</v>
      </c>
      <c r="C364" s="47" t="str">
        <f>'Project Stocktaking Template'!H365</f>
        <v>Lagdera</v>
      </c>
      <c r="D364" s="47" t="str">
        <f>'Project Stocktaking Template'!I365</f>
        <v>Modogashe</v>
      </c>
      <c r="E364" s="48" t="str">
        <f>'Project Stocktaking Template'!O365</f>
        <v>1st aug 2023</v>
      </c>
      <c r="F364" s="48" t="str">
        <f>'Project Stocktaking Template'!P365</f>
        <v>30th june 2024</v>
      </c>
      <c r="G364" s="48" t="str">
        <f>'Project Stocktaking Template'!Q365</f>
        <v>30th june 2024</v>
      </c>
      <c r="H364" s="49">
        <f>'Project Stocktaking Template'!R365</f>
        <v>500000</v>
      </c>
      <c r="I364" s="50" t="str">
        <f>'Project Stocktaking Template'!AD365</f>
        <v>Completed</v>
      </c>
      <c r="J364" s="45"/>
      <c r="K364" s="45"/>
      <c r="L364" s="45"/>
      <c r="M364" s="45"/>
      <c r="N364" s="45"/>
      <c r="O364" s="45"/>
      <c r="P364" s="45"/>
      <c r="Q364" s="45"/>
      <c r="R364" s="45"/>
      <c r="S364" s="45"/>
      <c r="T364" s="45"/>
      <c r="U364" s="45"/>
      <c r="V364" s="45"/>
      <c r="W364" s="45"/>
      <c r="X364" s="45"/>
      <c r="Y364" s="45"/>
      <c r="Z364" s="45"/>
    </row>
    <row r="365">
      <c r="A365" s="51">
        <v>364.0</v>
      </c>
      <c r="B365" s="47" t="str">
        <f>'Project Stocktaking Template'!B366</f>
        <v>CONSTRUCTION OF WARD ADMIN</v>
      </c>
      <c r="C365" s="47" t="str">
        <f>'Project Stocktaking Template'!H366</f>
        <v>GarissaTownship</v>
      </c>
      <c r="D365" s="47" t="str">
        <f>'Project Stocktaking Template'!I366</f>
        <v>Township</v>
      </c>
      <c r="E365" s="48" t="str">
        <f>'Project Stocktaking Template'!O366</f>
        <v>1st aug 2023</v>
      </c>
      <c r="F365" s="48" t="str">
        <f>'Project Stocktaking Template'!P366</f>
        <v>30th june 2024</v>
      </c>
      <c r="G365" s="48" t="str">
        <f>'Project Stocktaking Template'!Q366</f>
        <v>30th june 2024</v>
      </c>
      <c r="H365" s="49">
        <f>'Project Stocktaking Template'!R366</f>
        <v>500000</v>
      </c>
      <c r="I365" s="50" t="str">
        <f>'Project Stocktaking Template'!AD366</f>
        <v>Completed</v>
      </c>
      <c r="J365" s="45"/>
      <c r="K365" s="45"/>
      <c r="L365" s="45"/>
      <c r="M365" s="45"/>
      <c r="N365" s="45"/>
      <c r="O365" s="45"/>
      <c r="P365" s="45"/>
      <c r="Q365" s="45"/>
      <c r="R365" s="45"/>
      <c r="S365" s="45"/>
      <c r="T365" s="45"/>
      <c r="U365" s="45"/>
      <c r="V365" s="45"/>
      <c r="W365" s="45"/>
      <c r="X365" s="45"/>
      <c r="Y365" s="45"/>
      <c r="Z365" s="45"/>
    </row>
    <row r="366">
      <c r="A366" s="46">
        <v>365.0</v>
      </c>
      <c r="B366" s="47" t="str">
        <f>'Project Stocktaking Template'!B367</f>
        <v>CONSTRUCTION OF WATER PAN</v>
      </c>
      <c r="C366" s="47" t="str">
        <f>'Project Stocktaking Template'!H367</f>
        <v>GarissaTownship</v>
      </c>
      <c r="D366" s="47" t="str">
        <f>'Project Stocktaking Template'!I367</f>
        <v>Township</v>
      </c>
      <c r="E366" s="48" t="str">
        <f>'Project Stocktaking Template'!O367</f>
        <v>1st aug 2023</v>
      </c>
      <c r="F366" s="48" t="str">
        <f>'Project Stocktaking Template'!P367</f>
        <v>30th june 2024</v>
      </c>
      <c r="G366" s="48" t="str">
        <f>'Project Stocktaking Template'!Q367</f>
        <v>30th june 2024</v>
      </c>
      <c r="H366" s="49">
        <f>'Project Stocktaking Template'!R367</f>
        <v>500000</v>
      </c>
      <c r="I366" s="50" t="str">
        <f>'Project Stocktaking Template'!AD367</f>
        <v>Completed</v>
      </c>
      <c r="J366" s="45"/>
      <c r="K366" s="45"/>
      <c r="L366" s="45"/>
      <c r="M366" s="45"/>
      <c r="N366" s="45"/>
      <c r="O366" s="45"/>
      <c r="P366" s="45"/>
      <c r="Q366" s="45"/>
      <c r="R366" s="45"/>
      <c r="S366" s="45"/>
      <c r="T366" s="45"/>
      <c r="U366" s="45"/>
      <c r="V366" s="45"/>
      <c r="W366" s="45"/>
      <c r="X366" s="45"/>
      <c r="Y366" s="45"/>
      <c r="Z366" s="45"/>
    </row>
    <row r="367">
      <c r="A367" s="51">
        <v>366.0</v>
      </c>
      <c r="B367" s="47" t="str">
        <f>'Project Stocktaking Template'!B368</f>
        <v>CONSTRUCTION OF PERMANENT CANAL AT TAWAKAL CENTRE</v>
      </c>
      <c r="C367" s="47" t="str">
        <f>'Project Stocktaking Template'!H368</f>
        <v>GarissaTownship</v>
      </c>
      <c r="D367" s="47" t="str">
        <f>'Project Stocktaking Template'!I368</f>
        <v>Township</v>
      </c>
      <c r="E367" s="48" t="str">
        <f>'Project Stocktaking Template'!O368</f>
        <v>1st aug 2023</v>
      </c>
      <c r="F367" s="48" t="str">
        <f>'Project Stocktaking Template'!P368</f>
        <v>30th june 2024</v>
      </c>
      <c r="G367" s="48" t="str">
        <f>'Project Stocktaking Template'!Q368</f>
        <v>30th june 2024</v>
      </c>
      <c r="H367" s="49">
        <f>'Project Stocktaking Template'!R368</f>
        <v>500000</v>
      </c>
      <c r="I367" s="50" t="str">
        <f>'Project Stocktaking Template'!AD368</f>
        <v>Completed</v>
      </c>
      <c r="J367" s="45"/>
      <c r="K367" s="45"/>
      <c r="L367" s="45"/>
      <c r="M367" s="45"/>
      <c r="N367" s="45"/>
      <c r="O367" s="45"/>
      <c r="P367" s="45"/>
      <c r="Q367" s="45"/>
      <c r="R367" s="45"/>
      <c r="S367" s="45"/>
      <c r="T367" s="45"/>
      <c r="U367" s="45"/>
      <c r="V367" s="45"/>
      <c r="W367" s="45"/>
      <c r="X367" s="45"/>
      <c r="Y367" s="45"/>
      <c r="Z367" s="45"/>
    </row>
    <row r="368">
      <c r="A368" s="46">
        <v>367.0</v>
      </c>
      <c r="B368" s="47" t="str">
        <f>'Project Stocktaking Template'!B369</f>
        <v>EQUIPING OF BOREHOLE AT GODLEY FIRM</v>
      </c>
      <c r="C368" s="47" t="str">
        <f>'Project Stocktaking Template'!H369</f>
        <v>GarissaTownship</v>
      </c>
      <c r="D368" s="47" t="str">
        <f>'Project Stocktaking Template'!I369</f>
        <v>Township</v>
      </c>
      <c r="E368" s="48" t="str">
        <f>'Project Stocktaking Template'!O369</f>
        <v>1st aug 2023</v>
      </c>
      <c r="F368" s="48" t="str">
        <f>'Project Stocktaking Template'!P369</f>
        <v>30th june 2024</v>
      </c>
      <c r="G368" s="48" t="str">
        <f>'Project Stocktaking Template'!Q369</f>
        <v>30th june 2024</v>
      </c>
      <c r="H368" s="49">
        <f>'Project Stocktaking Template'!R369</f>
        <v>584000</v>
      </c>
      <c r="I368" s="50" t="str">
        <f>'Project Stocktaking Template'!AD369</f>
        <v>Completed</v>
      </c>
      <c r="J368" s="45"/>
      <c r="K368" s="45"/>
      <c r="L368" s="45"/>
      <c r="M368" s="45"/>
      <c r="N368" s="45"/>
      <c r="O368" s="45"/>
      <c r="P368" s="45"/>
      <c r="Q368" s="45"/>
      <c r="R368" s="45"/>
      <c r="S368" s="45"/>
      <c r="T368" s="45"/>
      <c r="U368" s="45"/>
      <c r="V368" s="45"/>
      <c r="W368" s="45"/>
      <c r="X368" s="45"/>
      <c r="Y368" s="45"/>
      <c r="Z368" s="45"/>
    </row>
    <row r="369">
      <c r="A369" s="51">
        <v>368.0</v>
      </c>
      <c r="B369" s="47" t="str">
        <f>'Project Stocktaking Template'!B370</f>
        <v>DESILSINTING FENCING AT BARFIN</v>
      </c>
      <c r="C369" s="47" t="str">
        <f>'Project Stocktaking Template'!H370</f>
        <v>Lagdera</v>
      </c>
      <c r="D369" s="47" t="str">
        <f>'Project Stocktaking Template'!I370</f>
        <v>Modogashe</v>
      </c>
      <c r="E369" s="48" t="str">
        <f>'Project Stocktaking Template'!O370</f>
        <v>1st aug 2023</v>
      </c>
      <c r="F369" s="48" t="str">
        <f>'Project Stocktaking Template'!P370</f>
        <v>30th june 2024</v>
      </c>
      <c r="G369" s="48" t="str">
        <f>'Project Stocktaking Template'!Q370</f>
        <v>30th june 2024</v>
      </c>
      <c r="H369" s="49">
        <f>'Project Stocktaking Template'!R370</f>
        <v>789000</v>
      </c>
      <c r="I369" s="50" t="str">
        <f>'Project Stocktaking Template'!AD370</f>
        <v>Completed</v>
      </c>
      <c r="J369" s="45"/>
      <c r="K369" s="45"/>
      <c r="L369" s="45"/>
      <c r="M369" s="45"/>
      <c r="N369" s="45"/>
      <c r="O369" s="45"/>
      <c r="P369" s="45"/>
      <c r="Q369" s="45"/>
      <c r="R369" s="45"/>
      <c r="S369" s="45"/>
      <c r="T369" s="45"/>
      <c r="U369" s="45"/>
      <c r="V369" s="45"/>
      <c r="W369" s="45"/>
      <c r="X369" s="45"/>
      <c r="Y369" s="45"/>
      <c r="Z369" s="45"/>
    </row>
    <row r="370">
      <c r="A370" s="46">
        <v>369.0</v>
      </c>
      <c r="B370" s="47" t="str">
        <f>'Project Stocktaking Template'!B371</f>
        <v>RENOVATION OF GK HOUSE</v>
      </c>
      <c r="C370" s="47" t="str">
        <f>'Project Stocktaking Template'!H371</f>
        <v>GarissaTownship</v>
      </c>
      <c r="D370" s="47" t="str">
        <f>'Project Stocktaking Template'!I371</f>
        <v>Township</v>
      </c>
      <c r="E370" s="48" t="str">
        <f>'Project Stocktaking Template'!O371</f>
        <v>1st aug 2023</v>
      </c>
      <c r="F370" s="48" t="str">
        <f>'Project Stocktaking Template'!P371</f>
        <v>30th june 2024</v>
      </c>
      <c r="G370" s="48" t="str">
        <f>'Project Stocktaking Template'!Q371</f>
        <v>30th june 2024</v>
      </c>
      <c r="H370" s="49">
        <f>'Project Stocktaking Template'!R371</f>
        <v>800000</v>
      </c>
      <c r="I370" s="50" t="str">
        <f>'Project Stocktaking Template'!AD371</f>
        <v>Completed</v>
      </c>
      <c r="J370" s="45"/>
      <c r="K370" s="45"/>
      <c r="L370" s="45"/>
      <c r="M370" s="45"/>
      <c r="N370" s="45"/>
      <c r="O370" s="45"/>
      <c r="P370" s="45"/>
      <c r="Q370" s="45"/>
      <c r="R370" s="45"/>
      <c r="S370" s="45"/>
      <c r="T370" s="45"/>
      <c r="U370" s="45"/>
      <c r="V370" s="45"/>
      <c r="W370" s="45"/>
      <c r="X370" s="45"/>
      <c r="Y370" s="45"/>
      <c r="Z370" s="45"/>
    </row>
    <row r="371">
      <c r="A371" s="51">
        <v>370.0</v>
      </c>
      <c r="B371" s="47" t="str">
        <f>'Project Stocktaking Template'!B372</f>
        <v>DESILITING AND FENCING OF RIIG WATER DAM IN LAGDERA</v>
      </c>
      <c r="C371" s="47" t="str">
        <f>'Project Stocktaking Template'!H372</f>
        <v>Lagdera</v>
      </c>
      <c r="D371" s="47" t="str">
        <f>'Project Stocktaking Template'!I372</f>
        <v>Modogashe</v>
      </c>
      <c r="E371" s="48" t="str">
        <f>'Project Stocktaking Template'!O372</f>
        <v>1st aug 2023</v>
      </c>
      <c r="F371" s="48" t="str">
        <f>'Project Stocktaking Template'!P372</f>
        <v>30th june 2024</v>
      </c>
      <c r="G371" s="48" t="str">
        <f>'Project Stocktaking Template'!Q372</f>
        <v>30th june 2024</v>
      </c>
      <c r="H371" s="49">
        <f>'Project Stocktaking Template'!R372</f>
        <v>1000000</v>
      </c>
      <c r="I371" s="50" t="str">
        <f>'Project Stocktaking Template'!AD372</f>
        <v>Completed</v>
      </c>
      <c r="J371" s="45"/>
      <c r="K371" s="45"/>
      <c r="L371" s="45"/>
      <c r="M371" s="45"/>
      <c r="N371" s="45"/>
      <c r="O371" s="45"/>
      <c r="P371" s="45"/>
      <c r="Q371" s="45"/>
      <c r="R371" s="45"/>
      <c r="S371" s="45"/>
      <c r="T371" s="45"/>
      <c r="U371" s="45"/>
      <c r="V371" s="45"/>
      <c r="W371" s="45"/>
      <c r="X371" s="45"/>
      <c r="Y371" s="45"/>
      <c r="Z371" s="45"/>
    </row>
    <row r="372">
      <c r="A372" s="46">
        <v>371.0</v>
      </c>
      <c r="B372" s="47" t="str">
        <f>'Project Stocktaking Template'!B373</f>
        <v>CHAINLINK FENCE </v>
      </c>
      <c r="C372" s="47" t="str">
        <f>'Project Stocktaking Template'!H373</f>
        <v>GarissaTownship</v>
      </c>
      <c r="D372" s="47" t="str">
        <f>'Project Stocktaking Template'!I373</f>
        <v>Township</v>
      </c>
      <c r="E372" s="48" t="str">
        <f>'Project Stocktaking Template'!O373</f>
        <v>1st aug 2023</v>
      </c>
      <c r="F372" s="48" t="str">
        <f>'Project Stocktaking Template'!P373</f>
        <v>30th june 2024</v>
      </c>
      <c r="G372" s="48" t="str">
        <f>'Project Stocktaking Template'!Q373</f>
        <v>30th june 2024</v>
      </c>
      <c r="H372" s="49">
        <f>'Project Stocktaking Template'!R373</f>
        <v>1000000</v>
      </c>
      <c r="I372" s="50" t="str">
        <f>'Project Stocktaking Template'!AD373</f>
        <v>Completed</v>
      </c>
      <c r="J372" s="45"/>
      <c r="K372" s="45"/>
      <c r="L372" s="45"/>
      <c r="M372" s="45"/>
      <c r="N372" s="45"/>
      <c r="O372" s="45"/>
      <c r="P372" s="45"/>
      <c r="Q372" s="45"/>
      <c r="R372" s="45"/>
      <c r="S372" s="45"/>
      <c r="T372" s="45"/>
      <c r="U372" s="45"/>
      <c r="V372" s="45"/>
      <c r="W372" s="45"/>
      <c r="X372" s="45"/>
      <c r="Y372" s="45"/>
      <c r="Z372" s="45"/>
    </row>
    <row r="373">
      <c r="A373" s="51">
        <v>372.0</v>
      </c>
      <c r="B373" s="47" t="str">
        <f>'Project Stocktaking Template'!B374</f>
        <v>IMPROVEMENT OF GALMAGALA ROAD</v>
      </c>
      <c r="C373" s="47" t="str">
        <f>'Project Stocktaking Template'!H374</f>
        <v>Fafi</v>
      </c>
      <c r="D373" s="47" t="str">
        <f>'Project Stocktaking Template'!I374</f>
        <v>Fafi</v>
      </c>
      <c r="E373" s="48" t="str">
        <f>'Project Stocktaking Template'!O374</f>
        <v>1st aug 2023</v>
      </c>
      <c r="F373" s="48" t="str">
        <f>'Project Stocktaking Template'!P374</f>
        <v>30th june 2024</v>
      </c>
      <c r="G373" s="48" t="str">
        <f>'Project Stocktaking Template'!Q374</f>
        <v>30th june 2024</v>
      </c>
      <c r="H373" s="49">
        <f>'Project Stocktaking Template'!R374</f>
        <v>1200000</v>
      </c>
      <c r="I373" s="50" t="str">
        <f>'Project Stocktaking Template'!AD374</f>
        <v>Completed</v>
      </c>
      <c r="J373" s="45"/>
      <c r="K373" s="45"/>
      <c r="L373" s="45"/>
      <c r="M373" s="45"/>
      <c r="N373" s="45"/>
      <c r="O373" s="45"/>
      <c r="P373" s="45"/>
      <c r="Q373" s="45"/>
      <c r="R373" s="45"/>
      <c r="S373" s="45"/>
      <c r="T373" s="45"/>
      <c r="U373" s="45"/>
      <c r="V373" s="45"/>
      <c r="W373" s="45"/>
      <c r="X373" s="45"/>
      <c r="Y373" s="45"/>
      <c r="Z373" s="45"/>
    </row>
    <row r="374">
      <c r="A374" s="46">
        <v>373.0</v>
      </c>
      <c r="B374" s="47" t="str">
        <f>'Project Stocktaking Template'!B375</f>
        <v>IMPROVEMENT OF BULLA CADAN ACCESS ROAD</v>
      </c>
      <c r="C374" s="47" t="str">
        <f>'Project Stocktaking Template'!H375</f>
        <v>GarissaTownship</v>
      </c>
      <c r="D374" s="47" t="str">
        <f>'Project Stocktaking Template'!I375</f>
        <v>Township</v>
      </c>
      <c r="E374" s="48" t="str">
        <f>'Project Stocktaking Template'!O375</f>
        <v>1st aug 2023</v>
      </c>
      <c r="F374" s="48" t="str">
        <f>'Project Stocktaking Template'!P375</f>
        <v>30th june 2024</v>
      </c>
      <c r="G374" s="48" t="str">
        <f>'Project Stocktaking Template'!Q375</f>
        <v>30th june 2024</v>
      </c>
      <c r="H374" s="49">
        <f>'Project Stocktaking Template'!R375</f>
        <v>1200000</v>
      </c>
      <c r="I374" s="50" t="str">
        <f>'Project Stocktaking Template'!AD375</f>
        <v>Completed</v>
      </c>
      <c r="J374" s="45"/>
      <c r="K374" s="45"/>
      <c r="L374" s="45"/>
      <c r="M374" s="45"/>
      <c r="N374" s="45"/>
      <c r="O374" s="45"/>
      <c r="P374" s="45"/>
      <c r="Q374" s="45"/>
      <c r="R374" s="45"/>
      <c r="S374" s="45"/>
      <c r="T374" s="45"/>
      <c r="U374" s="45"/>
      <c r="V374" s="45"/>
      <c r="W374" s="45"/>
      <c r="X374" s="45"/>
      <c r="Y374" s="45"/>
      <c r="Z374" s="45"/>
    </row>
    <row r="375">
      <c r="A375" s="51">
        <v>374.0</v>
      </c>
      <c r="B375" s="47" t="str">
        <f>'Project Stocktaking Template'!B376</f>
        <v>AND OF WARD ADMIN</v>
      </c>
      <c r="C375" s="47" t="str">
        <f>'Project Stocktaking Template'!H376</f>
        <v>GarissaTownship</v>
      </c>
      <c r="D375" s="47" t="str">
        <f>'Project Stocktaking Template'!I376</f>
        <v>Township</v>
      </c>
      <c r="E375" s="48" t="str">
        <f>'Project Stocktaking Template'!O376</f>
        <v>1st aug 2023</v>
      </c>
      <c r="F375" s="48" t="str">
        <f>'Project Stocktaking Template'!P376</f>
        <v>30th june 2024</v>
      </c>
      <c r="G375" s="48" t="str">
        <f>'Project Stocktaking Template'!Q376</f>
        <v>30th june 2024</v>
      </c>
      <c r="H375" s="49">
        <f>'Project Stocktaking Template'!R376</f>
        <v>1300000</v>
      </c>
      <c r="I375" s="50" t="str">
        <f>'Project Stocktaking Template'!AD376</f>
        <v>Completed</v>
      </c>
      <c r="J375" s="45"/>
      <c r="K375" s="45"/>
      <c r="L375" s="45"/>
      <c r="M375" s="45"/>
      <c r="N375" s="45"/>
      <c r="O375" s="45"/>
      <c r="P375" s="45"/>
      <c r="Q375" s="45"/>
      <c r="R375" s="45"/>
      <c r="S375" s="45"/>
      <c r="T375" s="45"/>
      <c r="U375" s="45"/>
      <c r="V375" s="45"/>
      <c r="W375" s="45"/>
      <c r="X375" s="45"/>
      <c r="Y375" s="45"/>
      <c r="Z375" s="45"/>
    </row>
    <row r="376">
      <c r="A376" s="46">
        <v>375.0</v>
      </c>
      <c r="B376" s="47" t="str">
        <f>'Project Stocktaking Template'!B377</f>
        <v>RENOVATION OF KENYA LIBRARY CENTTRE AT MASALANI</v>
      </c>
      <c r="C376" s="47" t="str">
        <f>'Project Stocktaking Template'!H377</f>
        <v>Ijara</v>
      </c>
      <c r="D376" s="47" t="str">
        <f>'Project Stocktaking Template'!I377</f>
        <v>Masalani</v>
      </c>
      <c r="E376" s="48" t="str">
        <f>'Project Stocktaking Template'!O377</f>
        <v>1st aug 2023</v>
      </c>
      <c r="F376" s="48" t="str">
        <f>'Project Stocktaking Template'!P377</f>
        <v>30th june 2024</v>
      </c>
      <c r="G376" s="48" t="str">
        <f>'Project Stocktaking Template'!Q377</f>
        <v>30th june 2024</v>
      </c>
      <c r="H376" s="49">
        <f>'Project Stocktaking Template'!R377</f>
        <v>3000000</v>
      </c>
      <c r="I376" s="50" t="str">
        <f>'Project Stocktaking Template'!AD377</f>
        <v>Completed</v>
      </c>
      <c r="J376" s="45"/>
      <c r="K376" s="45"/>
      <c r="L376" s="45"/>
      <c r="M376" s="45"/>
      <c r="N376" s="45"/>
      <c r="O376" s="45"/>
      <c r="P376" s="45"/>
      <c r="Q376" s="45"/>
      <c r="R376" s="45"/>
      <c r="S376" s="45"/>
      <c r="T376" s="45"/>
      <c r="U376" s="45"/>
      <c r="V376" s="45"/>
      <c r="W376" s="45"/>
      <c r="X376" s="45"/>
      <c r="Y376" s="45"/>
      <c r="Z376" s="45"/>
    </row>
    <row r="377">
      <c r="A377" s="51">
        <v>376.0</v>
      </c>
      <c r="B377" s="47" t="str">
        <f>'Project Stocktaking Template'!B378</f>
        <v>CONSTRUCTION OF WATER PAN</v>
      </c>
      <c r="C377" s="47" t="str">
        <f>'Project Stocktaking Template'!H378</f>
        <v>GarissaTownship</v>
      </c>
      <c r="D377" s="47" t="str">
        <f>'Project Stocktaking Template'!I378</f>
        <v>Township</v>
      </c>
      <c r="E377" s="48" t="str">
        <f>'Project Stocktaking Template'!O378</f>
        <v>1st aug 2023</v>
      </c>
      <c r="F377" s="48" t="str">
        <f>'Project Stocktaking Template'!P378</f>
        <v>30th june 2024</v>
      </c>
      <c r="G377" s="48" t="str">
        <f>'Project Stocktaking Template'!Q378</f>
        <v>30th june 2024</v>
      </c>
      <c r="H377" s="49">
        <f>'Project Stocktaking Template'!R378</f>
        <v>3000000</v>
      </c>
      <c r="I377" s="50" t="str">
        <f>'Project Stocktaking Template'!AD378</f>
        <v>Completed</v>
      </c>
      <c r="J377" s="45"/>
      <c r="K377" s="45"/>
      <c r="L377" s="45"/>
      <c r="M377" s="45"/>
      <c r="N377" s="45"/>
      <c r="O377" s="45"/>
      <c r="P377" s="45"/>
      <c r="Q377" s="45"/>
      <c r="R377" s="45"/>
      <c r="S377" s="45"/>
      <c r="T377" s="45"/>
      <c r="U377" s="45"/>
      <c r="V377" s="45"/>
      <c r="W377" s="45"/>
      <c r="X377" s="45"/>
      <c r="Y377" s="45"/>
      <c r="Z377" s="45"/>
    </row>
    <row r="378">
      <c r="A378" s="46">
        <v>377.0</v>
      </c>
      <c r="B378" s="47" t="str">
        <f>'Project Stocktaking Template'!B379</f>
        <v>CONSTRUCTION OF COUNTY  HEADQUATERS</v>
      </c>
      <c r="C378" s="47" t="str">
        <f>'Project Stocktaking Template'!H379</f>
        <v>GarissaTownship</v>
      </c>
      <c r="D378" s="47" t="str">
        <f>'Project Stocktaking Template'!I379</f>
        <v>Township</v>
      </c>
      <c r="E378" s="48" t="str">
        <f>'Project Stocktaking Template'!O379</f>
        <v>1st aug 2023</v>
      </c>
      <c r="F378" s="48" t="str">
        <f>'Project Stocktaking Template'!P379</f>
        <v>30th june 2024</v>
      </c>
      <c r="G378" s="48" t="str">
        <f>'Project Stocktaking Template'!Q379</f>
        <v>30th june 2024</v>
      </c>
      <c r="H378" s="49">
        <f>'Project Stocktaking Template'!R379</f>
        <v>3000000</v>
      </c>
      <c r="I378" s="50" t="str">
        <f>'Project Stocktaking Template'!AD379</f>
        <v>Completed</v>
      </c>
      <c r="J378" s="45"/>
      <c r="K378" s="45"/>
      <c r="L378" s="45"/>
      <c r="M378" s="45"/>
      <c r="N378" s="45"/>
      <c r="O378" s="45"/>
      <c r="P378" s="45"/>
      <c r="Q378" s="45"/>
      <c r="R378" s="45"/>
      <c r="S378" s="45"/>
      <c r="T378" s="45"/>
      <c r="U378" s="45"/>
      <c r="V378" s="45"/>
      <c r="W378" s="45"/>
      <c r="X378" s="45"/>
      <c r="Y378" s="45"/>
      <c r="Z378" s="45"/>
    </row>
    <row r="379">
      <c r="A379" s="51">
        <v>378.0</v>
      </c>
      <c r="B379" s="47" t="str">
        <f>'Project Stocktaking Template'!B380</f>
        <v>RENOVATION REPAIR CONSTRUCTION OF JARIBU PRIMARY </v>
      </c>
      <c r="C379" s="47" t="str">
        <f>'Project Stocktaking Template'!H380</f>
        <v>GarissaTownship</v>
      </c>
      <c r="D379" s="47" t="str">
        <f>'Project Stocktaking Template'!I380</f>
        <v>Township</v>
      </c>
      <c r="E379" s="48" t="str">
        <f>'Project Stocktaking Template'!O380</f>
        <v>1st aug 2023</v>
      </c>
      <c r="F379" s="48" t="str">
        <f>'Project Stocktaking Template'!P380</f>
        <v>30th june 2024</v>
      </c>
      <c r="G379" s="48" t="str">
        <f>'Project Stocktaking Template'!Q380</f>
        <v>30th june 2024</v>
      </c>
      <c r="H379" s="49">
        <f>'Project Stocktaking Template'!R380</f>
        <v>5000000</v>
      </c>
      <c r="I379" s="50" t="str">
        <f>'Project Stocktaking Template'!AD380</f>
        <v>Completed</v>
      </c>
      <c r="J379" s="45"/>
      <c r="K379" s="45"/>
      <c r="L379" s="45"/>
      <c r="M379" s="45"/>
      <c r="N379" s="45"/>
      <c r="O379" s="45"/>
      <c r="P379" s="45"/>
      <c r="Q379" s="45"/>
      <c r="R379" s="45"/>
      <c r="S379" s="45"/>
      <c r="T379" s="45"/>
      <c r="U379" s="45"/>
      <c r="V379" s="45"/>
      <c r="W379" s="45"/>
      <c r="X379" s="45"/>
      <c r="Y379" s="45"/>
      <c r="Z379" s="45"/>
    </row>
    <row r="380">
      <c r="A380" s="46">
        <v>379.0</v>
      </c>
      <c r="B380" s="47" t="str">
        <f>'Project Stocktaking Template'!B381</f>
        <v>REHABILITATION AND EXTENSION OF BURA WATER SUPPLY IN BURA TOWN</v>
      </c>
      <c r="C380" s="47" t="str">
        <f>'Project Stocktaking Template'!H381</f>
        <v>Balambala</v>
      </c>
      <c r="D380" s="47" t="str">
        <f>'Project Stocktaking Template'!I381</f>
        <v>Bura</v>
      </c>
      <c r="E380" s="48" t="str">
        <f>'Project Stocktaking Template'!O381</f>
        <v>1st aug 2023</v>
      </c>
      <c r="F380" s="48" t="str">
        <f>'Project Stocktaking Template'!P381</f>
        <v>30th june 2024</v>
      </c>
      <c r="G380" s="48" t="str">
        <f>'Project Stocktaking Template'!Q381</f>
        <v>30th june 2024</v>
      </c>
      <c r="H380" s="49">
        <f>'Project Stocktaking Template'!R381</f>
        <v>11000000</v>
      </c>
      <c r="I380" s="50" t="str">
        <f>'Project Stocktaking Template'!AD381</f>
        <v>Completed</v>
      </c>
      <c r="J380" s="45"/>
      <c r="K380" s="45"/>
      <c r="L380" s="45"/>
      <c r="M380" s="45"/>
      <c r="N380" s="45"/>
      <c r="O380" s="45"/>
      <c r="P380" s="45"/>
      <c r="Q380" s="45"/>
      <c r="R380" s="45"/>
      <c r="S380" s="45"/>
      <c r="T380" s="45"/>
      <c r="U380" s="45"/>
      <c r="V380" s="45"/>
      <c r="W380" s="45"/>
      <c r="X380" s="45"/>
      <c r="Y380" s="45"/>
      <c r="Z380" s="45"/>
    </row>
    <row r="381">
      <c r="A381" s="51">
        <v>380.0</v>
      </c>
      <c r="B381" s="47" t="str">
        <f>'Project Stocktaking Template'!B382</f>
        <v>CONSTRUCTION OF QURANQUKUTKTE WATER PAN</v>
      </c>
      <c r="C381" s="47" t="str">
        <f>'Project Stocktaking Template'!H382</f>
        <v>GarissaTownship</v>
      </c>
      <c r="D381" s="47" t="str">
        <f>'Project Stocktaking Template'!I382</f>
        <v>Township</v>
      </c>
      <c r="E381" s="48" t="str">
        <f>'Project Stocktaking Template'!O382</f>
        <v>1st aug 2023</v>
      </c>
      <c r="F381" s="48" t="str">
        <f>'Project Stocktaking Template'!P382</f>
        <v>30th june 2024</v>
      </c>
      <c r="G381" s="48" t="str">
        <f>'Project Stocktaking Template'!Q382</f>
        <v>30th june 2024</v>
      </c>
      <c r="H381" s="49">
        <f>'Project Stocktaking Template'!R382</f>
        <v>240000</v>
      </c>
      <c r="I381" s="50" t="str">
        <f>'Project Stocktaking Template'!AD382</f>
        <v>Completed</v>
      </c>
      <c r="J381" s="45"/>
      <c r="K381" s="45"/>
      <c r="L381" s="45"/>
      <c r="M381" s="45"/>
      <c r="N381" s="45"/>
      <c r="O381" s="45"/>
      <c r="P381" s="45"/>
      <c r="Q381" s="45"/>
      <c r="R381" s="45"/>
      <c r="S381" s="45"/>
      <c r="T381" s="45"/>
      <c r="U381" s="45"/>
      <c r="V381" s="45"/>
      <c r="W381" s="45"/>
      <c r="X381" s="45"/>
      <c r="Y381" s="45"/>
      <c r="Z381" s="45"/>
    </row>
    <row r="382">
      <c r="A382" s="46">
        <v>381.0</v>
      </c>
      <c r="B382" s="47" t="str">
        <f>'Project Stocktaking Template'!B383</f>
        <v>RENNOVATION OF GK HOUSE MG23</v>
      </c>
      <c r="C382" s="47" t="str">
        <f>'Project Stocktaking Template'!H383</f>
        <v>GarissaTownship</v>
      </c>
      <c r="D382" s="47" t="str">
        <f>'Project Stocktaking Template'!I383</f>
        <v>Township</v>
      </c>
      <c r="E382" s="48" t="str">
        <f>'Project Stocktaking Template'!O383</f>
        <v>1st aug 2023</v>
      </c>
      <c r="F382" s="48" t="str">
        <f>'Project Stocktaking Template'!P383</f>
        <v>30th june 2024</v>
      </c>
      <c r="G382" s="48" t="str">
        <f>'Project Stocktaking Template'!Q383</f>
        <v>30th june 2024</v>
      </c>
      <c r="H382" s="49">
        <f>'Project Stocktaking Template'!R383</f>
        <v>245000</v>
      </c>
      <c r="I382" s="50" t="str">
        <f>'Project Stocktaking Template'!AD383</f>
        <v>Completed</v>
      </c>
      <c r="J382" s="45"/>
      <c r="K382" s="45"/>
      <c r="L382" s="45"/>
      <c r="M382" s="45"/>
      <c r="N382" s="45"/>
      <c r="O382" s="45"/>
      <c r="P382" s="45"/>
      <c r="Q382" s="45"/>
      <c r="R382" s="45"/>
      <c r="S382" s="45"/>
      <c r="T382" s="45"/>
      <c r="U382" s="45"/>
      <c r="V382" s="45"/>
      <c r="W382" s="45"/>
      <c r="X382" s="45"/>
      <c r="Y382" s="45"/>
      <c r="Z382" s="45"/>
    </row>
    <row r="383">
      <c r="A383" s="51">
        <v>382.0</v>
      </c>
      <c r="B383" s="47" t="str">
        <f>'Project Stocktaking Template'!B384</f>
        <v>CHAINLINK FENCE AT TETU PRIMARY</v>
      </c>
      <c r="C383" s="47" t="str">
        <f>'Project Stocktaking Template'!H384</f>
        <v>GarissaTownship</v>
      </c>
      <c r="D383" s="47" t="str">
        <f>'Project Stocktaking Template'!I384</f>
        <v>Township</v>
      </c>
      <c r="E383" s="48" t="str">
        <f>'Project Stocktaking Template'!O384</f>
        <v>1st aug 2023</v>
      </c>
      <c r="F383" s="48" t="str">
        <f>'Project Stocktaking Template'!P384</f>
        <v>30th june 2024</v>
      </c>
      <c r="G383" s="48" t="str">
        <f>'Project Stocktaking Template'!Q384</f>
        <v>30th june 2024</v>
      </c>
      <c r="H383" s="49">
        <f>'Project Stocktaking Template'!R384</f>
        <v>245000</v>
      </c>
      <c r="I383" s="50" t="str">
        <f>'Project Stocktaking Template'!AD384</f>
        <v>Completed</v>
      </c>
      <c r="J383" s="45"/>
      <c r="K383" s="45"/>
      <c r="L383" s="45"/>
      <c r="M383" s="45"/>
      <c r="N383" s="45"/>
      <c r="O383" s="45"/>
      <c r="P383" s="45"/>
      <c r="Q383" s="45"/>
      <c r="R383" s="45"/>
      <c r="S383" s="45"/>
      <c r="T383" s="45"/>
      <c r="U383" s="45"/>
      <c r="V383" s="45"/>
      <c r="W383" s="45"/>
      <c r="X383" s="45"/>
      <c r="Y383" s="45"/>
      <c r="Z383" s="45"/>
    </row>
    <row r="384">
      <c r="A384" s="46">
        <v>383.0</v>
      </c>
      <c r="B384" s="47" t="str">
        <f>'Project Stocktaking Template'!B385</f>
        <v>CONSTRUCTION OF NEW WATER PAN ATWARSAME CENTRE</v>
      </c>
      <c r="C384" s="47" t="str">
        <f>'Project Stocktaking Template'!H385</f>
        <v>GarissaTownship</v>
      </c>
      <c r="D384" s="47" t="str">
        <f>'Project Stocktaking Template'!I385</f>
        <v>Township</v>
      </c>
      <c r="E384" s="48" t="str">
        <f>'Project Stocktaking Template'!O385</f>
        <v>1st aug 2023</v>
      </c>
      <c r="F384" s="48" t="str">
        <f>'Project Stocktaking Template'!P385</f>
        <v>30th june 2024</v>
      </c>
      <c r="G384" s="48" t="str">
        <f>'Project Stocktaking Template'!Q385</f>
        <v>30th june 2024</v>
      </c>
      <c r="H384" s="49">
        <f>'Project Stocktaking Template'!R385</f>
        <v>250000</v>
      </c>
      <c r="I384" s="50" t="str">
        <f>'Project Stocktaking Template'!AD385</f>
        <v>Completed</v>
      </c>
      <c r="J384" s="45"/>
      <c r="K384" s="45"/>
      <c r="L384" s="45"/>
      <c r="M384" s="45"/>
      <c r="N384" s="45"/>
      <c r="O384" s="45"/>
      <c r="P384" s="45"/>
      <c r="Q384" s="45"/>
      <c r="R384" s="45"/>
      <c r="S384" s="45"/>
      <c r="T384" s="45"/>
      <c r="U384" s="45"/>
      <c r="V384" s="45"/>
      <c r="W384" s="45"/>
      <c r="X384" s="45"/>
      <c r="Y384" s="45"/>
      <c r="Z384" s="45"/>
    </row>
    <row r="385">
      <c r="A385" s="51">
        <v>384.0</v>
      </c>
      <c r="B385" s="47" t="str">
        <f>'Project Stocktaking Template'!B386</f>
        <v>DESILTING OF TUMTISH WATER PAN</v>
      </c>
      <c r="C385" s="47" t="str">
        <f>'Project Stocktaking Template'!H386</f>
        <v>GarissaTownship</v>
      </c>
      <c r="D385" s="47" t="str">
        <f>'Project Stocktaking Template'!I386</f>
        <v>Township</v>
      </c>
      <c r="E385" s="48" t="str">
        <f>'Project Stocktaking Template'!O386</f>
        <v>1st aug 2023</v>
      </c>
      <c r="F385" s="48" t="str">
        <f>'Project Stocktaking Template'!P386</f>
        <v>30th june 2024</v>
      </c>
      <c r="G385" s="48" t="str">
        <f>'Project Stocktaking Template'!Q386</f>
        <v>30th june 2024</v>
      </c>
      <c r="H385" s="49">
        <f>'Project Stocktaking Template'!R386</f>
        <v>300000</v>
      </c>
      <c r="I385" s="50" t="str">
        <f>'Project Stocktaking Template'!AD386</f>
        <v>Completed</v>
      </c>
      <c r="J385" s="45"/>
      <c r="K385" s="45"/>
      <c r="L385" s="45"/>
      <c r="M385" s="45"/>
      <c r="N385" s="45"/>
      <c r="O385" s="45"/>
      <c r="P385" s="45"/>
      <c r="Q385" s="45"/>
      <c r="R385" s="45"/>
      <c r="S385" s="45"/>
      <c r="T385" s="45"/>
      <c r="U385" s="45"/>
      <c r="V385" s="45"/>
      <c r="W385" s="45"/>
      <c r="X385" s="45"/>
      <c r="Y385" s="45"/>
      <c r="Z385" s="45"/>
    </row>
    <row r="386">
      <c r="A386" s="46">
        <v>385.0</v>
      </c>
      <c r="B386" s="47" t="str">
        <f>'Project Stocktaking Template'!B387</f>
        <v>INSTALLATION OF COMMUNICATION EQUIPTMENT AT COUNTY AFFAIRS</v>
      </c>
      <c r="C386" s="47" t="str">
        <f>'Project Stocktaking Template'!H387</f>
        <v>GarissaTownship</v>
      </c>
      <c r="D386" s="47" t="str">
        <f>'Project Stocktaking Template'!I387</f>
        <v>Township</v>
      </c>
      <c r="E386" s="48" t="str">
        <f>'Project Stocktaking Template'!O387</f>
        <v>1st aug 2023</v>
      </c>
      <c r="F386" s="48" t="str">
        <f>'Project Stocktaking Template'!P387</f>
        <v>30th june 2024</v>
      </c>
      <c r="G386" s="48" t="str">
        <f>'Project Stocktaking Template'!Q387</f>
        <v>30th june 2024</v>
      </c>
      <c r="H386" s="49">
        <f>'Project Stocktaking Template'!R387</f>
        <v>300000</v>
      </c>
      <c r="I386" s="50" t="str">
        <f>'Project Stocktaking Template'!AD387</f>
        <v>Completed</v>
      </c>
      <c r="J386" s="45"/>
      <c r="K386" s="45"/>
      <c r="L386" s="45"/>
      <c r="M386" s="45"/>
      <c r="N386" s="45"/>
      <c r="O386" s="45"/>
      <c r="P386" s="45"/>
      <c r="Q386" s="45"/>
      <c r="R386" s="45"/>
      <c r="S386" s="45"/>
      <c r="T386" s="45"/>
      <c r="U386" s="45"/>
      <c r="V386" s="45"/>
      <c r="W386" s="45"/>
      <c r="X386" s="45"/>
      <c r="Y386" s="45"/>
      <c r="Z386" s="45"/>
    </row>
    <row r="387">
      <c r="A387" s="51">
        <v>386.0</v>
      </c>
      <c r="B387" s="47" t="str">
        <f>'Project Stocktaking Template'!B388</f>
        <v>CHAINLINK FENCE AT KIWANJA PRIMARY</v>
      </c>
      <c r="C387" s="47" t="str">
        <f>'Project Stocktaking Template'!H388</f>
        <v>GarissaTownship</v>
      </c>
      <c r="D387" s="47" t="str">
        <f>'Project Stocktaking Template'!I388</f>
        <v>Township</v>
      </c>
      <c r="E387" s="48" t="str">
        <f>'Project Stocktaking Template'!O388</f>
        <v>1st aug 2023</v>
      </c>
      <c r="F387" s="48" t="str">
        <f>'Project Stocktaking Template'!P388</f>
        <v>30th june 2024</v>
      </c>
      <c r="G387" s="48" t="str">
        <f>'Project Stocktaking Template'!Q388</f>
        <v>30th june 2024</v>
      </c>
      <c r="H387" s="49">
        <f>'Project Stocktaking Template'!R388</f>
        <v>1000000</v>
      </c>
      <c r="I387" s="50" t="str">
        <f>'Project Stocktaking Template'!AD388</f>
        <v>Completed</v>
      </c>
      <c r="J387" s="45"/>
      <c r="K387" s="45"/>
      <c r="L387" s="45"/>
      <c r="M387" s="45"/>
      <c r="N387" s="45"/>
      <c r="O387" s="45"/>
      <c r="P387" s="45"/>
      <c r="Q387" s="45"/>
      <c r="R387" s="45"/>
      <c r="S387" s="45"/>
      <c r="T387" s="45"/>
      <c r="U387" s="45"/>
      <c r="V387" s="45"/>
      <c r="W387" s="45"/>
      <c r="X387" s="45"/>
      <c r="Y387" s="45"/>
      <c r="Z387" s="45"/>
    </row>
    <row r="388">
      <c r="A388" s="46">
        <v>387.0</v>
      </c>
      <c r="B388" s="47" t="str">
        <f>'Project Stocktaking Template'!B389</f>
        <v>TAHRIR OF WATER PAN</v>
      </c>
      <c r="C388" s="47" t="str">
        <f>'Project Stocktaking Template'!H389</f>
        <v>GarissaTownship</v>
      </c>
      <c r="D388" s="47" t="str">
        <f>'Project Stocktaking Template'!I389</f>
        <v>Township</v>
      </c>
      <c r="E388" s="48" t="str">
        <f>'Project Stocktaking Template'!O389</f>
        <v>1st aug 2023</v>
      </c>
      <c r="F388" s="48" t="str">
        <f>'Project Stocktaking Template'!P389</f>
        <v>30th june 2024</v>
      </c>
      <c r="G388" s="48" t="str">
        <f>'Project Stocktaking Template'!Q389</f>
        <v>30th june 2024</v>
      </c>
      <c r="H388" s="49">
        <f>'Project Stocktaking Template'!R389</f>
        <v>250000</v>
      </c>
      <c r="I388" s="50" t="str">
        <f>'Project Stocktaking Template'!AD389</f>
        <v>Completed</v>
      </c>
      <c r="J388" s="45"/>
      <c r="K388" s="45"/>
      <c r="L388" s="45"/>
      <c r="M388" s="45"/>
      <c r="N388" s="45"/>
      <c r="O388" s="45"/>
      <c r="P388" s="45"/>
      <c r="Q388" s="45"/>
      <c r="R388" s="45"/>
      <c r="S388" s="45"/>
      <c r="T388" s="45"/>
      <c r="U388" s="45"/>
      <c r="V388" s="45"/>
      <c r="W388" s="45"/>
      <c r="X388" s="45"/>
      <c r="Y388" s="45"/>
      <c r="Z388" s="45"/>
    </row>
    <row r="389">
      <c r="A389" s="51">
        <v>388.0</v>
      </c>
      <c r="B389" s="47" t="str">
        <f>'Project Stocktaking Template'!B390</f>
        <v>CHAINLINK FENCE AT HAMEY PRIMARY</v>
      </c>
      <c r="C389" s="47" t="str">
        <f>'Project Stocktaking Template'!H390</f>
        <v>Dadaab</v>
      </c>
      <c r="D389" s="47" t="str">
        <f>'Project Stocktaking Template'!I390</f>
        <v>Dadaab</v>
      </c>
      <c r="E389" s="48" t="str">
        <f>'Project Stocktaking Template'!O390</f>
        <v>1st aug 2023</v>
      </c>
      <c r="F389" s="48" t="str">
        <f>'Project Stocktaking Template'!P390</f>
        <v>30th june 2024</v>
      </c>
      <c r="G389" s="48" t="str">
        <f>'Project Stocktaking Template'!Q390</f>
        <v>30th june 2024</v>
      </c>
      <c r="H389" s="49">
        <f>'Project Stocktaking Template'!R390</f>
        <v>300000</v>
      </c>
      <c r="I389" s="50" t="str">
        <f>'Project Stocktaking Template'!AD390</f>
        <v>Completed</v>
      </c>
      <c r="J389" s="45"/>
      <c r="K389" s="45"/>
      <c r="L389" s="45"/>
      <c r="M389" s="45"/>
      <c r="N389" s="45"/>
      <c r="O389" s="45"/>
      <c r="P389" s="45"/>
      <c r="Q389" s="45"/>
      <c r="R389" s="45"/>
      <c r="S389" s="45"/>
      <c r="T389" s="45"/>
      <c r="U389" s="45"/>
      <c r="V389" s="45"/>
      <c r="W389" s="45"/>
      <c r="X389" s="45"/>
      <c r="Y389" s="45"/>
      <c r="Z389" s="45"/>
    </row>
    <row r="390">
      <c r="A390" s="46">
        <v>389.0</v>
      </c>
      <c r="B390" s="47" t="str">
        <f>'Project Stocktaking Template'!B391</f>
        <v>WARD ADMIN AT BANANE WARD</v>
      </c>
      <c r="C390" s="47" t="str">
        <f>'Project Stocktaking Template'!H391</f>
        <v>Lagdera</v>
      </c>
      <c r="D390" s="47" t="str">
        <f>'Project Stocktaking Template'!I391</f>
        <v>Benane</v>
      </c>
      <c r="E390" s="48" t="str">
        <f>'Project Stocktaking Template'!O391</f>
        <v>1st aug 2023</v>
      </c>
      <c r="F390" s="48" t="str">
        <f>'Project Stocktaking Template'!P391</f>
        <v>30th june 2024</v>
      </c>
      <c r="G390" s="48" t="str">
        <f>'Project Stocktaking Template'!Q391</f>
        <v>30th june 2024</v>
      </c>
      <c r="H390" s="49">
        <f>'Project Stocktaking Template'!R391</f>
        <v>440000</v>
      </c>
      <c r="I390" s="50" t="str">
        <f>'Project Stocktaking Template'!AD391</f>
        <v>Completed</v>
      </c>
      <c r="J390" s="45"/>
      <c r="K390" s="45"/>
      <c r="L390" s="45"/>
      <c r="M390" s="45"/>
      <c r="N390" s="45"/>
      <c r="O390" s="45"/>
      <c r="P390" s="45"/>
      <c r="Q390" s="45"/>
      <c r="R390" s="45"/>
      <c r="S390" s="45"/>
      <c r="T390" s="45"/>
      <c r="U390" s="45"/>
      <c r="V390" s="45"/>
      <c r="W390" s="45"/>
      <c r="X390" s="45"/>
      <c r="Y390" s="45"/>
      <c r="Z390" s="45"/>
    </row>
    <row r="391">
      <c r="A391" s="51">
        <v>390.0</v>
      </c>
      <c r="B391" s="47" t="str">
        <f>'Project Stocktaking Template'!B392</f>
        <v>CONSTRUCTION OF WARD ADMIN</v>
      </c>
      <c r="C391" s="47" t="str">
        <f>'Project Stocktaking Template'!H392</f>
        <v>GarissaTownship</v>
      </c>
      <c r="D391" s="47" t="str">
        <f>'Project Stocktaking Template'!I392</f>
        <v>Township</v>
      </c>
      <c r="E391" s="48" t="str">
        <f>'Project Stocktaking Template'!O392</f>
        <v>1st aug 2023</v>
      </c>
      <c r="F391" s="48" t="str">
        <f>'Project Stocktaking Template'!P392</f>
        <v>30th june 2024</v>
      </c>
      <c r="G391" s="48" t="str">
        <f>'Project Stocktaking Template'!Q392</f>
        <v>30th june 2024</v>
      </c>
      <c r="H391" s="49">
        <f>'Project Stocktaking Template'!R392</f>
        <v>500000</v>
      </c>
      <c r="I391" s="50" t="str">
        <f>'Project Stocktaking Template'!AD392</f>
        <v>Completed</v>
      </c>
      <c r="J391" s="45"/>
      <c r="K391" s="45"/>
      <c r="L391" s="45"/>
      <c r="M391" s="45"/>
      <c r="N391" s="45"/>
      <c r="O391" s="45"/>
      <c r="P391" s="45"/>
      <c r="Q391" s="45"/>
      <c r="R391" s="45"/>
      <c r="S391" s="45"/>
      <c r="T391" s="45"/>
      <c r="U391" s="45"/>
      <c r="V391" s="45"/>
      <c r="W391" s="45"/>
      <c r="X391" s="45"/>
      <c r="Y391" s="45"/>
      <c r="Z391" s="45"/>
    </row>
    <row r="392">
      <c r="A392" s="46">
        <v>391.0</v>
      </c>
      <c r="B392" s="47" t="str">
        <f>'Project Stocktaking Template'!B393</f>
        <v>RENOVATION AND REFURBISHMENT CLASSROOM AT BULA COLLEGE PRIMARY</v>
      </c>
      <c r="C392" s="47" t="str">
        <f>'Project Stocktaking Template'!H393</f>
        <v>GarissaTownship</v>
      </c>
      <c r="D392" s="47" t="str">
        <f>'Project Stocktaking Template'!I393</f>
        <v>Township</v>
      </c>
      <c r="E392" s="48" t="str">
        <f>'Project Stocktaking Template'!O393</f>
        <v>1st aug 2023</v>
      </c>
      <c r="F392" s="48" t="str">
        <f>'Project Stocktaking Template'!P393</f>
        <v>30th june 2024</v>
      </c>
      <c r="G392" s="48" t="str">
        <f>'Project Stocktaking Template'!Q393</f>
        <v>30th june 2024</v>
      </c>
      <c r="H392" s="49">
        <f>'Project Stocktaking Template'!R393</f>
        <v>300000</v>
      </c>
      <c r="I392" s="50" t="str">
        <f>'Project Stocktaking Template'!AD393</f>
        <v>Completed</v>
      </c>
      <c r="J392" s="45"/>
      <c r="K392" s="45"/>
      <c r="L392" s="45"/>
      <c r="M392" s="45"/>
      <c r="N392" s="45"/>
      <c r="O392" s="45"/>
      <c r="P392" s="45"/>
      <c r="Q392" s="45"/>
      <c r="R392" s="45"/>
      <c r="S392" s="45"/>
      <c r="T392" s="45"/>
      <c r="U392" s="45"/>
      <c r="V392" s="45"/>
      <c r="W392" s="45"/>
      <c r="X392" s="45"/>
      <c r="Y392" s="45"/>
      <c r="Z392" s="45"/>
    </row>
    <row r="393">
      <c r="A393" s="51">
        <v>392.0</v>
      </c>
      <c r="B393" s="47" t="str">
        <f>'Project Stocktaking Template'!B394</f>
        <v>AND OF WARD ADMIN</v>
      </c>
      <c r="C393" s="47" t="str">
        <f>'Project Stocktaking Template'!H394</f>
        <v>GarissaTownship</v>
      </c>
      <c r="D393" s="47" t="str">
        <f>'Project Stocktaking Template'!I394</f>
        <v>Township</v>
      </c>
      <c r="E393" s="48" t="str">
        <f>'Project Stocktaking Template'!O394</f>
        <v>1st aug 2023</v>
      </c>
      <c r="F393" s="48" t="str">
        <f>'Project Stocktaking Template'!P394</f>
        <v>30th june 2024</v>
      </c>
      <c r="G393" s="48" t="str">
        <f>'Project Stocktaking Template'!Q394</f>
        <v>30th june 2024</v>
      </c>
      <c r="H393" s="49">
        <f>'Project Stocktaking Template'!R394</f>
        <v>300000</v>
      </c>
      <c r="I393" s="50" t="str">
        <f>'Project Stocktaking Template'!AD394</f>
        <v>Completed</v>
      </c>
      <c r="J393" s="45"/>
      <c r="K393" s="45"/>
      <c r="L393" s="45"/>
      <c r="M393" s="45"/>
      <c r="N393" s="45"/>
      <c r="O393" s="45"/>
      <c r="P393" s="45"/>
      <c r="Q393" s="45"/>
      <c r="R393" s="45"/>
      <c r="S393" s="45"/>
      <c r="T393" s="45"/>
      <c r="U393" s="45"/>
      <c r="V393" s="45"/>
      <c r="W393" s="45"/>
      <c r="X393" s="45"/>
      <c r="Y393" s="45"/>
      <c r="Z393" s="45"/>
    </row>
    <row r="394">
      <c r="A394" s="46">
        <v>393.0</v>
      </c>
      <c r="B394" s="47" t="str">
        <f>'Project Stocktaking Template'!B395</f>
        <v>CONSTRUCTION OF DEELA WATER AT GALMAGALA</v>
      </c>
      <c r="C394" s="47" t="str">
        <f>'Project Stocktaking Template'!H395</f>
        <v>Fafi</v>
      </c>
      <c r="D394" s="47" t="str">
        <f>'Project Stocktaking Template'!I395</f>
        <v>Fafi</v>
      </c>
      <c r="E394" s="48" t="str">
        <f>'Project Stocktaking Template'!O395</f>
        <v>1st aug 2023</v>
      </c>
      <c r="F394" s="48" t="str">
        <f>'Project Stocktaking Template'!P395</f>
        <v>30th june 2024</v>
      </c>
      <c r="G394" s="48" t="str">
        <f>'Project Stocktaking Template'!Q395</f>
        <v>30th june 2024</v>
      </c>
      <c r="H394" s="49">
        <f>'Project Stocktaking Template'!R395</f>
        <v>3000000</v>
      </c>
      <c r="I394" s="50" t="str">
        <f>'Project Stocktaking Template'!AD395</f>
        <v>Completed</v>
      </c>
      <c r="J394" s="45"/>
      <c r="K394" s="45"/>
      <c r="L394" s="45"/>
      <c r="M394" s="45"/>
      <c r="N394" s="45"/>
      <c r="O394" s="45"/>
      <c r="P394" s="45"/>
      <c r="Q394" s="45"/>
      <c r="R394" s="45"/>
      <c r="S394" s="45"/>
      <c r="T394" s="45"/>
      <c r="U394" s="45"/>
      <c r="V394" s="45"/>
      <c r="W394" s="45"/>
      <c r="X394" s="45"/>
      <c r="Y394" s="45"/>
      <c r="Z394" s="45"/>
    </row>
    <row r="395">
      <c r="A395" s="51">
        <v>394.0</v>
      </c>
      <c r="B395" s="47" t="str">
        <f>'Project Stocktaking Template'!B396</f>
        <v>EQUPPING AND EXTENSION OF BARAKI MAALIMIN PIPELINE</v>
      </c>
      <c r="C395" s="47" t="str">
        <f>'Project Stocktaking Template'!H396</f>
        <v>Lagdera</v>
      </c>
      <c r="D395" s="47" t="str">
        <f>'Project Stocktaking Template'!I396</f>
        <v>Modogashe</v>
      </c>
      <c r="E395" s="48" t="str">
        <f>'Project Stocktaking Template'!O396</f>
        <v>1st aug 2023</v>
      </c>
      <c r="F395" s="48" t="str">
        <f>'Project Stocktaking Template'!P396</f>
        <v>30th june 2024</v>
      </c>
      <c r="G395" s="48" t="str">
        <f>'Project Stocktaking Template'!Q396</f>
        <v>30th june 2024</v>
      </c>
      <c r="H395" s="49">
        <f>'Project Stocktaking Template'!R396</f>
        <v>42874137.95</v>
      </c>
      <c r="I395" s="50" t="str">
        <f>'Project Stocktaking Template'!AD396</f>
        <v>Completed</v>
      </c>
      <c r="J395" s="45"/>
      <c r="K395" s="45"/>
      <c r="L395" s="45"/>
      <c r="M395" s="45"/>
      <c r="N395" s="45"/>
      <c r="O395" s="45"/>
      <c r="P395" s="45"/>
      <c r="Q395" s="45"/>
      <c r="R395" s="45"/>
      <c r="S395" s="45"/>
      <c r="T395" s="45"/>
      <c r="U395" s="45"/>
      <c r="V395" s="45"/>
      <c r="W395" s="45"/>
      <c r="X395" s="45"/>
      <c r="Y395" s="45"/>
      <c r="Z395" s="45"/>
    </row>
    <row r="396">
      <c r="A396" s="46">
        <v>395.0</v>
      </c>
      <c r="B396" s="47" t="str">
        <f>'Project Stocktaking Template'!B397</f>
        <v>PATIAL DEVELOPMENT PLAN FOR GARISSA COUNTY</v>
      </c>
      <c r="C396" s="47" t="str">
        <f>'Project Stocktaking Template'!H397</f>
        <v>GarissaTownship</v>
      </c>
      <c r="D396" s="47" t="str">
        <f>'Project Stocktaking Template'!I397</f>
        <v>Township</v>
      </c>
      <c r="E396" s="48" t="str">
        <f>'Project Stocktaking Template'!O397</f>
        <v>1st aug 2023</v>
      </c>
      <c r="F396" s="48" t="str">
        <f>'Project Stocktaking Template'!P397</f>
        <v>30th june 2024</v>
      </c>
      <c r="G396" s="48" t="str">
        <f>'Project Stocktaking Template'!Q397</f>
        <v>30th june 2024</v>
      </c>
      <c r="H396" s="49">
        <f>'Project Stocktaking Template'!R397</f>
        <v>47500000</v>
      </c>
      <c r="I396" s="50" t="str">
        <f>'Project Stocktaking Template'!AD397</f>
        <v>Completed</v>
      </c>
      <c r="J396" s="45"/>
      <c r="K396" s="45"/>
      <c r="L396" s="45"/>
      <c r="M396" s="45"/>
      <c r="N396" s="45"/>
      <c r="O396" s="45"/>
      <c r="P396" s="45"/>
      <c r="Q396" s="45"/>
      <c r="R396" s="45"/>
      <c r="S396" s="45"/>
      <c r="T396" s="45"/>
      <c r="U396" s="45"/>
      <c r="V396" s="45"/>
      <c r="W396" s="45"/>
      <c r="X396" s="45"/>
      <c r="Y396" s="45"/>
      <c r="Z396" s="45"/>
    </row>
    <row r="397">
      <c r="A397" s="51">
        <v>396.0</v>
      </c>
      <c r="B397" s="47" t="str">
        <f>'Project Stocktaking Template'!B398</f>
        <v>CONSTRUCTION OF ECD CLASSROOM BULLA MAKKA</v>
      </c>
      <c r="C397" s="47" t="str">
        <f>'Project Stocktaking Template'!H398</f>
        <v>GarissaTownship</v>
      </c>
      <c r="D397" s="47" t="str">
        <f>'Project Stocktaking Template'!I398</f>
        <v>Township</v>
      </c>
      <c r="E397" s="48" t="str">
        <f>'Project Stocktaking Template'!O398</f>
        <v>1st aug 2023</v>
      </c>
      <c r="F397" s="48" t="str">
        <f>'Project Stocktaking Template'!P398</f>
        <v>30th june 2024</v>
      </c>
      <c r="G397" s="48" t="str">
        <f>'Project Stocktaking Template'!Q398</f>
        <v>30th june 2024</v>
      </c>
      <c r="H397" s="49">
        <f>'Project Stocktaking Template'!R398</f>
        <v>200000</v>
      </c>
      <c r="I397" s="50" t="str">
        <f>'Project Stocktaking Template'!AD398</f>
        <v>Completed</v>
      </c>
      <c r="J397" s="45"/>
      <c r="K397" s="45"/>
      <c r="L397" s="45"/>
      <c r="M397" s="45"/>
      <c r="N397" s="45"/>
      <c r="O397" s="45"/>
      <c r="P397" s="45"/>
      <c r="Q397" s="45"/>
      <c r="R397" s="45"/>
      <c r="S397" s="45"/>
      <c r="T397" s="45"/>
      <c r="U397" s="45"/>
      <c r="V397" s="45"/>
      <c r="W397" s="45"/>
      <c r="X397" s="45"/>
      <c r="Y397" s="45"/>
      <c r="Z397" s="45"/>
    </row>
    <row r="398">
      <c r="A398" s="46">
        <v>397.0</v>
      </c>
      <c r="B398" s="47" t="str">
        <f>'Project Stocktaking Template'!B399</f>
        <v>CONSTRUCTION OF NEW DISPENSARY ATRIIG DAM</v>
      </c>
      <c r="C398" s="47" t="str">
        <f>'Project Stocktaking Template'!H399</f>
        <v>GarissaTownship</v>
      </c>
      <c r="D398" s="47" t="str">
        <f>'Project Stocktaking Template'!I399</f>
        <v>Township</v>
      </c>
      <c r="E398" s="48" t="str">
        <f>'Project Stocktaking Template'!O399</f>
        <v>1st aug 2023</v>
      </c>
      <c r="F398" s="48" t="str">
        <f>'Project Stocktaking Template'!P399</f>
        <v>30th june 2024</v>
      </c>
      <c r="G398" s="48" t="str">
        <f>'Project Stocktaking Template'!Q399</f>
        <v>30th june 2024</v>
      </c>
      <c r="H398" s="49">
        <f>'Project Stocktaking Template'!R399</f>
        <v>200000</v>
      </c>
      <c r="I398" s="50" t="str">
        <f>'Project Stocktaking Template'!AD399</f>
        <v>Completed</v>
      </c>
      <c r="J398" s="45"/>
      <c r="K398" s="45"/>
      <c r="L398" s="45"/>
      <c r="M398" s="45"/>
      <c r="N398" s="45"/>
      <c r="O398" s="45"/>
      <c r="P398" s="45"/>
      <c r="Q398" s="45"/>
      <c r="R398" s="45"/>
      <c r="S398" s="45"/>
      <c r="T398" s="45"/>
      <c r="U398" s="45"/>
      <c r="V398" s="45"/>
      <c r="W398" s="45"/>
      <c r="X398" s="45"/>
      <c r="Y398" s="45"/>
      <c r="Z398" s="45"/>
    </row>
    <row r="399">
      <c r="A399" s="51">
        <v>398.0</v>
      </c>
      <c r="B399" s="47" t="str">
        <f>'Project Stocktaking Template'!B400</f>
        <v>CHAINLINK AT AFWEIN DISPENSARY</v>
      </c>
      <c r="C399" s="47" t="str">
        <f>'Project Stocktaking Template'!H400</f>
        <v>Lagdera</v>
      </c>
      <c r="D399" s="47" t="str">
        <f>'Project Stocktaking Template'!I400</f>
        <v>Modogashe</v>
      </c>
      <c r="E399" s="48" t="str">
        <f>'Project Stocktaking Template'!O400</f>
        <v>1st aug 2023</v>
      </c>
      <c r="F399" s="48" t="str">
        <f>'Project Stocktaking Template'!P400</f>
        <v>30th june 2024</v>
      </c>
      <c r="G399" s="48" t="str">
        <f>'Project Stocktaking Template'!Q400</f>
        <v>30th june 2024</v>
      </c>
      <c r="H399" s="49">
        <f>'Project Stocktaking Template'!R400</f>
        <v>200000</v>
      </c>
      <c r="I399" s="50" t="str">
        <f>'Project Stocktaking Template'!AD400</f>
        <v>Completed</v>
      </c>
      <c r="J399" s="45"/>
      <c r="K399" s="45"/>
      <c r="L399" s="45"/>
      <c r="M399" s="45"/>
      <c r="N399" s="45"/>
      <c r="O399" s="45"/>
      <c r="P399" s="45"/>
      <c r="Q399" s="45"/>
      <c r="R399" s="45"/>
      <c r="S399" s="45"/>
      <c r="T399" s="45"/>
      <c r="U399" s="45"/>
      <c r="V399" s="45"/>
      <c r="W399" s="45"/>
      <c r="X399" s="45"/>
      <c r="Y399" s="45"/>
      <c r="Z399" s="45"/>
    </row>
    <row r="400">
      <c r="A400" s="46">
        <v>399.0</v>
      </c>
      <c r="B400" s="47" t="str">
        <f>'Project Stocktaking Template'!B401</f>
        <v>CONSTRUCTION OF WARD ADMIN</v>
      </c>
      <c r="C400" s="47" t="str">
        <f>'Project Stocktaking Template'!H401</f>
        <v>GarissaTownship</v>
      </c>
      <c r="D400" s="47" t="str">
        <f>'Project Stocktaking Template'!I401</f>
        <v>Township</v>
      </c>
      <c r="E400" s="48" t="str">
        <f>'Project Stocktaking Template'!O401</f>
        <v>1st aug 2023</v>
      </c>
      <c r="F400" s="48" t="str">
        <f>'Project Stocktaking Template'!P401</f>
        <v>30th june 2024</v>
      </c>
      <c r="G400" s="48" t="str">
        <f>'Project Stocktaking Template'!Q401</f>
        <v>30th june 2024</v>
      </c>
      <c r="H400" s="49">
        <f>'Project Stocktaking Template'!R401</f>
        <v>200000</v>
      </c>
      <c r="I400" s="50" t="str">
        <f>'Project Stocktaking Template'!AD401</f>
        <v>Completed</v>
      </c>
      <c r="J400" s="45"/>
      <c r="K400" s="45"/>
      <c r="L400" s="45"/>
      <c r="M400" s="45"/>
      <c r="N400" s="45"/>
      <c r="O400" s="45"/>
      <c r="P400" s="45"/>
      <c r="Q400" s="45"/>
      <c r="R400" s="45"/>
      <c r="S400" s="45"/>
      <c r="T400" s="45"/>
      <c r="U400" s="45"/>
      <c r="V400" s="45"/>
      <c r="W400" s="45"/>
      <c r="X400" s="45"/>
      <c r="Y400" s="45"/>
      <c r="Z400" s="45"/>
    </row>
    <row r="401">
      <c r="A401" s="51">
        <v>400.0</v>
      </c>
      <c r="B401" s="47" t="str">
        <f>'Project Stocktaking Template'!B402</f>
        <v>BACKFILLING AND DEMOLITION OF OF EATH PITS AT MADAHGISI</v>
      </c>
      <c r="C401" s="47" t="str">
        <f>'Project Stocktaking Template'!H402</f>
        <v>Dadaab</v>
      </c>
      <c r="D401" s="47" t="str">
        <f>'Project Stocktaking Template'!I402</f>
        <v>Damajale</v>
      </c>
      <c r="E401" s="48" t="str">
        <f>'Project Stocktaking Template'!O402</f>
        <v>1st aug 2023</v>
      </c>
      <c r="F401" s="48" t="str">
        <f>'Project Stocktaking Template'!P402</f>
        <v>30th june 2024</v>
      </c>
      <c r="G401" s="48" t="str">
        <f>'Project Stocktaking Template'!Q402</f>
        <v>30th june 2024</v>
      </c>
      <c r="H401" s="49">
        <f>'Project Stocktaking Template'!R402</f>
        <v>200000</v>
      </c>
      <c r="I401" s="50" t="str">
        <f>'Project Stocktaking Template'!AD402</f>
        <v>Completed</v>
      </c>
      <c r="J401" s="45"/>
      <c r="K401" s="45"/>
      <c r="L401" s="45"/>
      <c r="M401" s="45"/>
      <c r="N401" s="45"/>
      <c r="O401" s="45"/>
      <c r="P401" s="45"/>
      <c r="Q401" s="45"/>
      <c r="R401" s="45"/>
      <c r="S401" s="45"/>
      <c r="T401" s="45"/>
      <c r="U401" s="45"/>
      <c r="V401" s="45"/>
      <c r="W401" s="45"/>
      <c r="X401" s="45"/>
      <c r="Y401" s="45"/>
      <c r="Z401" s="45"/>
    </row>
    <row r="402">
      <c r="A402" s="46">
        <v>401.0</v>
      </c>
      <c r="B402" s="47" t="str">
        <f>'Project Stocktaking Template'!B403</f>
        <v>FENCING OF WILDLIFE WATER PAN AT HARHAR CENTRE</v>
      </c>
      <c r="C402" s="47" t="str">
        <f>'Project Stocktaking Template'!H403</f>
        <v>Dadaab</v>
      </c>
      <c r="D402" s="47" t="str">
        <f>'Project Stocktaking Template'!I403</f>
        <v>Dadaab</v>
      </c>
      <c r="E402" s="48" t="str">
        <f>'Project Stocktaking Template'!O403</f>
        <v>1st aug 2023</v>
      </c>
      <c r="F402" s="48" t="str">
        <f>'Project Stocktaking Template'!P403</f>
        <v>30th june 2024</v>
      </c>
      <c r="G402" s="48" t="str">
        <f>'Project Stocktaking Template'!Q403</f>
        <v>30th june 2024</v>
      </c>
      <c r="H402" s="49">
        <f>'Project Stocktaking Template'!R403</f>
        <v>500000</v>
      </c>
      <c r="I402" s="50" t="str">
        <f>'Project Stocktaking Template'!AD403</f>
        <v>Completed</v>
      </c>
      <c r="J402" s="45"/>
      <c r="K402" s="45"/>
      <c r="L402" s="45"/>
      <c r="M402" s="45"/>
      <c r="N402" s="45"/>
      <c r="O402" s="45"/>
      <c r="P402" s="45"/>
      <c r="Q402" s="45"/>
      <c r="R402" s="45"/>
      <c r="S402" s="45"/>
      <c r="T402" s="45"/>
      <c r="U402" s="45"/>
      <c r="V402" s="45"/>
      <c r="W402" s="45"/>
      <c r="X402" s="45"/>
      <c r="Y402" s="45"/>
      <c r="Z402" s="45"/>
    </row>
    <row r="403">
      <c r="A403" s="51">
        <v>402.0</v>
      </c>
      <c r="B403" s="47" t="str">
        <f>'Project Stocktaking Template'!B404</f>
        <v>CONSTRUCTION OF WARD ADMIN AT NANIGI WARD</v>
      </c>
      <c r="C403" s="47" t="str">
        <f>'Project Stocktaking Template'!H404</f>
        <v>Fafi</v>
      </c>
      <c r="D403" s="47" t="str">
        <f>'Project Stocktaking Template'!I404</f>
        <v>Fafi</v>
      </c>
      <c r="E403" s="48" t="str">
        <f>'Project Stocktaking Template'!O404</f>
        <v>1st aug 2023</v>
      </c>
      <c r="F403" s="48" t="str">
        <f>'Project Stocktaking Template'!P404</f>
        <v>30th june 2024</v>
      </c>
      <c r="G403" s="48" t="str">
        <f>'Project Stocktaking Template'!Q404</f>
        <v>30th june 2024</v>
      </c>
      <c r="H403" s="49">
        <f>'Project Stocktaking Template'!R404</f>
        <v>646570</v>
      </c>
      <c r="I403" s="50" t="str">
        <f>'Project Stocktaking Template'!AD404</f>
        <v>Completed</v>
      </c>
      <c r="J403" s="45"/>
      <c r="K403" s="45"/>
      <c r="L403" s="45"/>
      <c r="M403" s="45"/>
      <c r="N403" s="45"/>
      <c r="O403" s="45"/>
      <c r="P403" s="45"/>
      <c r="Q403" s="45"/>
      <c r="R403" s="45"/>
      <c r="S403" s="45"/>
      <c r="T403" s="45"/>
      <c r="U403" s="45"/>
      <c r="V403" s="45"/>
      <c r="W403" s="45"/>
      <c r="X403" s="45"/>
      <c r="Y403" s="45"/>
      <c r="Z403" s="45"/>
    </row>
    <row r="404">
      <c r="A404" s="46">
        <v>403.0</v>
      </c>
      <c r="B404" s="47" t="str">
        <f>'Project Stocktaking Template'!B405</f>
        <v>CONSTRUCTION OF WARD ADMIN AT SANKURI WARD</v>
      </c>
      <c r="C404" s="47" t="str">
        <f>'Project Stocktaking Template'!H405</f>
        <v>Balambala</v>
      </c>
      <c r="D404" s="47" t="str">
        <f>'Project Stocktaking Template'!I405</f>
        <v>Sankuri</v>
      </c>
      <c r="E404" s="48" t="str">
        <f>'Project Stocktaking Template'!O405</f>
        <v>1st aug 2023</v>
      </c>
      <c r="F404" s="48" t="str">
        <f>'Project Stocktaking Template'!P405</f>
        <v>30th june 2024</v>
      </c>
      <c r="G404" s="48" t="str">
        <f>'Project Stocktaking Template'!Q405</f>
        <v>30th june 2024</v>
      </c>
      <c r="H404" s="49">
        <f>'Project Stocktaking Template'!R405</f>
        <v>950000</v>
      </c>
      <c r="I404" s="50" t="str">
        <f>'Project Stocktaking Template'!AD405</f>
        <v>Completed</v>
      </c>
      <c r="J404" s="45"/>
      <c r="K404" s="45"/>
      <c r="L404" s="45"/>
      <c r="M404" s="45"/>
      <c r="N404" s="45"/>
      <c r="O404" s="45"/>
      <c r="P404" s="45"/>
      <c r="Q404" s="45"/>
      <c r="R404" s="45"/>
      <c r="S404" s="45"/>
      <c r="T404" s="45"/>
      <c r="U404" s="45"/>
      <c r="V404" s="45"/>
      <c r="W404" s="45"/>
      <c r="X404" s="45"/>
      <c r="Y404" s="45"/>
      <c r="Z404" s="45"/>
    </row>
    <row r="405">
      <c r="A405" s="51">
        <v>404.0</v>
      </c>
      <c r="B405" s="47" t="str">
        <f>'Project Stocktaking Template'!B406</f>
        <v>RENOVATION OF DADAAB SUB COUNTY HOSPITAL</v>
      </c>
      <c r="C405" s="47" t="str">
        <f>'Project Stocktaking Template'!H406</f>
        <v>Dadaab</v>
      </c>
      <c r="D405" s="47" t="str">
        <f>'Project Stocktaking Template'!I406</f>
        <v>Dadaab</v>
      </c>
      <c r="E405" s="48" t="str">
        <f>'Project Stocktaking Template'!O406</f>
        <v>1st aug 2023</v>
      </c>
      <c r="F405" s="48" t="str">
        <f>'Project Stocktaking Template'!P406</f>
        <v>30th june 2024</v>
      </c>
      <c r="G405" s="48" t="str">
        <f>'Project Stocktaking Template'!Q406</f>
        <v>30th june 2024</v>
      </c>
      <c r="H405" s="49">
        <f>'Project Stocktaking Template'!R406</f>
        <v>1000000</v>
      </c>
      <c r="I405" s="50" t="str">
        <f>'Project Stocktaking Template'!AD406</f>
        <v>Completed</v>
      </c>
      <c r="J405" s="45"/>
      <c r="K405" s="45"/>
      <c r="L405" s="45"/>
      <c r="M405" s="45"/>
      <c r="N405" s="45"/>
      <c r="O405" s="45"/>
      <c r="P405" s="45"/>
      <c r="Q405" s="45"/>
      <c r="R405" s="45"/>
      <c r="S405" s="45"/>
      <c r="T405" s="45"/>
      <c r="U405" s="45"/>
      <c r="V405" s="45"/>
      <c r="W405" s="45"/>
      <c r="X405" s="45"/>
      <c r="Y405" s="45"/>
      <c r="Z405" s="45"/>
    </row>
    <row r="406">
      <c r="A406" s="46">
        <v>405.0</v>
      </c>
      <c r="B406" s="47" t="str">
        <f>'Project Stocktaking Template'!B407</f>
        <v>RENOVATION OF ECD CLASSROOM AND WATER TANK AT YATHRIB PRIMARY</v>
      </c>
      <c r="C406" s="47" t="str">
        <f>'Project Stocktaking Template'!H407</f>
        <v>GarissaTownship</v>
      </c>
      <c r="D406" s="47" t="str">
        <f>'Project Stocktaking Template'!I407</f>
        <v>Township</v>
      </c>
      <c r="E406" s="48" t="str">
        <f>'Project Stocktaking Template'!O407</f>
        <v>1st aug 2023</v>
      </c>
      <c r="F406" s="48" t="str">
        <f>'Project Stocktaking Template'!P407</f>
        <v>30th june 2024</v>
      </c>
      <c r="G406" s="48" t="str">
        <f>'Project Stocktaking Template'!Q407</f>
        <v>30th june 2024</v>
      </c>
      <c r="H406" s="49">
        <f>'Project Stocktaking Template'!R407</f>
        <v>1100000</v>
      </c>
      <c r="I406" s="50" t="str">
        <f>'Project Stocktaking Template'!AD407</f>
        <v>Completed</v>
      </c>
      <c r="J406" s="45"/>
      <c r="K406" s="45"/>
      <c r="L406" s="45"/>
      <c r="M406" s="45"/>
      <c r="N406" s="45"/>
      <c r="O406" s="45"/>
      <c r="P406" s="45"/>
      <c r="Q406" s="45"/>
      <c r="R406" s="45"/>
      <c r="S406" s="45"/>
      <c r="T406" s="45"/>
      <c r="U406" s="45"/>
      <c r="V406" s="45"/>
      <c r="W406" s="45"/>
      <c r="X406" s="45"/>
      <c r="Y406" s="45"/>
      <c r="Z406" s="45"/>
    </row>
    <row r="407">
      <c r="A407" s="51">
        <v>406.0</v>
      </c>
      <c r="B407" s="47" t="str">
        <f>'Project Stocktaking Template'!B408</f>
        <v>CONSTRUCTION OF WARD ADMIN</v>
      </c>
      <c r="C407" s="47" t="str">
        <f>'Project Stocktaking Template'!H408</f>
        <v>GarissaTownship</v>
      </c>
      <c r="D407" s="47" t="str">
        <f>'Project Stocktaking Template'!I408</f>
        <v>Township</v>
      </c>
      <c r="E407" s="48" t="str">
        <f>'Project Stocktaking Template'!O408</f>
        <v>1st aug 2023</v>
      </c>
      <c r="F407" s="48" t="str">
        <f>'Project Stocktaking Template'!P408</f>
        <v>30th june 2024</v>
      </c>
      <c r="G407" s="48" t="str">
        <f>'Project Stocktaking Template'!Q408</f>
        <v>30th june 2024</v>
      </c>
      <c r="H407" s="49">
        <f>'Project Stocktaking Template'!R408</f>
        <v>1230816</v>
      </c>
      <c r="I407" s="50" t="str">
        <f>'Project Stocktaking Template'!AD408</f>
        <v>Completed</v>
      </c>
      <c r="J407" s="45"/>
      <c r="K407" s="45"/>
      <c r="L407" s="45"/>
      <c r="M407" s="45"/>
      <c r="N407" s="45"/>
      <c r="O407" s="45"/>
      <c r="P407" s="45"/>
      <c r="Q407" s="45"/>
      <c r="R407" s="45"/>
      <c r="S407" s="45"/>
      <c r="T407" s="45"/>
      <c r="U407" s="45"/>
      <c r="V407" s="45"/>
      <c r="W407" s="45"/>
      <c r="X407" s="45"/>
      <c r="Y407" s="45"/>
      <c r="Z407" s="45"/>
    </row>
    <row r="408">
      <c r="A408" s="46">
        <v>407.0</v>
      </c>
      <c r="B408" s="47" t="str">
        <f>'Project Stocktaking Template'!B409</f>
        <v>CONSTRUCTION OF WARD ADMIN AT SANKURI WARD</v>
      </c>
      <c r="C408" s="47" t="str">
        <f>'Project Stocktaking Template'!H409</f>
        <v>Balambala</v>
      </c>
      <c r="D408" s="47" t="str">
        <f>'Project Stocktaking Template'!I409</f>
        <v>Sankuri</v>
      </c>
      <c r="E408" s="48" t="str">
        <f>'Project Stocktaking Template'!O409</f>
        <v>1st aug 2023</v>
      </c>
      <c r="F408" s="48" t="str">
        <f>'Project Stocktaking Template'!P409</f>
        <v>30th june 2024</v>
      </c>
      <c r="G408" s="48" t="str">
        <f>'Project Stocktaking Template'!Q409</f>
        <v>30th june 2024</v>
      </c>
      <c r="H408" s="49">
        <f>'Project Stocktaking Template'!R409</f>
        <v>1312012</v>
      </c>
      <c r="I408" s="50" t="str">
        <f>'Project Stocktaking Template'!AD409</f>
        <v>Completed</v>
      </c>
      <c r="J408" s="45"/>
      <c r="K408" s="45"/>
      <c r="L408" s="45"/>
      <c r="M408" s="45"/>
      <c r="N408" s="45"/>
      <c r="O408" s="45"/>
      <c r="P408" s="45"/>
      <c r="Q408" s="45"/>
      <c r="R408" s="45"/>
      <c r="S408" s="45"/>
      <c r="T408" s="45"/>
      <c r="U408" s="45"/>
      <c r="V408" s="45"/>
      <c r="W408" s="45"/>
      <c r="X408" s="45"/>
      <c r="Y408" s="45"/>
      <c r="Z408" s="45"/>
    </row>
    <row r="409">
      <c r="A409" s="51">
        <v>408.0</v>
      </c>
      <c r="B409" s="47" t="str">
        <f>'Project Stocktaking Template'!B410</f>
        <v>CONSTRUCTION OF ECD CLASSROOMS AT BULLA MAZURI </v>
      </c>
      <c r="C409" s="47" t="str">
        <f>'Project Stocktaking Template'!H410</f>
        <v>GarissaTownship</v>
      </c>
      <c r="D409" s="47" t="str">
        <f>'Project Stocktaking Template'!I410</f>
        <v>Township</v>
      </c>
      <c r="E409" s="48" t="str">
        <f>'Project Stocktaking Template'!O410</f>
        <v>1st aug 2023</v>
      </c>
      <c r="F409" s="48" t="str">
        <f>'Project Stocktaking Template'!P410</f>
        <v>30th june 2024</v>
      </c>
      <c r="G409" s="48" t="str">
        <f>'Project Stocktaking Template'!Q410</f>
        <v>30th june 2024</v>
      </c>
      <c r="H409" s="49">
        <f>'Project Stocktaking Template'!R410</f>
        <v>1565979</v>
      </c>
      <c r="I409" s="50" t="str">
        <f>'Project Stocktaking Template'!AD410</f>
        <v>Completed</v>
      </c>
      <c r="J409" s="45"/>
      <c r="K409" s="45"/>
      <c r="L409" s="45"/>
      <c r="M409" s="45"/>
      <c r="N409" s="45"/>
      <c r="O409" s="45"/>
      <c r="P409" s="45"/>
      <c r="Q409" s="45"/>
      <c r="R409" s="45"/>
      <c r="S409" s="45"/>
      <c r="T409" s="45"/>
      <c r="U409" s="45"/>
      <c r="V409" s="45"/>
      <c r="W409" s="45"/>
      <c r="X409" s="45"/>
      <c r="Y409" s="45"/>
      <c r="Z409" s="45"/>
    </row>
    <row r="410">
      <c r="A410" s="46">
        <v>409.0</v>
      </c>
      <c r="B410" s="47" t="str">
        <f>'Project Stocktaking Template'!B411</f>
        <v>CONSTRUCTION OF WARD ADMIN AT BARAKI</v>
      </c>
      <c r="C410" s="47" t="str">
        <f>'Project Stocktaking Template'!H411</f>
        <v>Lagdera</v>
      </c>
      <c r="D410" s="47" t="str">
        <f>'Project Stocktaking Template'!I411</f>
        <v>Baraki</v>
      </c>
      <c r="E410" s="48" t="str">
        <f>'Project Stocktaking Template'!O411</f>
        <v>1st aug 2023</v>
      </c>
      <c r="F410" s="48" t="str">
        <f>'Project Stocktaking Template'!P411</f>
        <v>30th june 2024</v>
      </c>
      <c r="G410" s="48" t="str">
        <f>'Project Stocktaking Template'!Q411</f>
        <v>30th june 2024</v>
      </c>
      <c r="H410" s="49">
        <f>'Project Stocktaking Template'!R411</f>
        <v>1714682</v>
      </c>
      <c r="I410" s="50" t="str">
        <f>'Project Stocktaking Template'!AD411</f>
        <v>Completed</v>
      </c>
      <c r="J410" s="45"/>
      <c r="K410" s="45"/>
      <c r="L410" s="45"/>
      <c r="M410" s="45"/>
      <c r="N410" s="45"/>
      <c r="O410" s="45"/>
      <c r="P410" s="45"/>
      <c r="Q410" s="45"/>
      <c r="R410" s="45"/>
      <c r="S410" s="45"/>
      <c r="T410" s="45"/>
      <c r="U410" s="45"/>
      <c r="V410" s="45"/>
      <c r="W410" s="45"/>
      <c r="X410" s="45"/>
      <c r="Y410" s="45"/>
      <c r="Z410" s="45"/>
    </row>
    <row r="411">
      <c r="A411" s="51">
        <v>410.0</v>
      </c>
      <c r="B411" s="47" t="str">
        <f>'Project Stocktaking Template'!B412</f>
        <v>Construction OF WARD ADMIN</v>
      </c>
      <c r="C411" s="47" t="str">
        <f>'Project Stocktaking Template'!H412</f>
        <v>GarissaTownship</v>
      </c>
      <c r="D411" s="47" t="str">
        <f>'Project Stocktaking Template'!I412</f>
        <v>Township</v>
      </c>
      <c r="E411" s="48" t="str">
        <f>'Project Stocktaking Template'!O412</f>
        <v>1st aug 2023</v>
      </c>
      <c r="F411" s="48" t="str">
        <f>'Project Stocktaking Template'!P412</f>
        <v>30th june 2024</v>
      </c>
      <c r="G411" s="48" t="str">
        <f>'Project Stocktaking Template'!Q412</f>
        <v>30th june 2024</v>
      </c>
      <c r="H411" s="49">
        <f>'Project Stocktaking Template'!R412</f>
        <v>1746575</v>
      </c>
      <c r="I411" s="50" t="str">
        <f>'Project Stocktaking Template'!AD412</f>
        <v>Completed</v>
      </c>
      <c r="J411" s="45"/>
      <c r="K411" s="45"/>
      <c r="L411" s="45"/>
      <c r="M411" s="45"/>
      <c r="N411" s="45"/>
      <c r="O411" s="45"/>
      <c r="P411" s="45"/>
      <c r="Q411" s="45"/>
      <c r="R411" s="45"/>
      <c r="S411" s="45"/>
      <c r="T411" s="45"/>
      <c r="U411" s="45"/>
      <c r="V411" s="45"/>
      <c r="W411" s="45"/>
      <c r="X411" s="45"/>
      <c r="Y411" s="45"/>
      <c r="Z411" s="45"/>
    </row>
    <row r="412">
      <c r="A412" s="46">
        <v>411.0</v>
      </c>
      <c r="B412" s="47" t="str">
        <f>'Project Stocktaking Template'!B413</f>
        <v>CONSTRUCTION OF WARD ADMIN AT BURA</v>
      </c>
      <c r="C412" s="47" t="str">
        <f>'Project Stocktaking Template'!H413</f>
        <v>Fafi</v>
      </c>
      <c r="D412" s="47" t="str">
        <f>'Project Stocktaking Template'!I413</f>
        <v>Bura</v>
      </c>
      <c r="E412" s="48" t="str">
        <f>'Project Stocktaking Template'!O413</f>
        <v>1st aug 2023</v>
      </c>
      <c r="F412" s="48" t="str">
        <f>'Project Stocktaking Template'!P413</f>
        <v>30th june 2024</v>
      </c>
      <c r="G412" s="48" t="str">
        <f>'Project Stocktaking Template'!Q413</f>
        <v>30th june 2024</v>
      </c>
      <c r="H412" s="49">
        <f>'Project Stocktaking Template'!R413</f>
        <v>3246387</v>
      </c>
      <c r="I412" s="50" t="str">
        <f>'Project Stocktaking Template'!AD413</f>
        <v>Completed</v>
      </c>
      <c r="J412" s="45"/>
      <c r="K412" s="45"/>
      <c r="L412" s="45"/>
      <c r="M412" s="45"/>
      <c r="N412" s="45"/>
      <c r="O412" s="45"/>
      <c r="P412" s="45"/>
      <c r="Q412" s="45"/>
      <c r="R412" s="45"/>
      <c r="S412" s="45"/>
      <c r="T412" s="45"/>
      <c r="U412" s="45"/>
      <c r="V412" s="45"/>
      <c r="W412" s="45"/>
      <c r="X412" s="45"/>
      <c r="Y412" s="45"/>
      <c r="Z412" s="45"/>
    </row>
    <row r="413">
      <c r="A413" s="51">
        <v>412.0</v>
      </c>
      <c r="B413" s="47" t="str">
        <f>'Project Stocktaking Template'!B414</f>
        <v>CONSTRUCTION OF WARD ADMIN AT SAKA WARD</v>
      </c>
      <c r="C413" s="47" t="str">
        <f>'Project Stocktaking Template'!H414</f>
        <v>Balambala</v>
      </c>
      <c r="D413" s="47" t="str">
        <f>'Project Stocktaking Template'!I414</f>
        <v>Saka</v>
      </c>
      <c r="E413" s="48" t="str">
        <f>'Project Stocktaking Template'!O414</f>
        <v>1st aug 2023</v>
      </c>
      <c r="F413" s="48" t="str">
        <f>'Project Stocktaking Template'!P414</f>
        <v>30th june 2024</v>
      </c>
      <c r="G413" s="48" t="str">
        <f>'Project Stocktaking Template'!Q414</f>
        <v>30th june 2024</v>
      </c>
      <c r="H413" s="49">
        <f>'Project Stocktaking Template'!R414</f>
        <v>3308385</v>
      </c>
      <c r="I413" s="50" t="str">
        <f>'Project Stocktaking Template'!AD414</f>
        <v>Completed</v>
      </c>
      <c r="J413" s="45"/>
      <c r="K413" s="45"/>
      <c r="L413" s="45"/>
      <c r="M413" s="45"/>
      <c r="N413" s="45"/>
      <c r="O413" s="45"/>
      <c r="P413" s="45"/>
      <c r="Q413" s="45"/>
      <c r="R413" s="45"/>
      <c r="S413" s="45"/>
      <c r="T413" s="45"/>
      <c r="U413" s="45"/>
      <c r="V413" s="45"/>
      <c r="W413" s="45"/>
      <c r="X413" s="45"/>
      <c r="Y413" s="45"/>
      <c r="Z413" s="45"/>
    </row>
    <row r="414">
      <c r="A414" s="46">
        <v>413.0</v>
      </c>
      <c r="B414" s="47" t="str">
        <f>'Project Stocktaking Template'!B415</f>
        <v>CONSTRUCTION OF UNDERGROUND TANK AT PGH</v>
      </c>
      <c r="C414" s="47" t="str">
        <f>'Project Stocktaking Template'!H415</f>
        <v>GarissaTownship</v>
      </c>
      <c r="D414" s="47" t="str">
        <f>'Project Stocktaking Template'!I415</f>
        <v>Township</v>
      </c>
      <c r="E414" s="48" t="str">
        <f>'Project Stocktaking Template'!O415</f>
        <v>1st aug 2023</v>
      </c>
      <c r="F414" s="48" t="str">
        <f>'Project Stocktaking Template'!P415</f>
        <v>30th june 2024</v>
      </c>
      <c r="G414" s="48" t="str">
        <f>'Project Stocktaking Template'!Q415</f>
        <v>30th june 2024</v>
      </c>
      <c r="H414" s="49">
        <f>'Project Stocktaking Template'!R415</f>
        <v>3129344</v>
      </c>
      <c r="I414" s="50" t="str">
        <f>'Project Stocktaking Template'!AD415</f>
        <v>Completed</v>
      </c>
      <c r="J414" s="45"/>
      <c r="K414" s="45"/>
      <c r="L414" s="45"/>
      <c r="M414" s="45"/>
      <c r="N414" s="45"/>
      <c r="O414" s="45"/>
      <c r="P414" s="45"/>
      <c r="Q414" s="45"/>
      <c r="R414" s="45"/>
      <c r="S414" s="45"/>
      <c r="T414" s="45"/>
      <c r="U414" s="45"/>
      <c r="V414" s="45"/>
      <c r="W414" s="45"/>
      <c r="X414" s="45"/>
      <c r="Y414" s="45"/>
      <c r="Z414" s="45"/>
    </row>
    <row r="415">
      <c r="A415" s="51">
        <v>414.0</v>
      </c>
      <c r="B415" s="47" t="str">
        <f>'Project Stocktaking Template'!B416</f>
        <v>CONSTRUCTION OF KONE MODOGASHE BOREHOLE</v>
      </c>
      <c r="C415" s="47" t="str">
        <f>'Project Stocktaking Template'!H416</f>
        <v>Lagdera</v>
      </c>
      <c r="D415" s="47" t="str">
        <f>'Project Stocktaking Template'!I416</f>
        <v>Modogashe</v>
      </c>
      <c r="E415" s="48" t="str">
        <f>'Project Stocktaking Template'!O416</f>
        <v>1st aug 2023</v>
      </c>
      <c r="F415" s="48" t="str">
        <f>'Project Stocktaking Template'!P416</f>
        <v>30th june 2024</v>
      </c>
      <c r="G415" s="48" t="str">
        <f>'Project Stocktaking Template'!Q416</f>
        <v>30th june 2024</v>
      </c>
      <c r="H415" s="49">
        <f>'Project Stocktaking Template'!R416</f>
        <v>4235695</v>
      </c>
      <c r="I415" s="50" t="str">
        <f>'Project Stocktaking Template'!AD416</f>
        <v>Completed</v>
      </c>
      <c r="J415" s="45"/>
      <c r="K415" s="45"/>
      <c r="L415" s="45"/>
      <c r="M415" s="45"/>
      <c r="N415" s="45"/>
      <c r="O415" s="45"/>
      <c r="P415" s="45"/>
      <c r="Q415" s="45"/>
      <c r="R415" s="45"/>
      <c r="S415" s="45"/>
      <c r="T415" s="45"/>
      <c r="U415" s="45"/>
      <c r="V415" s="45"/>
      <c r="W415" s="45"/>
      <c r="X415" s="45"/>
      <c r="Y415" s="45"/>
      <c r="Z415" s="45"/>
    </row>
    <row r="416">
      <c r="A416" s="46">
        <v>415.0</v>
      </c>
      <c r="B416" s="47" t="str">
        <f>'Project Stocktaking Template'!B417</f>
        <v>DRILLING AND EQUIPING OF GARBA GADUD</v>
      </c>
      <c r="C416" s="47" t="str">
        <f>'Project Stocktaking Template'!H417</f>
        <v>GarissaTownship</v>
      </c>
      <c r="D416" s="47" t="str">
        <f>'Project Stocktaking Template'!I417</f>
        <v>Township</v>
      </c>
      <c r="E416" s="48" t="str">
        <f>'Project Stocktaking Template'!O417</f>
        <v>1st aug 2023</v>
      </c>
      <c r="F416" s="48" t="str">
        <f>'Project Stocktaking Template'!P417</f>
        <v>30th june 2024</v>
      </c>
      <c r="G416" s="48" t="str">
        <f>'Project Stocktaking Template'!Q417</f>
        <v>30th june 2024</v>
      </c>
      <c r="H416" s="49">
        <f>'Project Stocktaking Template'!R417</f>
        <v>4047000</v>
      </c>
      <c r="I416" s="50" t="str">
        <f>'Project Stocktaking Template'!AD417</f>
        <v>Completed</v>
      </c>
      <c r="J416" s="45"/>
      <c r="K416" s="45"/>
      <c r="L416" s="45"/>
      <c r="M416" s="45"/>
      <c r="N416" s="45"/>
      <c r="O416" s="45"/>
      <c r="P416" s="45"/>
      <c r="Q416" s="45"/>
      <c r="R416" s="45"/>
      <c r="S416" s="45"/>
      <c r="T416" s="45"/>
      <c r="U416" s="45"/>
      <c r="V416" s="45"/>
      <c r="W416" s="45"/>
      <c r="X416" s="45"/>
      <c r="Y416" s="45"/>
      <c r="Z416" s="45"/>
    </row>
    <row r="417">
      <c r="A417" s="51">
        <v>416.0</v>
      </c>
      <c r="B417" s="47" t="str">
        <f>'Project Stocktaking Template'!B418</f>
        <v>CONSTRUCTION OF CHAINLINK FENCE</v>
      </c>
      <c r="C417" s="47" t="str">
        <f>'Project Stocktaking Template'!H418</f>
        <v>GarissaTownship</v>
      </c>
      <c r="D417" s="47" t="str">
        <f>'Project Stocktaking Template'!I418</f>
        <v>Township</v>
      </c>
      <c r="E417" s="48" t="str">
        <f>'Project Stocktaking Template'!O418</f>
        <v>1st aug 2023</v>
      </c>
      <c r="F417" s="48" t="str">
        <f>'Project Stocktaking Template'!P418</f>
        <v>30th june 2024</v>
      </c>
      <c r="G417" s="48" t="str">
        <f>'Project Stocktaking Template'!Q418</f>
        <v>30th june 2024</v>
      </c>
      <c r="H417" s="49">
        <f>'Project Stocktaking Template'!R418</f>
        <v>367689</v>
      </c>
      <c r="I417" s="50" t="str">
        <f>'Project Stocktaking Template'!AD418</f>
        <v>Completed</v>
      </c>
      <c r="J417" s="45"/>
      <c r="K417" s="45"/>
      <c r="L417" s="45"/>
      <c r="M417" s="45"/>
      <c r="N417" s="45"/>
      <c r="O417" s="45"/>
      <c r="P417" s="45"/>
      <c r="Q417" s="45"/>
      <c r="R417" s="45"/>
      <c r="S417" s="45"/>
      <c r="T417" s="45"/>
      <c r="U417" s="45"/>
      <c r="V417" s="45"/>
      <c r="W417" s="45"/>
      <c r="X417" s="45"/>
      <c r="Y417" s="45"/>
      <c r="Z417" s="45"/>
    </row>
    <row r="418">
      <c r="A418" s="46">
        <v>417.0</v>
      </c>
      <c r="B418" s="47" t="str">
        <f>'Project Stocktaking Template'!B419</f>
        <v>CONSTRUCTION OF NEW WATER PAN</v>
      </c>
      <c r="C418" s="47" t="str">
        <f>'Project Stocktaking Template'!H419</f>
        <v>GarissaTownship</v>
      </c>
      <c r="D418" s="47" t="str">
        <f>'Project Stocktaking Template'!I419</f>
        <v>Township</v>
      </c>
      <c r="E418" s="48" t="str">
        <f>'Project Stocktaking Template'!O419</f>
        <v>1st aug 2023</v>
      </c>
      <c r="F418" s="48" t="str">
        <f>'Project Stocktaking Template'!P419</f>
        <v>30th june 2024</v>
      </c>
      <c r="G418" s="48" t="str">
        <f>'Project Stocktaking Template'!Q419</f>
        <v>30th june 2024</v>
      </c>
      <c r="H418" s="49">
        <f>'Project Stocktaking Template'!R419</f>
        <v>456813.15</v>
      </c>
      <c r="I418" s="50" t="str">
        <f>'Project Stocktaking Template'!AD419</f>
        <v>Completed</v>
      </c>
      <c r="J418" s="45"/>
      <c r="K418" s="45"/>
      <c r="L418" s="45"/>
      <c r="M418" s="45"/>
      <c r="N418" s="45"/>
      <c r="O418" s="45"/>
      <c r="P418" s="45"/>
      <c r="Q418" s="45"/>
      <c r="R418" s="45"/>
      <c r="S418" s="45"/>
      <c r="T418" s="45"/>
      <c r="U418" s="45"/>
      <c r="V418" s="45"/>
      <c r="W418" s="45"/>
      <c r="X418" s="45"/>
      <c r="Y418" s="45"/>
      <c r="Z418" s="45"/>
    </row>
    <row r="419">
      <c r="A419" s="51">
        <v>418.0</v>
      </c>
      <c r="B419" s="47" t="str">
        <f>'Project Stocktaking Template'!B420</f>
        <v>REHABILITATION OF DUJIS WATER PAN</v>
      </c>
      <c r="C419" s="47" t="str">
        <f>'Project Stocktaking Template'!H420</f>
        <v>Balambala</v>
      </c>
      <c r="D419" s="47" t="str">
        <f>'Project Stocktaking Template'!I420</f>
        <v>Balambala</v>
      </c>
      <c r="E419" s="48" t="str">
        <f>'Project Stocktaking Template'!O420</f>
        <v>1st aug 2023</v>
      </c>
      <c r="F419" s="48" t="str">
        <f>'Project Stocktaking Template'!P420</f>
        <v>30th june 2024</v>
      </c>
      <c r="G419" s="48" t="str">
        <f>'Project Stocktaking Template'!Q420</f>
        <v>30th june 2024</v>
      </c>
      <c r="H419" s="49">
        <f>'Project Stocktaking Template'!R420</f>
        <v>300000</v>
      </c>
      <c r="I419" s="50" t="str">
        <f>'Project Stocktaking Template'!AD420</f>
        <v>Completed</v>
      </c>
      <c r="J419" s="45"/>
      <c r="K419" s="45"/>
      <c r="L419" s="45"/>
      <c r="M419" s="45"/>
      <c r="N419" s="45"/>
      <c r="O419" s="45"/>
      <c r="P419" s="45"/>
      <c r="Q419" s="45"/>
      <c r="R419" s="45"/>
      <c r="S419" s="45"/>
      <c r="T419" s="45"/>
      <c r="U419" s="45"/>
      <c r="V419" s="45"/>
      <c r="W419" s="45"/>
      <c r="X419" s="45"/>
      <c r="Y419" s="45"/>
      <c r="Z419" s="45"/>
    </row>
    <row r="420">
      <c r="A420" s="46">
        <v>419.0</v>
      </c>
      <c r="B420" s="47" t="str">
        <f>'Project Stocktaking Template'!B421</f>
        <v>CONSTRUCTION OF BULA MADINA ROAD</v>
      </c>
      <c r="C420" s="47" t="str">
        <f>'Project Stocktaking Template'!H421</f>
        <v>GarissaTownship</v>
      </c>
      <c r="D420" s="47" t="str">
        <f>'Project Stocktaking Template'!I421</f>
        <v>Township</v>
      </c>
      <c r="E420" s="48" t="str">
        <f>'Project Stocktaking Template'!O421</f>
        <v>1st aug 2023</v>
      </c>
      <c r="F420" s="48" t="str">
        <f>'Project Stocktaking Template'!P421</f>
        <v>30th june 2024</v>
      </c>
      <c r="G420" s="48" t="str">
        <f>'Project Stocktaking Template'!Q421</f>
        <v>30th june 2024</v>
      </c>
      <c r="H420" s="49">
        <f>'Project Stocktaking Template'!R421</f>
        <v>7030000</v>
      </c>
      <c r="I420" s="50" t="str">
        <f>'Project Stocktaking Template'!AD421</f>
        <v>Completed</v>
      </c>
      <c r="J420" s="45"/>
      <c r="K420" s="45"/>
      <c r="L420" s="45"/>
      <c r="M420" s="45"/>
      <c r="N420" s="45"/>
      <c r="O420" s="45"/>
      <c r="P420" s="45"/>
      <c r="Q420" s="45"/>
      <c r="R420" s="45"/>
      <c r="S420" s="45"/>
      <c r="T420" s="45"/>
      <c r="U420" s="45"/>
      <c r="V420" s="45"/>
      <c r="W420" s="45"/>
      <c r="X420" s="45"/>
      <c r="Y420" s="45"/>
      <c r="Z420" s="45"/>
    </row>
    <row r="421">
      <c r="A421" s="51">
        <v>420.0</v>
      </c>
      <c r="B421" s="47" t="str">
        <f>'Project Stocktaking Template'!B422</f>
        <v>EXTENSION OF BURA WATER SUPPLY</v>
      </c>
      <c r="C421" s="47" t="str">
        <f>'Project Stocktaking Template'!H422</f>
        <v>Fafi</v>
      </c>
      <c r="D421" s="47" t="str">
        <f>'Project Stocktaking Template'!I422</f>
        <v>Bura</v>
      </c>
      <c r="E421" s="48" t="str">
        <f>'Project Stocktaking Template'!O422</f>
        <v>1st aug 2023</v>
      </c>
      <c r="F421" s="48" t="str">
        <f>'Project Stocktaking Template'!P422</f>
        <v>30th june 2024</v>
      </c>
      <c r="G421" s="48" t="str">
        <f>'Project Stocktaking Template'!Q422</f>
        <v>30th june 2024</v>
      </c>
      <c r="H421" s="49">
        <f>'Project Stocktaking Template'!R422</f>
        <v>4262480.9</v>
      </c>
      <c r="I421" s="50" t="str">
        <f>'Project Stocktaking Template'!AD422</f>
        <v>Completed</v>
      </c>
      <c r="J421" s="45"/>
      <c r="K421" s="45"/>
      <c r="L421" s="45"/>
      <c r="M421" s="45"/>
      <c r="N421" s="45"/>
      <c r="O421" s="45"/>
      <c r="P421" s="45"/>
      <c r="Q421" s="45"/>
      <c r="R421" s="45"/>
      <c r="S421" s="45"/>
      <c r="T421" s="45"/>
      <c r="U421" s="45"/>
      <c r="V421" s="45"/>
      <c r="W421" s="45"/>
      <c r="X421" s="45"/>
      <c r="Y421" s="45"/>
      <c r="Z421" s="45"/>
    </row>
    <row r="422">
      <c r="A422" s="46">
        <v>421.0</v>
      </c>
      <c r="B422" s="47" t="str">
        <f>'Project Stocktaking Template'!B423</f>
        <v>DESILTING OF WAKABHAREY WATER PAN</v>
      </c>
      <c r="C422" s="47" t="str">
        <f>'Project Stocktaking Template'!H423</f>
        <v>GarissaTownship</v>
      </c>
      <c r="D422" s="47" t="str">
        <f>'Project Stocktaking Template'!I423</f>
        <v>Township</v>
      </c>
      <c r="E422" s="48" t="str">
        <f>'Project Stocktaking Template'!O423</f>
        <v>1st aug 2023</v>
      </c>
      <c r="F422" s="48" t="str">
        <f>'Project Stocktaking Template'!P423</f>
        <v>30th june 2024</v>
      </c>
      <c r="G422" s="48" t="str">
        <f>'Project Stocktaking Template'!Q423</f>
        <v>30th june 2024</v>
      </c>
      <c r="H422" s="49">
        <f>'Project Stocktaking Template'!R423</f>
        <v>800000</v>
      </c>
      <c r="I422" s="50" t="str">
        <f>'Project Stocktaking Template'!AD423</f>
        <v>Completed</v>
      </c>
      <c r="J422" s="45"/>
      <c r="K422" s="45"/>
      <c r="L422" s="45"/>
      <c r="M422" s="45"/>
      <c r="N422" s="45"/>
      <c r="O422" s="45"/>
      <c r="P422" s="45"/>
      <c r="Q422" s="45"/>
      <c r="R422" s="45"/>
      <c r="S422" s="45"/>
      <c r="T422" s="45"/>
      <c r="U422" s="45"/>
      <c r="V422" s="45"/>
      <c r="W422" s="45"/>
      <c r="X422" s="45"/>
      <c r="Y422" s="45"/>
      <c r="Z422" s="45"/>
    </row>
    <row r="423">
      <c r="A423" s="51">
        <v>422.0</v>
      </c>
      <c r="B423" s="47" t="str">
        <f>'Project Stocktaking Template'!B424</f>
        <v>CHAINLINK FENCE AT BANANE PRIMARY </v>
      </c>
      <c r="C423" s="47" t="str">
        <f>'Project Stocktaking Template'!H424</f>
        <v>Lagdera</v>
      </c>
      <c r="D423" s="47" t="str">
        <f>'Project Stocktaking Template'!I424</f>
        <v>Benane</v>
      </c>
      <c r="E423" s="48" t="str">
        <f>'Project Stocktaking Template'!O424</f>
        <v>1st aug 2023</v>
      </c>
      <c r="F423" s="48" t="str">
        <f>'Project Stocktaking Template'!P424</f>
        <v>30th june 2024</v>
      </c>
      <c r="G423" s="48" t="str">
        <f>'Project Stocktaking Template'!Q424</f>
        <v>30th june 2024</v>
      </c>
      <c r="H423" s="49">
        <f>'Project Stocktaking Template'!R424</f>
        <v>3306948</v>
      </c>
      <c r="I423" s="50" t="str">
        <f>'Project Stocktaking Template'!AD424</f>
        <v>Completed</v>
      </c>
      <c r="J423" s="45"/>
      <c r="K423" s="45"/>
      <c r="L423" s="45"/>
      <c r="M423" s="45"/>
      <c r="N423" s="45"/>
      <c r="O423" s="45"/>
      <c r="P423" s="45"/>
      <c r="Q423" s="45"/>
      <c r="R423" s="45"/>
      <c r="S423" s="45"/>
      <c r="T423" s="45"/>
      <c r="U423" s="45"/>
      <c r="V423" s="45"/>
      <c r="W423" s="45"/>
      <c r="X423" s="45"/>
      <c r="Y423" s="45"/>
      <c r="Z423" s="45"/>
    </row>
    <row r="424">
      <c r="A424" s="46">
        <v>423.0</v>
      </c>
      <c r="B424" s="47" t="str">
        <f>'Project Stocktaking Template'!B425</f>
        <v>EQUIPING OF BOREHOLE AT KONE1 CENTRE</v>
      </c>
      <c r="C424" s="47" t="str">
        <f>'Project Stocktaking Template'!H425</f>
        <v>GarissaTownship</v>
      </c>
      <c r="D424" s="47" t="str">
        <f>'Project Stocktaking Template'!I425</f>
        <v>Township</v>
      </c>
      <c r="E424" s="48" t="str">
        <f>'Project Stocktaking Template'!O425</f>
        <v>1st aug 2023</v>
      </c>
      <c r="F424" s="48" t="str">
        <f>'Project Stocktaking Template'!P425</f>
        <v>30th june 2024</v>
      </c>
      <c r="G424" s="48" t="str">
        <f>'Project Stocktaking Template'!Q425</f>
        <v>30th june 2024</v>
      </c>
      <c r="H424" s="49">
        <f>'Project Stocktaking Template'!R425</f>
        <v>3315432</v>
      </c>
      <c r="I424" s="50" t="str">
        <f>'Project Stocktaking Template'!AD425</f>
        <v>Completed</v>
      </c>
      <c r="J424" s="45"/>
      <c r="K424" s="45"/>
      <c r="L424" s="45"/>
      <c r="M424" s="45"/>
      <c r="N424" s="45"/>
      <c r="O424" s="45"/>
      <c r="P424" s="45"/>
      <c r="Q424" s="45"/>
      <c r="R424" s="45"/>
      <c r="S424" s="45"/>
      <c r="T424" s="45"/>
      <c r="U424" s="45"/>
      <c r="V424" s="45"/>
      <c r="W424" s="45"/>
      <c r="X424" s="45"/>
      <c r="Y424" s="45"/>
      <c r="Z424" s="45"/>
    </row>
    <row r="425">
      <c r="A425" s="51">
        <v>424.0</v>
      </c>
      <c r="B425" s="47" t="str">
        <f>'Project Stocktaking Template'!B426</f>
        <v>CHAINLINK FENCING </v>
      </c>
      <c r="C425" s="47" t="str">
        <f>'Project Stocktaking Template'!H426</f>
        <v>GarissaTownship</v>
      </c>
      <c r="D425" s="47" t="str">
        <f>'Project Stocktaking Template'!I426</f>
        <v>Township</v>
      </c>
      <c r="E425" s="48" t="str">
        <f>'Project Stocktaking Template'!O426</f>
        <v>1st aug 2023</v>
      </c>
      <c r="F425" s="48" t="str">
        <f>'Project Stocktaking Template'!P426</f>
        <v>30th june 2024</v>
      </c>
      <c r="G425" s="48" t="str">
        <f>'Project Stocktaking Template'!Q426</f>
        <v>30th june 2024</v>
      </c>
      <c r="H425" s="49">
        <f>'Project Stocktaking Template'!R426</f>
        <v>5225000</v>
      </c>
      <c r="I425" s="50" t="str">
        <f>'Project Stocktaking Template'!AD426</f>
        <v>Completed</v>
      </c>
      <c r="J425" s="45"/>
      <c r="K425" s="45"/>
      <c r="L425" s="45"/>
      <c r="M425" s="45"/>
      <c r="N425" s="45"/>
      <c r="O425" s="45"/>
      <c r="P425" s="45"/>
      <c r="Q425" s="45"/>
      <c r="R425" s="45"/>
      <c r="S425" s="45"/>
      <c r="T425" s="45"/>
      <c r="U425" s="45"/>
      <c r="V425" s="45"/>
      <c r="W425" s="45"/>
      <c r="X425" s="45"/>
      <c r="Y425" s="45"/>
      <c r="Z425" s="45"/>
    </row>
    <row r="426">
      <c r="A426" s="46">
        <v>425.0</v>
      </c>
      <c r="B426" s="47" t="str">
        <f>'Project Stocktaking Template'!B427</f>
        <v>CONSTRUCTION OF WATER PAN</v>
      </c>
      <c r="C426" s="47" t="str">
        <f>'Project Stocktaking Template'!H427</f>
        <v>GarissaTownship</v>
      </c>
      <c r="D426" s="47" t="str">
        <f>'Project Stocktaking Template'!I427</f>
        <v>Township</v>
      </c>
      <c r="E426" s="48" t="str">
        <f>'Project Stocktaking Template'!O427</f>
        <v>1st aug 2023</v>
      </c>
      <c r="F426" s="48" t="str">
        <f>'Project Stocktaking Template'!P427</f>
        <v>30th june 2024</v>
      </c>
      <c r="G426" s="48" t="str">
        <f>'Project Stocktaking Template'!Q427</f>
        <v>30th june 2024</v>
      </c>
      <c r="H426" s="49">
        <f>'Project Stocktaking Template'!R427</f>
        <v>4735636</v>
      </c>
      <c r="I426" s="50" t="str">
        <f>'Project Stocktaking Template'!AD427</f>
        <v>Completed</v>
      </c>
      <c r="J426" s="45"/>
      <c r="K426" s="45"/>
      <c r="L426" s="45"/>
      <c r="M426" s="45"/>
      <c r="N426" s="45"/>
      <c r="O426" s="45"/>
      <c r="P426" s="45"/>
      <c r="Q426" s="45"/>
      <c r="R426" s="45"/>
      <c r="S426" s="45"/>
      <c r="T426" s="45"/>
      <c r="U426" s="45"/>
      <c r="V426" s="45"/>
      <c r="W426" s="45"/>
      <c r="X426" s="45"/>
      <c r="Y426" s="45"/>
      <c r="Z426" s="45"/>
    </row>
    <row r="427">
      <c r="A427" s="51">
        <v>426.0</v>
      </c>
      <c r="B427" s="47" t="str">
        <f>'Project Stocktaking Template'!B428</f>
        <v>RENNOVATION OF ECD CLASSROOM AT SAKA</v>
      </c>
      <c r="C427" s="47" t="str">
        <f>'Project Stocktaking Template'!H428</f>
        <v>Balambala</v>
      </c>
      <c r="D427" s="47" t="str">
        <f>'Project Stocktaking Template'!I428</f>
        <v>Balambala</v>
      </c>
      <c r="E427" s="48" t="str">
        <f>'Project Stocktaking Template'!O428</f>
        <v>1st aug 2023</v>
      </c>
      <c r="F427" s="48" t="str">
        <f>'Project Stocktaking Template'!P428</f>
        <v>30th june 2024</v>
      </c>
      <c r="G427" s="48" t="str">
        <f>'Project Stocktaking Template'!Q428</f>
        <v>30th june 2024</v>
      </c>
      <c r="H427" s="49">
        <f>'Project Stocktaking Template'!R428</f>
        <v>843662</v>
      </c>
      <c r="I427" s="50" t="str">
        <f>'Project Stocktaking Template'!AD428</f>
        <v>Completed</v>
      </c>
      <c r="J427" s="45"/>
      <c r="K427" s="45"/>
      <c r="L427" s="45"/>
      <c r="M427" s="45"/>
      <c r="N427" s="45"/>
      <c r="O427" s="45"/>
      <c r="P427" s="45"/>
      <c r="Q427" s="45"/>
      <c r="R427" s="45"/>
      <c r="S427" s="45"/>
      <c r="T427" s="45"/>
      <c r="U427" s="45"/>
      <c r="V427" s="45"/>
      <c r="W427" s="45"/>
      <c r="X427" s="45"/>
      <c r="Y427" s="45"/>
      <c r="Z427" s="45"/>
    </row>
    <row r="428">
      <c r="A428" s="46">
        <v>427.0</v>
      </c>
      <c r="B428" s="47" t="str">
        <f>'Project Stocktaking Template'!B429</f>
        <v>GEED OF WARD ADMIN</v>
      </c>
      <c r="C428" s="47" t="str">
        <f>'Project Stocktaking Template'!H429</f>
        <v>GarissaTownship</v>
      </c>
      <c r="D428" s="47" t="str">
        <f>'Project Stocktaking Template'!I429</f>
        <v>Township</v>
      </c>
      <c r="E428" s="48" t="str">
        <f>'Project Stocktaking Template'!O429</f>
        <v>1st aug 2023</v>
      </c>
      <c r="F428" s="48" t="str">
        <f>'Project Stocktaking Template'!P429</f>
        <v>30th june 2024</v>
      </c>
      <c r="G428" s="48" t="str">
        <f>'Project Stocktaking Template'!Q429</f>
        <v>30th june 2024</v>
      </c>
      <c r="H428" s="49">
        <f>'Project Stocktaking Template'!R429</f>
        <v>1449755</v>
      </c>
      <c r="I428" s="50" t="str">
        <f>'Project Stocktaking Template'!AD429</f>
        <v>Completed</v>
      </c>
      <c r="J428" s="45"/>
      <c r="K428" s="45"/>
      <c r="L428" s="45"/>
      <c r="M428" s="45"/>
      <c r="N428" s="45"/>
      <c r="O428" s="45"/>
      <c r="P428" s="45"/>
      <c r="Q428" s="45"/>
      <c r="R428" s="45"/>
      <c r="S428" s="45"/>
      <c r="T428" s="45"/>
      <c r="U428" s="45"/>
      <c r="V428" s="45"/>
      <c r="W428" s="45"/>
      <c r="X428" s="45"/>
      <c r="Y428" s="45"/>
      <c r="Z428" s="45"/>
    </row>
    <row r="429">
      <c r="A429" s="51">
        <v>428.0</v>
      </c>
      <c r="B429" s="47" t="str">
        <f>'Project Stocktaking Template'!B430</f>
        <v>Logistics OF WATER PAN</v>
      </c>
      <c r="C429" s="47" t="str">
        <f>'Project Stocktaking Template'!H430</f>
        <v>GarissaTownship</v>
      </c>
      <c r="D429" s="47" t="str">
        <f>'Project Stocktaking Template'!I430</f>
        <v>Township</v>
      </c>
      <c r="E429" s="48" t="str">
        <f>'Project Stocktaking Template'!O430</f>
        <v>1st aug 2023</v>
      </c>
      <c r="F429" s="48" t="str">
        <f>'Project Stocktaking Template'!P430</f>
        <v>30th june 2024</v>
      </c>
      <c r="G429" s="48" t="str">
        <f>'Project Stocktaking Template'!Q430</f>
        <v>30th june 2024</v>
      </c>
      <c r="H429" s="49">
        <f>'Project Stocktaking Template'!R430</f>
        <v>4750500</v>
      </c>
      <c r="I429" s="50" t="str">
        <f>'Project Stocktaking Template'!AD430</f>
        <v>Completed</v>
      </c>
      <c r="J429" s="45"/>
      <c r="K429" s="45"/>
      <c r="L429" s="45"/>
      <c r="M429" s="45"/>
      <c r="N429" s="45"/>
      <c r="O429" s="45"/>
      <c r="P429" s="45"/>
      <c r="Q429" s="45"/>
      <c r="R429" s="45"/>
      <c r="S429" s="45"/>
      <c r="T429" s="45"/>
      <c r="U429" s="45"/>
      <c r="V429" s="45"/>
      <c r="W429" s="45"/>
      <c r="X429" s="45"/>
      <c r="Y429" s="45"/>
      <c r="Z429" s="45"/>
    </row>
    <row r="430">
      <c r="A430" s="46">
        <v>429.0</v>
      </c>
      <c r="B430" s="47" t="str">
        <f>'Project Stocktaking Template'!B431</f>
        <v>Investments OF WATER PAN</v>
      </c>
      <c r="C430" s="47" t="str">
        <f>'Project Stocktaking Template'!H431</f>
        <v>GarissaTownship</v>
      </c>
      <c r="D430" s="47" t="str">
        <f>'Project Stocktaking Template'!I431</f>
        <v>Township</v>
      </c>
      <c r="E430" s="48" t="str">
        <f>'Project Stocktaking Template'!O431</f>
        <v>1st aug 2023</v>
      </c>
      <c r="F430" s="48" t="str">
        <f>'Project Stocktaking Template'!P431</f>
        <v>30th june 2024</v>
      </c>
      <c r="G430" s="48" t="str">
        <f>'Project Stocktaking Template'!Q431</f>
        <v>30th june 2024</v>
      </c>
      <c r="H430" s="49">
        <f>'Project Stocktaking Template'!R431</f>
        <v>4845220</v>
      </c>
      <c r="I430" s="50" t="str">
        <f>'Project Stocktaking Template'!AD431</f>
        <v>Completed</v>
      </c>
      <c r="J430" s="45"/>
      <c r="K430" s="45"/>
      <c r="L430" s="45"/>
      <c r="M430" s="45"/>
      <c r="N430" s="45"/>
      <c r="O430" s="45"/>
      <c r="P430" s="45"/>
      <c r="Q430" s="45"/>
      <c r="R430" s="45"/>
      <c r="S430" s="45"/>
      <c r="T430" s="45"/>
      <c r="U430" s="45"/>
      <c r="V430" s="45"/>
      <c r="W430" s="45"/>
      <c r="X430" s="45"/>
      <c r="Y430" s="45"/>
      <c r="Z430" s="45"/>
    </row>
    <row r="431">
      <c r="A431" s="51">
        <v>430.0</v>
      </c>
      <c r="B431" s="47" t="str">
        <f>'Project Stocktaking Template'!B432</f>
        <v>COMPANY OF WATER PAN</v>
      </c>
      <c r="C431" s="47" t="str">
        <f>'Project Stocktaking Template'!H432</f>
        <v>GarissaTownship</v>
      </c>
      <c r="D431" s="47" t="str">
        <f>'Project Stocktaking Template'!I432</f>
        <v>Township</v>
      </c>
      <c r="E431" s="48" t="str">
        <f>'Project Stocktaking Template'!O432</f>
        <v>1st aug 2023</v>
      </c>
      <c r="F431" s="48" t="str">
        <f>'Project Stocktaking Template'!P432</f>
        <v>30th june 2024</v>
      </c>
      <c r="G431" s="48" t="str">
        <f>'Project Stocktaking Template'!Q432</f>
        <v>30th june 2024</v>
      </c>
      <c r="H431" s="49">
        <f>'Project Stocktaking Template'!R432</f>
        <v>4926300</v>
      </c>
      <c r="I431" s="50" t="str">
        <f>'Project Stocktaking Template'!AD432</f>
        <v>Completed</v>
      </c>
      <c r="J431" s="45"/>
      <c r="K431" s="45"/>
      <c r="L431" s="45"/>
      <c r="M431" s="45"/>
      <c r="N431" s="45"/>
      <c r="O431" s="45"/>
      <c r="P431" s="45"/>
      <c r="Q431" s="45"/>
      <c r="R431" s="45"/>
      <c r="S431" s="45"/>
      <c r="T431" s="45"/>
      <c r="U431" s="45"/>
      <c r="V431" s="45"/>
      <c r="W431" s="45"/>
      <c r="X431" s="45"/>
      <c r="Y431" s="45"/>
      <c r="Z431" s="45"/>
    </row>
    <row r="432">
      <c r="A432" s="46">
        <v>431.0</v>
      </c>
      <c r="B432" s="47" t="str">
        <f>'Project Stocktaking Template'!B433</f>
        <v>REHABILITATION OF AMUMA BOREHOLE</v>
      </c>
      <c r="C432" s="47" t="str">
        <f>'Project Stocktaking Template'!H433</f>
        <v>Fafi</v>
      </c>
      <c r="D432" s="47" t="str">
        <f>'Project Stocktaking Template'!I433</f>
        <v>Fafi</v>
      </c>
      <c r="E432" s="48" t="str">
        <f>'Project Stocktaking Template'!O433</f>
        <v>1st aug 2023</v>
      </c>
      <c r="F432" s="48" t="str">
        <f>'Project Stocktaking Template'!P433</f>
        <v>30th june 2024</v>
      </c>
      <c r="G432" s="48" t="str">
        <f>'Project Stocktaking Template'!Q433</f>
        <v>30th june 2024</v>
      </c>
      <c r="H432" s="49">
        <f>'Project Stocktaking Template'!R433</f>
        <v>5510000</v>
      </c>
      <c r="I432" s="50" t="str">
        <f>'Project Stocktaking Template'!AD433</f>
        <v>Completed</v>
      </c>
      <c r="J432" s="45"/>
      <c r="K432" s="45"/>
      <c r="L432" s="45"/>
      <c r="M432" s="45"/>
      <c r="N432" s="45"/>
      <c r="O432" s="45"/>
      <c r="P432" s="45"/>
      <c r="Q432" s="45"/>
      <c r="R432" s="45"/>
      <c r="S432" s="45"/>
      <c r="T432" s="45"/>
      <c r="U432" s="45"/>
      <c r="V432" s="45"/>
      <c r="W432" s="45"/>
      <c r="X432" s="45"/>
      <c r="Y432" s="45"/>
      <c r="Z432" s="45"/>
    </row>
    <row r="433">
      <c r="A433" s="51">
        <v>432.0</v>
      </c>
      <c r="B433" s="47" t="str">
        <f>'Project Stocktaking Template'!B434</f>
        <v>CONSTRUCTION OF WARD ADMIN AT FAFI WARD</v>
      </c>
      <c r="C433" s="47" t="str">
        <f>'Project Stocktaking Template'!H434</f>
        <v>Fafi</v>
      </c>
      <c r="D433" s="47" t="str">
        <f>'Project Stocktaking Template'!I434</f>
        <v>Fafi</v>
      </c>
      <c r="E433" s="48" t="str">
        <f>'Project Stocktaking Template'!O434</f>
        <v>1st aug 2023</v>
      </c>
      <c r="F433" s="48" t="str">
        <f>'Project Stocktaking Template'!P434</f>
        <v>30th june 2024</v>
      </c>
      <c r="G433" s="48" t="str">
        <f>'Project Stocktaking Template'!Q434</f>
        <v>30th june 2024</v>
      </c>
      <c r="H433" s="49">
        <f>'Project Stocktaking Template'!R434</f>
        <v>2087603</v>
      </c>
      <c r="I433" s="50" t="str">
        <f>'Project Stocktaking Template'!AD434</f>
        <v>Completed</v>
      </c>
      <c r="J433" s="45"/>
      <c r="K433" s="45"/>
      <c r="L433" s="45"/>
      <c r="M433" s="45"/>
      <c r="N433" s="45"/>
      <c r="O433" s="45"/>
      <c r="P433" s="45"/>
      <c r="Q433" s="45"/>
      <c r="R433" s="45"/>
      <c r="S433" s="45"/>
      <c r="T433" s="45"/>
      <c r="U433" s="45"/>
      <c r="V433" s="45"/>
      <c r="W433" s="45"/>
      <c r="X433" s="45"/>
      <c r="Y433" s="45"/>
      <c r="Z433" s="45"/>
    </row>
    <row r="434">
      <c r="A434" s="46">
        <v>433.0</v>
      </c>
      <c r="B434" s="47" t="str">
        <f>'Project Stocktaking Template'!B435</f>
        <v>CONSTRUCTION OF WARD ADMIN AT DANAYERE</v>
      </c>
      <c r="C434" s="47" t="str">
        <f>'Project Stocktaking Template'!H435</f>
        <v>Balambala</v>
      </c>
      <c r="D434" s="47" t="str">
        <f>'Project Stocktaking Template'!I435</f>
        <v>Danyere</v>
      </c>
      <c r="E434" s="48" t="str">
        <f>'Project Stocktaking Template'!O435</f>
        <v>1st aug 2023</v>
      </c>
      <c r="F434" s="48" t="str">
        <f>'Project Stocktaking Template'!P435</f>
        <v>30th june 2024</v>
      </c>
      <c r="G434" s="48" t="str">
        <f>'Project Stocktaking Template'!Q435</f>
        <v>30th june 2024</v>
      </c>
      <c r="H434" s="49">
        <f>'Project Stocktaking Template'!R435</f>
        <v>1200000</v>
      </c>
      <c r="I434" s="50" t="str">
        <f>'Project Stocktaking Template'!AD435</f>
        <v>Completed</v>
      </c>
      <c r="J434" s="45"/>
      <c r="K434" s="45"/>
      <c r="L434" s="45"/>
      <c r="M434" s="45"/>
      <c r="N434" s="45"/>
      <c r="O434" s="45"/>
      <c r="P434" s="45"/>
      <c r="Q434" s="45"/>
      <c r="R434" s="45"/>
      <c r="S434" s="45"/>
      <c r="T434" s="45"/>
      <c r="U434" s="45"/>
      <c r="V434" s="45"/>
      <c r="W434" s="45"/>
      <c r="X434" s="45"/>
      <c r="Y434" s="45"/>
      <c r="Z434" s="45"/>
    </row>
    <row r="435">
      <c r="A435" s="51">
        <v>434.0</v>
      </c>
      <c r="B435" s="47" t="str">
        <f>'Project Stocktaking Template'!B436</f>
        <v>CONSTRUCTION OF WARD ADMIN AT NANIGI WARD</v>
      </c>
      <c r="C435" s="47" t="str">
        <f>'Project Stocktaking Template'!H436</f>
        <v>Fafi</v>
      </c>
      <c r="D435" s="47" t="str">
        <f>'Project Stocktaking Template'!I436</f>
        <v>Nanighi</v>
      </c>
      <c r="E435" s="48" t="str">
        <f>'Project Stocktaking Template'!O436</f>
        <v>1st aug 2023</v>
      </c>
      <c r="F435" s="48" t="str">
        <f>'Project Stocktaking Template'!P436</f>
        <v>30th june 2024</v>
      </c>
      <c r="G435" s="48" t="str">
        <f>'Project Stocktaking Template'!Q436</f>
        <v>30th june 2024</v>
      </c>
      <c r="H435" s="49">
        <f>'Project Stocktaking Template'!R436</f>
        <v>2100000</v>
      </c>
      <c r="I435" s="50" t="str">
        <f>'Project Stocktaking Template'!AD436</f>
        <v>Completed</v>
      </c>
      <c r="J435" s="45"/>
      <c r="K435" s="45"/>
      <c r="L435" s="45"/>
      <c r="M435" s="45"/>
      <c r="N435" s="45"/>
      <c r="O435" s="45"/>
      <c r="P435" s="45"/>
      <c r="Q435" s="45"/>
      <c r="R435" s="45"/>
      <c r="S435" s="45"/>
      <c r="T435" s="45"/>
      <c r="U435" s="45"/>
      <c r="V435" s="45"/>
      <c r="W435" s="45"/>
      <c r="X435" s="45"/>
      <c r="Y435" s="45"/>
      <c r="Z435" s="45"/>
    </row>
    <row r="436">
      <c r="A436" s="46">
        <v>435.0</v>
      </c>
      <c r="B436" s="47" t="str">
        <f>'Project Stocktaking Template'!B437</f>
        <v>CONSTRUCTION OF WARER WATER PAN AT MAKAH</v>
      </c>
      <c r="C436" s="47" t="str">
        <f>'Project Stocktaking Template'!H437</f>
        <v>GarissaTownship</v>
      </c>
      <c r="D436" s="47" t="str">
        <f>'Project Stocktaking Template'!I437</f>
        <v>Township</v>
      </c>
      <c r="E436" s="48" t="str">
        <f>'Project Stocktaking Template'!O437</f>
        <v>1st aug 2023</v>
      </c>
      <c r="F436" s="48" t="str">
        <f>'Project Stocktaking Template'!P437</f>
        <v>30th june 2024</v>
      </c>
      <c r="G436" s="48" t="str">
        <f>'Project Stocktaking Template'!Q437</f>
        <v>30th june 2024</v>
      </c>
      <c r="H436" s="49">
        <f>'Project Stocktaking Template'!R437</f>
        <v>4727200</v>
      </c>
      <c r="I436" s="50" t="str">
        <f>'Project Stocktaking Template'!AD437</f>
        <v>Completed</v>
      </c>
      <c r="J436" s="45"/>
      <c r="K436" s="45"/>
      <c r="L436" s="45"/>
      <c r="M436" s="45"/>
      <c r="N436" s="45"/>
      <c r="O436" s="45"/>
      <c r="P436" s="45"/>
      <c r="Q436" s="45"/>
      <c r="R436" s="45"/>
      <c r="S436" s="45"/>
      <c r="T436" s="45"/>
      <c r="U436" s="45"/>
      <c r="V436" s="45"/>
      <c r="W436" s="45"/>
      <c r="X436" s="45"/>
      <c r="Y436" s="45"/>
      <c r="Z436" s="45"/>
    </row>
    <row r="437">
      <c r="A437" s="51">
        <v>436.0</v>
      </c>
      <c r="B437" s="47" t="str">
        <f>'Project Stocktaking Template'!B438</f>
        <v>BUILDERS OF WARD ADMIN</v>
      </c>
      <c r="C437" s="47" t="str">
        <f>'Project Stocktaking Template'!H438</f>
        <v>GarissaTownship</v>
      </c>
      <c r="D437" s="47" t="str">
        <f>'Project Stocktaking Template'!I438</f>
        <v>Township</v>
      </c>
      <c r="E437" s="48" t="str">
        <f>'Project Stocktaking Template'!O438</f>
        <v>1st aug 2023</v>
      </c>
      <c r="F437" s="48" t="str">
        <f>'Project Stocktaking Template'!P438</f>
        <v>30th june 2024</v>
      </c>
      <c r="G437" s="48" t="str">
        <f>'Project Stocktaking Template'!Q438</f>
        <v>30th june 2024</v>
      </c>
      <c r="H437" s="49">
        <f>'Project Stocktaking Template'!R438</f>
        <v>4560000</v>
      </c>
      <c r="I437" s="50" t="str">
        <f>'Project Stocktaking Template'!AD438</f>
        <v>Completed</v>
      </c>
      <c r="J437" s="45"/>
      <c r="K437" s="45"/>
      <c r="L437" s="45"/>
      <c r="M437" s="45"/>
      <c r="N437" s="45"/>
      <c r="O437" s="45"/>
      <c r="P437" s="45"/>
      <c r="Q437" s="45"/>
      <c r="R437" s="45"/>
      <c r="S437" s="45"/>
      <c r="T437" s="45"/>
      <c r="U437" s="45"/>
      <c r="V437" s="45"/>
      <c r="W437" s="45"/>
      <c r="X437" s="45"/>
      <c r="Y437" s="45"/>
      <c r="Z437" s="45"/>
    </row>
    <row r="438">
      <c r="A438" s="46">
        <v>437.0</v>
      </c>
      <c r="B438" s="47" t="str">
        <f>'Project Stocktaking Template'!B439</f>
        <v>CHAINLINK FENCING</v>
      </c>
      <c r="C438" s="47" t="str">
        <f>'Project Stocktaking Template'!H439</f>
        <v>GarissaTownship</v>
      </c>
      <c r="D438" s="47" t="str">
        <f>'Project Stocktaking Template'!I439</f>
        <v>Township</v>
      </c>
      <c r="E438" s="48" t="str">
        <f>'Project Stocktaking Template'!O439</f>
        <v>1st aug 2023</v>
      </c>
      <c r="F438" s="48" t="str">
        <f>'Project Stocktaking Template'!P439</f>
        <v>30th june 2024</v>
      </c>
      <c r="G438" s="48" t="str">
        <f>'Project Stocktaking Template'!Q439</f>
        <v>30th june 2024</v>
      </c>
      <c r="H438" s="49">
        <f>'Project Stocktaking Template'!R439</f>
        <v>500000</v>
      </c>
      <c r="I438" s="50" t="str">
        <f>'Project Stocktaking Template'!AD439</f>
        <v>Completed</v>
      </c>
      <c r="J438" s="45"/>
      <c r="K438" s="45"/>
      <c r="L438" s="45"/>
      <c r="M438" s="45"/>
      <c r="N438" s="45"/>
      <c r="O438" s="45"/>
      <c r="P438" s="45"/>
      <c r="Q438" s="45"/>
      <c r="R438" s="45"/>
      <c r="S438" s="45"/>
      <c r="T438" s="45"/>
      <c r="U438" s="45"/>
      <c r="V438" s="45"/>
      <c r="W438" s="45"/>
      <c r="X438" s="45"/>
      <c r="Y438" s="45"/>
      <c r="Z438" s="45"/>
    </row>
    <row r="439">
      <c r="A439" s="51">
        <v>438.0</v>
      </c>
      <c r="B439" s="47" t="str">
        <f>'Project Stocktaking Template'!B440</f>
        <v>RENOVATION OF ECD CLASSROM AT AP CHIEF CAMP PRIMARY</v>
      </c>
      <c r="C439" s="47" t="str">
        <f>'Project Stocktaking Template'!H440</f>
        <v>GarissaTownship</v>
      </c>
      <c r="D439" s="47" t="str">
        <f>'Project Stocktaking Template'!I440</f>
        <v>Township</v>
      </c>
      <c r="E439" s="48" t="str">
        <f>'Project Stocktaking Template'!O440</f>
        <v>1st aug 2023</v>
      </c>
      <c r="F439" s="48" t="str">
        <f>'Project Stocktaking Template'!P440</f>
        <v>30th june 2024</v>
      </c>
      <c r="G439" s="48" t="str">
        <f>'Project Stocktaking Template'!Q440</f>
        <v>30th june 2024</v>
      </c>
      <c r="H439" s="49">
        <f>'Project Stocktaking Template'!R440</f>
        <v>2090000</v>
      </c>
      <c r="I439" s="50" t="str">
        <f>'Project Stocktaking Template'!AD440</f>
        <v>Completed</v>
      </c>
      <c r="J439" s="45"/>
      <c r="K439" s="45"/>
      <c r="L439" s="45"/>
      <c r="M439" s="45"/>
      <c r="N439" s="45"/>
      <c r="O439" s="45"/>
      <c r="P439" s="45"/>
      <c r="Q439" s="45"/>
      <c r="R439" s="45"/>
      <c r="S439" s="45"/>
      <c r="T439" s="45"/>
      <c r="U439" s="45"/>
      <c r="V439" s="45"/>
      <c r="W439" s="45"/>
      <c r="X439" s="45"/>
      <c r="Y439" s="45"/>
      <c r="Z439" s="45"/>
    </row>
    <row r="440">
      <c r="A440" s="46">
        <v>439.0</v>
      </c>
      <c r="B440" s="47" t="str">
        <f>'Project Stocktaking Template'!B441</f>
        <v>CONSTRUCTION OF WARD ADMIN AT ABAKAILE</v>
      </c>
      <c r="C440" s="47" t="str">
        <f>'Project Stocktaking Template'!H441</f>
        <v>Dadaab</v>
      </c>
      <c r="D440" s="47" t="str">
        <f>'Project Stocktaking Template'!I441</f>
        <v>Abakaile</v>
      </c>
      <c r="E440" s="48" t="str">
        <f>'Project Stocktaking Template'!O441</f>
        <v>1st aug 2023</v>
      </c>
      <c r="F440" s="48" t="str">
        <f>'Project Stocktaking Template'!P441</f>
        <v>30th june 2024</v>
      </c>
      <c r="G440" s="48" t="str">
        <f>'Project Stocktaking Template'!Q441</f>
        <v>30th june 2024</v>
      </c>
      <c r="H440" s="49">
        <f>'Project Stocktaking Template'!R441</f>
        <v>2090000</v>
      </c>
      <c r="I440" s="50" t="str">
        <f>'Project Stocktaking Template'!AD441</f>
        <v>Completed</v>
      </c>
      <c r="J440" s="45"/>
      <c r="K440" s="45"/>
      <c r="L440" s="45"/>
      <c r="M440" s="45"/>
      <c r="N440" s="45"/>
      <c r="O440" s="45"/>
      <c r="P440" s="45"/>
      <c r="Q440" s="45"/>
      <c r="R440" s="45"/>
      <c r="S440" s="45"/>
      <c r="T440" s="45"/>
      <c r="U440" s="45"/>
      <c r="V440" s="45"/>
      <c r="W440" s="45"/>
      <c r="X440" s="45"/>
      <c r="Y440" s="45"/>
      <c r="Z440" s="45"/>
    </row>
    <row r="441">
      <c r="A441" s="51">
        <v>440.0</v>
      </c>
      <c r="B441" s="47" t="str">
        <f>'Project Stocktaking Template'!B442</f>
        <v>CONSTRCUTION OF WARD ADMIN AT BARAKI</v>
      </c>
      <c r="C441" s="47" t="str">
        <f>'Project Stocktaking Template'!H442</f>
        <v>Balambala</v>
      </c>
      <c r="D441" s="47" t="str">
        <f>'Project Stocktaking Template'!I442</f>
        <v>Baraki</v>
      </c>
      <c r="E441" s="48" t="str">
        <f>'Project Stocktaking Template'!O442</f>
        <v>1st aug 2023</v>
      </c>
      <c r="F441" s="48" t="str">
        <f>'Project Stocktaking Template'!P442</f>
        <v>30th june 2024</v>
      </c>
      <c r="G441" s="48" t="str">
        <f>'Project Stocktaking Template'!Q442</f>
        <v>30th june 2024</v>
      </c>
      <c r="H441" s="49">
        <f>'Project Stocktaking Template'!R442</f>
        <v>2090000</v>
      </c>
      <c r="I441" s="50" t="str">
        <f>'Project Stocktaking Template'!AD442</f>
        <v>Completed</v>
      </c>
      <c r="J441" s="45"/>
      <c r="K441" s="45"/>
      <c r="L441" s="45"/>
      <c r="M441" s="45"/>
      <c r="N441" s="45"/>
      <c r="O441" s="45"/>
      <c r="P441" s="45"/>
      <c r="Q441" s="45"/>
      <c r="R441" s="45"/>
      <c r="S441" s="45"/>
      <c r="T441" s="45"/>
      <c r="U441" s="45"/>
      <c r="V441" s="45"/>
      <c r="W441" s="45"/>
      <c r="X441" s="45"/>
      <c r="Y441" s="45"/>
      <c r="Z441" s="45"/>
    </row>
    <row r="442">
      <c r="A442" s="46">
        <v>441.0</v>
      </c>
      <c r="B442" s="47" t="str">
        <f>'Project Stocktaking Template'!B443</f>
        <v>SUPPPLY OF EQUIPTMENT</v>
      </c>
      <c r="C442" s="47" t="str">
        <f>'Project Stocktaking Template'!H443</f>
        <v>GarissaTownship</v>
      </c>
      <c r="D442" s="47" t="str">
        <f>'Project Stocktaking Template'!I443</f>
        <v>Township</v>
      </c>
      <c r="E442" s="48" t="str">
        <f>'Project Stocktaking Template'!O443</f>
        <v>1st aug 2023</v>
      </c>
      <c r="F442" s="48" t="str">
        <f>'Project Stocktaking Template'!P443</f>
        <v>30th june 2024</v>
      </c>
      <c r="G442" s="48" t="str">
        <f>'Project Stocktaking Template'!Q443</f>
        <v>30th june 2024</v>
      </c>
      <c r="H442" s="49">
        <f>'Project Stocktaking Template'!R443</f>
        <v>3990000</v>
      </c>
      <c r="I442" s="50" t="str">
        <f>'Project Stocktaking Template'!AD443</f>
        <v>Completed</v>
      </c>
      <c r="J442" s="45"/>
      <c r="K442" s="45"/>
      <c r="L442" s="45"/>
      <c r="M442" s="45"/>
      <c r="N442" s="45"/>
      <c r="O442" s="45"/>
      <c r="P442" s="45"/>
      <c r="Q442" s="45"/>
      <c r="R442" s="45"/>
      <c r="S442" s="45"/>
      <c r="T442" s="45"/>
      <c r="U442" s="45"/>
      <c r="V442" s="45"/>
      <c r="W442" s="45"/>
      <c r="X442" s="45"/>
      <c r="Y442" s="45"/>
      <c r="Z442" s="45"/>
    </row>
    <row r="443">
      <c r="A443" s="51">
        <v>442.0</v>
      </c>
      <c r="B443" s="47" t="str">
        <f>'Project Stocktaking Template'!B444</f>
        <v>RENOVATION AT WARABLE ECD</v>
      </c>
      <c r="C443" s="47" t="str">
        <f>'Project Stocktaking Template'!H444</f>
        <v>Fafi</v>
      </c>
      <c r="D443" s="47" t="str">
        <f>'Project Stocktaking Template'!I444</f>
        <v>Nanighi</v>
      </c>
      <c r="E443" s="48" t="str">
        <f>'Project Stocktaking Template'!O444</f>
        <v>1st aug 2023</v>
      </c>
      <c r="F443" s="48" t="str">
        <f>'Project Stocktaking Template'!P444</f>
        <v>30th june 2024</v>
      </c>
      <c r="G443" s="48" t="str">
        <f>'Project Stocktaking Template'!Q444</f>
        <v>30th june 2024</v>
      </c>
      <c r="H443" s="49">
        <f>'Project Stocktaking Template'!R444</f>
        <v>1330000</v>
      </c>
      <c r="I443" s="50" t="str">
        <f>'Project Stocktaking Template'!AD444</f>
        <v>Completed</v>
      </c>
      <c r="J443" s="45"/>
      <c r="K443" s="45"/>
      <c r="L443" s="45"/>
      <c r="M443" s="45"/>
      <c r="N443" s="45"/>
      <c r="O443" s="45"/>
      <c r="P443" s="45"/>
      <c r="Q443" s="45"/>
      <c r="R443" s="45"/>
      <c r="S443" s="45"/>
      <c r="T443" s="45"/>
      <c r="U443" s="45"/>
      <c r="V443" s="45"/>
      <c r="W443" s="45"/>
      <c r="X443" s="45"/>
      <c r="Y443" s="45"/>
      <c r="Z443" s="45"/>
    </row>
    <row r="444">
      <c r="A444" s="46">
        <v>443.0</v>
      </c>
      <c r="B444" s="47" t="str">
        <f>'Project Stocktaking Template'!B445</f>
        <v>RENOVATION AT BOGYAR ECD</v>
      </c>
      <c r="C444" s="47" t="str">
        <f>'Project Stocktaking Template'!H445</f>
        <v>Dadaab</v>
      </c>
      <c r="D444" s="47" t="str">
        <f>'Project Stocktaking Template'!I445</f>
        <v>Dadaab</v>
      </c>
      <c r="E444" s="48" t="str">
        <f>'Project Stocktaking Template'!O445</f>
        <v>1st aug 2023</v>
      </c>
      <c r="F444" s="48" t="str">
        <f>'Project Stocktaking Template'!P445</f>
        <v>30th june 2024</v>
      </c>
      <c r="G444" s="48" t="str">
        <f>'Project Stocktaking Template'!Q445</f>
        <v>30th june 2024</v>
      </c>
      <c r="H444" s="49">
        <f>'Project Stocktaking Template'!R445</f>
        <v>1330000</v>
      </c>
      <c r="I444" s="50" t="str">
        <f>'Project Stocktaking Template'!AD445</f>
        <v>Completed</v>
      </c>
      <c r="J444" s="45"/>
      <c r="K444" s="45"/>
      <c r="L444" s="45"/>
      <c r="M444" s="45"/>
      <c r="N444" s="45"/>
      <c r="O444" s="45"/>
      <c r="P444" s="45"/>
      <c r="Q444" s="45"/>
      <c r="R444" s="45"/>
      <c r="S444" s="45"/>
      <c r="T444" s="45"/>
      <c r="U444" s="45"/>
      <c r="V444" s="45"/>
      <c r="W444" s="45"/>
      <c r="X444" s="45"/>
      <c r="Y444" s="45"/>
      <c r="Z444" s="45"/>
    </row>
    <row r="445">
      <c r="A445" s="51">
        <v>444.0</v>
      </c>
      <c r="B445" s="47" t="str">
        <f>'Project Stocktaking Template'!B446</f>
        <v>RENOVATION OF MAI PRIMARY</v>
      </c>
      <c r="C445" s="47" t="str">
        <f>'Project Stocktaking Template'!H446</f>
        <v>GarissaTownship</v>
      </c>
      <c r="D445" s="47" t="str">
        <f>'Project Stocktaking Template'!I446</f>
        <v>Township</v>
      </c>
      <c r="E445" s="48" t="str">
        <f>'Project Stocktaking Template'!O446</f>
        <v>1st aug 2023</v>
      </c>
      <c r="F445" s="48" t="str">
        <f>'Project Stocktaking Template'!P446</f>
        <v>30th june 2024</v>
      </c>
      <c r="G445" s="48" t="str">
        <f>'Project Stocktaking Template'!Q446</f>
        <v>30th june 2024</v>
      </c>
      <c r="H445" s="49">
        <f>'Project Stocktaking Template'!R446</f>
        <v>1330000</v>
      </c>
      <c r="I445" s="50" t="str">
        <f>'Project Stocktaking Template'!AD446</f>
        <v>Completed</v>
      </c>
      <c r="J445" s="45"/>
      <c r="K445" s="45"/>
      <c r="L445" s="45"/>
      <c r="M445" s="45"/>
      <c r="N445" s="45"/>
      <c r="O445" s="45"/>
      <c r="P445" s="45"/>
      <c r="Q445" s="45"/>
      <c r="R445" s="45"/>
      <c r="S445" s="45"/>
      <c r="T445" s="45"/>
      <c r="U445" s="45"/>
      <c r="V445" s="45"/>
      <c r="W445" s="45"/>
      <c r="X445" s="45"/>
      <c r="Y445" s="45"/>
      <c r="Z445" s="45"/>
    </row>
    <row r="446">
      <c r="A446" s="46">
        <v>445.0</v>
      </c>
      <c r="B446" s="47" t="str">
        <f>'Project Stocktaking Template'!B447</f>
        <v>RENOVATION AT GAWASCO TREATMENT CENTRE</v>
      </c>
      <c r="C446" s="47" t="str">
        <f>'Project Stocktaking Template'!H447</f>
        <v>GarissaTownship</v>
      </c>
      <c r="D446" s="47" t="str">
        <f>'Project Stocktaking Template'!I447</f>
        <v>Township</v>
      </c>
      <c r="E446" s="48" t="str">
        <f>'Project Stocktaking Template'!O447</f>
        <v>1st aug 2023</v>
      </c>
      <c r="F446" s="48" t="str">
        <f>'Project Stocktaking Template'!P447</f>
        <v>30th june 2024</v>
      </c>
      <c r="G446" s="48" t="str">
        <f>'Project Stocktaking Template'!Q447</f>
        <v>30th june 2024</v>
      </c>
      <c r="H446" s="49">
        <f>'Project Stocktaking Template'!R447</f>
        <v>840000</v>
      </c>
      <c r="I446" s="50" t="str">
        <f>'Project Stocktaking Template'!AD447</f>
        <v>Completed</v>
      </c>
      <c r="J446" s="45"/>
      <c r="K446" s="45"/>
      <c r="L446" s="45"/>
      <c r="M446" s="45"/>
      <c r="N446" s="45"/>
      <c r="O446" s="45"/>
      <c r="P446" s="45"/>
      <c r="Q446" s="45"/>
      <c r="R446" s="45"/>
      <c r="S446" s="45"/>
      <c r="T446" s="45"/>
      <c r="U446" s="45"/>
      <c r="V446" s="45"/>
      <c r="W446" s="45"/>
      <c r="X446" s="45"/>
      <c r="Y446" s="45"/>
      <c r="Z446" s="45"/>
    </row>
    <row r="447">
      <c r="A447" s="51">
        <v>446.0</v>
      </c>
      <c r="B447" s="47" t="str">
        <f>'Project Stocktaking Template'!B448</f>
        <v>RENNOVATION OF ECD CLASSROOM AT BULA MZURI PRIMARY</v>
      </c>
      <c r="C447" s="47" t="str">
        <f>'Project Stocktaking Template'!H448</f>
        <v>GarissaTownship</v>
      </c>
      <c r="D447" s="47" t="str">
        <f>'Project Stocktaking Template'!I448</f>
        <v>Township</v>
      </c>
      <c r="E447" s="48" t="str">
        <f>'Project Stocktaking Template'!O448</f>
        <v>1st aug 2023</v>
      </c>
      <c r="F447" s="48" t="str">
        <f>'Project Stocktaking Template'!P448</f>
        <v>30th june 2024</v>
      </c>
      <c r="G447" s="48" t="str">
        <f>'Project Stocktaking Template'!Q448</f>
        <v>30th june 2024</v>
      </c>
      <c r="H447" s="49">
        <f>'Project Stocktaking Template'!R448</f>
        <v>1520000</v>
      </c>
      <c r="I447" s="50" t="str">
        <f>'Project Stocktaking Template'!AD448</f>
        <v>Completed</v>
      </c>
      <c r="J447" s="45"/>
      <c r="K447" s="45"/>
      <c r="L447" s="45"/>
      <c r="M447" s="45"/>
      <c r="N447" s="45"/>
      <c r="O447" s="45"/>
      <c r="P447" s="45"/>
      <c r="Q447" s="45"/>
      <c r="R447" s="45"/>
      <c r="S447" s="45"/>
      <c r="T447" s="45"/>
      <c r="U447" s="45"/>
      <c r="V447" s="45"/>
      <c r="W447" s="45"/>
      <c r="X447" s="45"/>
      <c r="Y447" s="45"/>
      <c r="Z447" s="45"/>
    </row>
    <row r="448">
      <c r="A448" s="46">
        <v>447.0</v>
      </c>
      <c r="B448" s="47" t="str">
        <f>'Project Stocktaking Template'!B449</f>
        <v>CONSTRUCTION OF UNDERGROUND WATER TANK</v>
      </c>
      <c r="C448" s="47" t="str">
        <f>'Project Stocktaking Template'!H449</f>
        <v>GarissaTownship</v>
      </c>
      <c r="D448" s="47" t="str">
        <f>'Project Stocktaking Template'!I449</f>
        <v>Township</v>
      </c>
      <c r="E448" s="48" t="str">
        <f>'Project Stocktaking Template'!O449</f>
        <v>1st aug 2023</v>
      </c>
      <c r="F448" s="48" t="str">
        <f>'Project Stocktaking Template'!P449</f>
        <v>30th june 2024</v>
      </c>
      <c r="G448" s="48" t="str">
        <f>'Project Stocktaking Template'!Q449</f>
        <v>30th june 2024</v>
      </c>
      <c r="H448" s="49">
        <f>'Project Stocktaking Template'!R449</f>
        <v>2090000</v>
      </c>
      <c r="I448" s="50" t="str">
        <f>'Project Stocktaking Template'!AD449</f>
        <v>Completed</v>
      </c>
      <c r="J448" s="45"/>
      <c r="K448" s="45"/>
      <c r="L448" s="45"/>
      <c r="M448" s="45"/>
      <c r="N448" s="45"/>
      <c r="O448" s="45"/>
      <c r="P448" s="45"/>
      <c r="Q448" s="45"/>
      <c r="R448" s="45"/>
      <c r="S448" s="45"/>
      <c r="T448" s="45"/>
      <c r="U448" s="45"/>
      <c r="V448" s="45"/>
      <c r="W448" s="45"/>
      <c r="X448" s="45"/>
      <c r="Y448" s="45"/>
      <c r="Z448" s="45"/>
    </row>
    <row r="449">
      <c r="A449" s="51">
        <v>448.0</v>
      </c>
      <c r="B449" s="47" t="str">
        <f>'Project Stocktaking Template'!B450</f>
        <v>CONSTRUCTION OF WARD ADMIN AT BANANE</v>
      </c>
      <c r="C449" s="47" t="str">
        <f>'Project Stocktaking Template'!H450</f>
        <v>Lagdera</v>
      </c>
      <c r="D449" s="47" t="str">
        <f>'Project Stocktaking Template'!I450</f>
        <v>Benane</v>
      </c>
      <c r="E449" s="48" t="str">
        <f>'Project Stocktaking Template'!O450</f>
        <v>1st aug 2023</v>
      </c>
      <c r="F449" s="48" t="str">
        <f>'Project Stocktaking Template'!P450</f>
        <v>30th june 2024</v>
      </c>
      <c r="G449" s="48" t="str">
        <f>'Project Stocktaking Template'!Q450</f>
        <v>30th june 2024</v>
      </c>
      <c r="H449" s="49">
        <f>'Project Stocktaking Template'!R450</f>
        <v>855000</v>
      </c>
      <c r="I449" s="50" t="str">
        <f>'Project Stocktaking Template'!AD450</f>
        <v>Completed</v>
      </c>
      <c r="J449" s="45"/>
      <c r="K449" s="45"/>
      <c r="L449" s="45"/>
      <c r="M449" s="45"/>
      <c r="N449" s="45"/>
      <c r="O449" s="45"/>
      <c r="P449" s="45"/>
      <c r="Q449" s="45"/>
      <c r="R449" s="45"/>
      <c r="S449" s="45"/>
      <c r="T449" s="45"/>
      <c r="U449" s="45"/>
      <c r="V449" s="45"/>
      <c r="W449" s="45"/>
      <c r="X449" s="45"/>
      <c r="Y449" s="45"/>
      <c r="Z449" s="45"/>
    </row>
    <row r="450">
      <c r="A450" s="46">
        <v>449.0</v>
      </c>
      <c r="B450" s="47" t="str">
        <f>'Project Stocktaking Template'!B451</f>
        <v>CONSTRUCTION OF WARD ADMIN</v>
      </c>
      <c r="C450" s="47" t="str">
        <f>'Project Stocktaking Template'!H451</f>
        <v>GarissaTownship</v>
      </c>
      <c r="D450" s="47" t="str">
        <f>'Project Stocktaking Template'!I451</f>
        <v>Township</v>
      </c>
      <c r="E450" s="48" t="str">
        <f>'Project Stocktaking Template'!O451</f>
        <v>1st aug 2023</v>
      </c>
      <c r="F450" s="48" t="str">
        <f>'Project Stocktaking Template'!P451</f>
        <v>30th june 2024</v>
      </c>
      <c r="G450" s="48" t="str">
        <f>'Project Stocktaking Template'!Q451</f>
        <v>30th june 2024</v>
      </c>
      <c r="H450" s="49">
        <f>'Project Stocktaking Template'!R451</f>
        <v>2130755</v>
      </c>
      <c r="I450" s="50" t="str">
        <f>'Project Stocktaking Template'!AD451</f>
        <v>Completed</v>
      </c>
      <c r="J450" s="45"/>
      <c r="K450" s="45"/>
      <c r="L450" s="45"/>
      <c r="M450" s="45"/>
      <c r="N450" s="45"/>
      <c r="O450" s="45"/>
      <c r="P450" s="45"/>
      <c r="Q450" s="45"/>
      <c r="R450" s="45"/>
      <c r="S450" s="45"/>
      <c r="T450" s="45"/>
      <c r="U450" s="45"/>
      <c r="V450" s="45"/>
      <c r="W450" s="45"/>
      <c r="X450" s="45"/>
      <c r="Y450" s="45"/>
      <c r="Z450" s="45"/>
    </row>
    <row r="451">
      <c r="A451" s="51">
        <v>450.0</v>
      </c>
      <c r="B451" s="47" t="str">
        <f>'Project Stocktaking Template'!B452</f>
        <v>CONSTRUCTION OF WARD ADMIN</v>
      </c>
      <c r="C451" s="47" t="str">
        <f>'Project Stocktaking Template'!H452</f>
        <v>GarissaTownship</v>
      </c>
      <c r="D451" s="47" t="str">
        <f>'Project Stocktaking Template'!I452</f>
        <v>Township</v>
      </c>
      <c r="E451" s="48" t="str">
        <f>'Project Stocktaking Template'!O452</f>
        <v>1st aug 2023</v>
      </c>
      <c r="F451" s="48" t="str">
        <f>'Project Stocktaking Template'!P452</f>
        <v>30th june 2024</v>
      </c>
      <c r="G451" s="48" t="str">
        <f>'Project Stocktaking Template'!Q452</f>
        <v>30th june 2024</v>
      </c>
      <c r="H451" s="49">
        <f>'Project Stocktaking Template'!R452</f>
        <v>2414137</v>
      </c>
      <c r="I451" s="50" t="str">
        <f>'Project Stocktaking Template'!AD452</f>
        <v>Completed</v>
      </c>
      <c r="J451" s="45"/>
      <c r="K451" s="45"/>
      <c r="L451" s="45"/>
      <c r="M451" s="45"/>
      <c r="N451" s="45"/>
      <c r="O451" s="45"/>
      <c r="P451" s="45"/>
      <c r="Q451" s="45"/>
      <c r="R451" s="45"/>
      <c r="S451" s="45"/>
      <c r="T451" s="45"/>
      <c r="U451" s="45"/>
      <c r="V451" s="45"/>
      <c r="W451" s="45"/>
      <c r="X451" s="45"/>
      <c r="Y451" s="45"/>
      <c r="Z451" s="45"/>
    </row>
    <row r="452">
      <c r="A452" s="46">
        <v>451.0</v>
      </c>
      <c r="B452" s="47" t="str">
        <f>'Project Stocktaking Template'!B453</f>
        <v>REPAIR OF MOTOR VEHICLE</v>
      </c>
      <c r="C452" s="47" t="str">
        <f>'Project Stocktaking Template'!H453</f>
        <v>GarissaTownship</v>
      </c>
      <c r="D452" s="47" t="str">
        <f>'Project Stocktaking Template'!I453</f>
        <v>Township</v>
      </c>
      <c r="E452" s="48" t="str">
        <f>'Project Stocktaking Template'!O453</f>
        <v>1st aug 2023</v>
      </c>
      <c r="F452" s="48" t="str">
        <f>'Project Stocktaking Template'!P453</f>
        <v>30th june 2024</v>
      </c>
      <c r="G452" s="48" t="str">
        <f>'Project Stocktaking Template'!Q453</f>
        <v>30th june 2024</v>
      </c>
      <c r="H452" s="49">
        <f>'Project Stocktaking Template'!R453</f>
        <v>19864780</v>
      </c>
      <c r="I452" s="50" t="str">
        <f>'Project Stocktaking Template'!AD453</f>
        <v>Completed</v>
      </c>
      <c r="J452" s="45"/>
      <c r="K452" s="45"/>
      <c r="L452" s="45"/>
      <c r="M452" s="45"/>
      <c r="N452" s="45"/>
      <c r="O452" s="45"/>
      <c r="P452" s="45"/>
      <c r="Q452" s="45"/>
      <c r="R452" s="45"/>
      <c r="S452" s="45"/>
      <c r="T452" s="45"/>
      <c r="U452" s="45"/>
      <c r="V452" s="45"/>
      <c r="W452" s="45"/>
      <c r="X452" s="45"/>
      <c r="Y452" s="45"/>
      <c r="Z452" s="45"/>
    </row>
    <row r="453">
      <c r="A453" s="51">
        <v>452.0</v>
      </c>
      <c r="B453" s="47" t="str">
        <f>'Project Stocktaking Template'!B454</f>
        <v>HIRE OF TRANSPORT</v>
      </c>
      <c r="C453" s="47" t="str">
        <f>'Project Stocktaking Template'!H454</f>
        <v>GarissaTownship</v>
      </c>
      <c r="D453" s="47" t="str">
        <f>'Project Stocktaking Template'!I454</f>
        <v>Township</v>
      </c>
      <c r="E453" s="48" t="str">
        <f>'Project Stocktaking Template'!O454</f>
        <v>1st aug 2023</v>
      </c>
      <c r="F453" s="48" t="str">
        <f>'Project Stocktaking Template'!P454</f>
        <v>30th june 2024</v>
      </c>
      <c r="G453" s="48" t="str">
        <f>'Project Stocktaking Template'!Q454</f>
        <v>30th june 2024</v>
      </c>
      <c r="H453" s="49">
        <f>'Project Stocktaking Template'!R454</f>
        <v>2450000</v>
      </c>
      <c r="I453" s="50" t="str">
        <f>'Project Stocktaking Template'!AD454</f>
        <v>Completed</v>
      </c>
      <c r="J453" s="45"/>
      <c r="K453" s="45"/>
      <c r="L453" s="45"/>
      <c r="M453" s="45"/>
      <c r="N453" s="45"/>
      <c r="O453" s="45"/>
      <c r="P453" s="45"/>
      <c r="Q453" s="45"/>
      <c r="R453" s="45"/>
      <c r="S453" s="45"/>
      <c r="T453" s="45"/>
      <c r="U453" s="45"/>
      <c r="V453" s="45"/>
      <c r="W453" s="45"/>
      <c r="X453" s="45"/>
      <c r="Y453" s="45"/>
      <c r="Z453" s="45"/>
    </row>
    <row r="454">
      <c r="A454" s="46">
        <v>453.0</v>
      </c>
      <c r="B454" s="47" t="str">
        <f>'Project Stocktaking Template'!B455</f>
        <v>CONSTRUCTION OF WARD ADMIN</v>
      </c>
      <c r="C454" s="47" t="str">
        <f>'Project Stocktaking Template'!H455</f>
        <v>GarissaTownship</v>
      </c>
      <c r="D454" s="47" t="str">
        <f>'Project Stocktaking Template'!I455</f>
        <v>Township</v>
      </c>
      <c r="E454" s="48" t="str">
        <f>'Project Stocktaking Template'!O455</f>
        <v>1st aug 2023</v>
      </c>
      <c r="F454" s="48" t="str">
        <f>'Project Stocktaking Template'!P455</f>
        <v>30th june 2024</v>
      </c>
      <c r="G454" s="48" t="str">
        <f>'Project Stocktaking Template'!Q455</f>
        <v>30th june 2024</v>
      </c>
      <c r="H454" s="49">
        <f>'Project Stocktaking Template'!R455</f>
        <v>2519665</v>
      </c>
      <c r="I454" s="50" t="str">
        <f>'Project Stocktaking Template'!AD455</f>
        <v>Completed</v>
      </c>
      <c r="J454" s="45"/>
      <c r="K454" s="45"/>
      <c r="L454" s="45"/>
      <c r="M454" s="45"/>
      <c r="N454" s="45"/>
      <c r="O454" s="45"/>
      <c r="P454" s="45"/>
      <c r="Q454" s="45"/>
      <c r="R454" s="45"/>
      <c r="S454" s="45"/>
      <c r="T454" s="45"/>
      <c r="U454" s="45"/>
      <c r="V454" s="45"/>
      <c r="W454" s="45"/>
      <c r="X454" s="45"/>
      <c r="Y454" s="45"/>
      <c r="Z454" s="45"/>
    </row>
    <row r="455">
      <c r="A455" s="51">
        <v>454.0</v>
      </c>
      <c r="B455" s="47" t="str">
        <f>'Project Stocktaking Template'!B456</f>
        <v>CONSTRUCTION OF WARD ADMIN</v>
      </c>
      <c r="C455" s="47" t="str">
        <f>'Project Stocktaking Template'!H456</f>
        <v>GarissaTownship</v>
      </c>
      <c r="D455" s="47" t="str">
        <f>'Project Stocktaking Template'!I456</f>
        <v>Township</v>
      </c>
      <c r="E455" s="48" t="str">
        <f>'Project Stocktaking Template'!O456</f>
        <v>1st aug 2023</v>
      </c>
      <c r="F455" s="48" t="str">
        <f>'Project Stocktaking Template'!P456</f>
        <v>30th june 2024</v>
      </c>
      <c r="G455" s="48" t="str">
        <f>'Project Stocktaking Template'!Q456</f>
        <v>30th june 2024</v>
      </c>
      <c r="H455" s="49">
        <f>'Project Stocktaking Template'!R456</f>
        <v>2811759</v>
      </c>
      <c r="I455" s="50" t="str">
        <f>'Project Stocktaking Template'!AD456</f>
        <v>Completed</v>
      </c>
      <c r="J455" s="45"/>
      <c r="K455" s="45"/>
      <c r="L455" s="45"/>
      <c r="M455" s="45"/>
      <c r="N455" s="45"/>
      <c r="O455" s="45"/>
      <c r="P455" s="45"/>
      <c r="Q455" s="45"/>
      <c r="R455" s="45"/>
      <c r="S455" s="45"/>
      <c r="T455" s="45"/>
      <c r="U455" s="45"/>
      <c r="V455" s="45"/>
      <c r="W455" s="45"/>
      <c r="X455" s="45"/>
      <c r="Y455" s="45"/>
      <c r="Z455" s="45"/>
    </row>
    <row r="456">
      <c r="A456" s="46">
        <v>455.0</v>
      </c>
      <c r="B456" s="47" t="str">
        <f>'Project Stocktaking Template'!B457</f>
        <v>DESILTING AND EXPANSION OF MOIT WATER PAN PROJECT</v>
      </c>
      <c r="C456" s="47" t="str">
        <f>'Project Stocktaking Template'!H457</f>
        <v>GarissaTownship</v>
      </c>
      <c r="D456" s="47" t="str">
        <f>'Project Stocktaking Template'!I457</f>
        <v>Township</v>
      </c>
      <c r="E456" s="48" t="str">
        <f>'Project Stocktaking Template'!O457</f>
        <v>1st aug 2023</v>
      </c>
      <c r="F456" s="48" t="str">
        <f>'Project Stocktaking Template'!P457</f>
        <v>30th june 2024</v>
      </c>
      <c r="G456" s="48" t="str">
        <f>'Project Stocktaking Template'!Q457</f>
        <v>30th june 2024</v>
      </c>
      <c r="H456" s="49">
        <f>'Project Stocktaking Template'!R457</f>
        <v>3388887</v>
      </c>
      <c r="I456" s="50" t="str">
        <f>'Project Stocktaking Template'!AD457</f>
        <v>Completed</v>
      </c>
      <c r="J456" s="45"/>
      <c r="K456" s="45"/>
      <c r="L456" s="45"/>
      <c r="M456" s="45"/>
      <c r="N456" s="45"/>
      <c r="O456" s="45"/>
      <c r="P456" s="45"/>
      <c r="Q456" s="45"/>
      <c r="R456" s="45"/>
      <c r="S456" s="45"/>
      <c r="T456" s="45"/>
      <c r="U456" s="45"/>
      <c r="V456" s="45"/>
      <c r="W456" s="45"/>
      <c r="X456" s="45"/>
      <c r="Y456" s="45"/>
      <c r="Z456" s="45"/>
    </row>
    <row r="457">
      <c r="A457" s="51">
        <v>456.0</v>
      </c>
      <c r="B457" s="47" t="str">
        <f>'Project Stocktaking Template'!B458</f>
        <v>RENOVATION OF ECD CLASSROOM</v>
      </c>
      <c r="C457" s="47" t="str">
        <f>'Project Stocktaking Template'!H458</f>
        <v>GarissaTownship</v>
      </c>
      <c r="D457" s="47" t="str">
        <f>'Project Stocktaking Template'!I458</f>
        <v>Township</v>
      </c>
      <c r="E457" s="48" t="str">
        <f>'Project Stocktaking Template'!O458</f>
        <v>1st aug 2023</v>
      </c>
      <c r="F457" s="48" t="str">
        <f>'Project Stocktaking Template'!P458</f>
        <v>30th june 2024</v>
      </c>
      <c r="G457" s="48" t="str">
        <f>'Project Stocktaking Template'!Q458</f>
        <v>30th june 2024</v>
      </c>
      <c r="H457" s="49">
        <f>'Project Stocktaking Template'!R458</f>
        <v>1200000</v>
      </c>
      <c r="I457" s="50" t="str">
        <f>'Project Stocktaking Template'!AD458</f>
        <v>Completed</v>
      </c>
      <c r="J457" s="45"/>
      <c r="K457" s="45"/>
      <c r="L457" s="45"/>
      <c r="M457" s="45"/>
      <c r="N457" s="45"/>
      <c r="O457" s="45"/>
      <c r="P457" s="45"/>
      <c r="Q457" s="45"/>
      <c r="R457" s="45"/>
      <c r="S457" s="45"/>
      <c r="T457" s="45"/>
      <c r="U457" s="45"/>
      <c r="V457" s="45"/>
      <c r="W457" s="45"/>
      <c r="X457" s="45"/>
      <c r="Y457" s="45"/>
      <c r="Z457" s="45"/>
    </row>
    <row r="458">
      <c r="A458" s="46">
        <v>457.0</v>
      </c>
      <c r="B458" s="47" t="str">
        <f>'Project Stocktaking Template'!B459</f>
        <v>RENNOVATION</v>
      </c>
      <c r="C458" s="47" t="str">
        <f>'Project Stocktaking Template'!H459</f>
        <v>GarissaTownship</v>
      </c>
      <c r="D458" s="47" t="str">
        <f>'Project Stocktaking Template'!I459</f>
        <v>Township</v>
      </c>
      <c r="E458" s="48" t="str">
        <f>'Project Stocktaking Template'!O459</f>
        <v>1st aug 2023</v>
      </c>
      <c r="F458" s="48" t="str">
        <f>'Project Stocktaking Template'!P459</f>
        <v>30th june 2024</v>
      </c>
      <c r="G458" s="48" t="str">
        <f>'Project Stocktaking Template'!Q459</f>
        <v>30th june 2024</v>
      </c>
      <c r="H458" s="49">
        <f>'Project Stocktaking Template'!R459</f>
        <v>3865000</v>
      </c>
      <c r="I458" s="50" t="str">
        <f>'Project Stocktaking Template'!AD459</f>
        <v>Completed</v>
      </c>
      <c r="J458" s="45"/>
      <c r="K458" s="45"/>
      <c r="L458" s="45"/>
      <c r="M458" s="45"/>
      <c r="N458" s="45"/>
      <c r="O458" s="45"/>
      <c r="P458" s="45"/>
      <c r="Q458" s="45"/>
      <c r="R458" s="45"/>
      <c r="S458" s="45"/>
      <c r="T458" s="45"/>
      <c r="U458" s="45"/>
      <c r="V458" s="45"/>
      <c r="W458" s="45"/>
      <c r="X458" s="45"/>
      <c r="Y458" s="45"/>
      <c r="Z458" s="45"/>
    </row>
    <row r="459">
      <c r="A459" s="51">
        <v>458.0</v>
      </c>
      <c r="B459" s="47" t="str">
        <f>'Project Stocktaking Template'!B460</f>
        <v>CHAINLINK FENCE AT AQAL ARR</v>
      </c>
      <c r="C459" s="47" t="str">
        <f>'Project Stocktaking Template'!H460</f>
        <v>Dadaab</v>
      </c>
      <c r="D459" s="47" t="str">
        <f>'Project Stocktaking Template'!I460</f>
        <v>Dadaab</v>
      </c>
      <c r="E459" s="48" t="str">
        <f>'Project Stocktaking Template'!O460</f>
        <v>1st aug 2023</v>
      </c>
      <c r="F459" s="48" t="str">
        <f>'Project Stocktaking Template'!P460</f>
        <v>30th june 2024</v>
      </c>
      <c r="G459" s="48" t="str">
        <f>'Project Stocktaking Template'!Q460</f>
        <v>30th june 2024</v>
      </c>
      <c r="H459" s="49">
        <f>'Project Stocktaking Template'!R460</f>
        <v>4526200</v>
      </c>
      <c r="I459" s="50" t="str">
        <f>'Project Stocktaking Template'!AD460</f>
        <v>Completed</v>
      </c>
      <c r="J459" s="45"/>
      <c r="K459" s="45"/>
      <c r="L459" s="45"/>
      <c r="M459" s="45"/>
      <c r="N459" s="45"/>
      <c r="O459" s="45"/>
      <c r="P459" s="45"/>
      <c r="Q459" s="45"/>
      <c r="R459" s="45"/>
      <c r="S459" s="45"/>
      <c r="T459" s="45"/>
      <c r="U459" s="45"/>
      <c r="V459" s="45"/>
      <c r="W459" s="45"/>
      <c r="X459" s="45"/>
      <c r="Y459" s="45"/>
      <c r="Z459" s="45"/>
    </row>
    <row r="460">
      <c r="A460" s="46">
        <v>459.0</v>
      </c>
      <c r="B460" s="47" t="str">
        <f>'Project Stocktaking Template'!B461</f>
        <v>CONSTRUCTION OF BULA MADINA ROAD</v>
      </c>
      <c r="C460" s="47" t="str">
        <f>'Project Stocktaking Template'!H461</f>
        <v>GarissaTownship</v>
      </c>
      <c r="D460" s="47" t="str">
        <f>'Project Stocktaking Template'!I461</f>
        <v>Township</v>
      </c>
      <c r="E460" s="48" t="str">
        <f>'Project Stocktaking Template'!O461</f>
        <v>1st aug 2023</v>
      </c>
      <c r="F460" s="48" t="str">
        <f>'Project Stocktaking Template'!P461</f>
        <v>30th june 2024</v>
      </c>
      <c r="G460" s="48" t="str">
        <f>'Project Stocktaking Template'!Q461</f>
        <v>30th june 2024</v>
      </c>
      <c r="H460" s="49">
        <f>'Project Stocktaking Template'!R461</f>
        <v>5000000</v>
      </c>
      <c r="I460" s="50" t="str">
        <f>'Project Stocktaking Template'!AD461</f>
        <v>Completed</v>
      </c>
      <c r="J460" s="45"/>
      <c r="K460" s="45"/>
      <c r="L460" s="45"/>
      <c r="M460" s="45"/>
      <c r="N460" s="45"/>
      <c r="O460" s="45"/>
      <c r="P460" s="45"/>
      <c r="Q460" s="45"/>
      <c r="R460" s="45"/>
      <c r="S460" s="45"/>
      <c r="T460" s="45"/>
      <c r="U460" s="45"/>
      <c r="V460" s="45"/>
      <c r="W460" s="45"/>
      <c r="X460" s="45"/>
      <c r="Y460" s="45"/>
      <c r="Z460" s="45"/>
    </row>
    <row r="461">
      <c r="A461" s="51">
        <v>460.0</v>
      </c>
      <c r="B461" s="47" t="str">
        <f>'Project Stocktaking Template'!B462</f>
        <v>FACELIFT AT ADMIN BLOCK</v>
      </c>
      <c r="C461" s="47" t="str">
        <f>'Project Stocktaking Template'!H462</f>
        <v>GarissaTownship</v>
      </c>
      <c r="D461" s="47" t="str">
        <f>'Project Stocktaking Template'!I462</f>
        <v>Township</v>
      </c>
      <c r="E461" s="48" t="str">
        <f>'Project Stocktaking Template'!O462</f>
        <v>1st aug 2023</v>
      </c>
      <c r="F461" s="48" t="str">
        <f>'Project Stocktaking Template'!P462</f>
        <v>30th june 2024</v>
      </c>
      <c r="G461" s="48" t="str">
        <f>'Project Stocktaking Template'!Q462</f>
        <v>30th june 2024</v>
      </c>
      <c r="H461" s="49">
        <f>'Project Stocktaking Template'!R462</f>
        <v>9975000</v>
      </c>
      <c r="I461" s="50" t="str">
        <f>'Project Stocktaking Template'!AD462</f>
        <v>Completed</v>
      </c>
      <c r="J461" s="45"/>
      <c r="K461" s="45"/>
      <c r="L461" s="45"/>
      <c r="M461" s="45"/>
      <c r="N461" s="45"/>
      <c r="O461" s="45"/>
      <c r="P461" s="45"/>
      <c r="Q461" s="45"/>
      <c r="R461" s="45"/>
      <c r="S461" s="45"/>
      <c r="T461" s="45"/>
      <c r="U461" s="45"/>
      <c r="V461" s="45"/>
      <c r="W461" s="45"/>
      <c r="X461" s="45"/>
      <c r="Y461" s="45"/>
      <c r="Z461" s="45"/>
    </row>
    <row r="462">
      <c r="A462" s="46">
        <v>461.0</v>
      </c>
      <c r="B462" s="47" t="str">
        <f>'Project Stocktaking Template'!B463</f>
        <v>CONSTRUCTION OF MOIT WATER PAN</v>
      </c>
      <c r="C462" s="47" t="str">
        <f>'Project Stocktaking Template'!H463</f>
        <v>GarissaTownship</v>
      </c>
      <c r="D462" s="47" t="str">
        <f>'Project Stocktaking Template'!I463</f>
        <v>Township</v>
      </c>
      <c r="E462" s="48" t="str">
        <f>'Project Stocktaking Template'!O463</f>
        <v>1st aug 2023</v>
      </c>
      <c r="F462" s="48" t="str">
        <f>'Project Stocktaking Template'!P463</f>
        <v>30th june 2024</v>
      </c>
      <c r="G462" s="48" t="str">
        <f>'Project Stocktaking Template'!Q463</f>
        <v>30th june 2024</v>
      </c>
      <c r="H462" s="49">
        <f>'Project Stocktaking Template'!R463</f>
        <v>1500000</v>
      </c>
      <c r="I462" s="50" t="str">
        <f>'Project Stocktaking Template'!AD463</f>
        <v>Completed</v>
      </c>
      <c r="J462" s="45"/>
      <c r="K462" s="45"/>
      <c r="L462" s="45"/>
      <c r="M462" s="45"/>
      <c r="N462" s="45"/>
      <c r="O462" s="45"/>
      <c r="P462" s="45"/>
      <c r="Q462" s="45"/>
      <c r="R462" s="45"/>
      <c r="S462" s="45"/>
      <c r="T462" s="45"/>
      <c r="U462" s="45"/>
      <c r="V462" s="45"/>
      <c r="W462" s="45"/>
      <c r="X462" s="45"/>
      <c r="Y462" s="45"/>
      <c r="Z462" s="45"/>
    </row>
    <row r="463">
      <c r="A463" s="51">
        <v>462.0</v>
      </c>
      <c r="B463" s="47" t="str">
        <f>'Project Stocktaking Template'!B464</f>
        <v>PURCHASE OF MOTOR VEHICHLE</v>
      </c>
      <c r="C463" s="47" t="str">
        <f>'Project Stocktaking Template'!H464</f>
        <v>GarissaTownship</v>
      </c>
      <c r="D463" s="47" t="str">
        <f>'Project Stocktaking Template'!I464</f>
        <v>Township</v>
      </c>
      <c r="E463" s="48" t="str">
        <f>'Project Stocktaking Template'!O464</f>
        <v>1st aug 2024</v>
      </c>
      <c r="F463" s="48" t="str">
        <f>'Project Stocktaking Template'!P464</f>
        <v>30th june 2025</v>
      </c>
      <c r="G463" s="48" t="str">
        <f>'Project Stocktaking Template'!Q464</f>
        <v>30th june 2025</v>
      </c>
      <c r="H463" s="49">
        <f>'Project Stocktaking Template'!R464</f>
        <v>20700000</v>
      </c>
      <c r="I463" s="50" t="str">
        <f>'Project Stocktaking Template'!AD464</f>
        <v/>
      </c>
      <c r="J463" s="45"/>
      <c r="K463" s="45"/>
      <c r="L463" s="45"/>
      <c r="M463" s="45"/>
      <c r="N463" s="45"/>
      <c r="O463" s="45"/>
      <c r="P463" s="45"/>
      <c r="Q463" s="45"/>
      <c r="R463" s="45"/>
      <c r="S463" s="45"/>
      <c r="T463" s="45"/>
      <c r="U463" s="45"/>
      <c r="V463" s="45"/>
      <c r="W463" s="45"/>
      <c r="X463" s="45"/>
      <c r="Y463" s="45"/>
      <c r="Z463" s="45"/>
    </row>
    <row r="464">
      <c r="A464" s="46">
        <v>463.0</v>
      </c>
      <c r="B464" s="47" t="str">
        <f>'Project Stocktaking Template'!B465</f>
        <v>PURCHASE OF MOTOR VEHICHLE</v>
      </c>
      <c r="C464" s="47" t="str">
        <f>'Project Stocktaking Template'!H465</f>
        <v>GarissaTownship</v>
      </c>
      <c r="D464" s="47" t="str">
        <f>'Project Stocktaking Template'!I465</f>
        <v>Township</v>
      </c>
      <c r="E464" s="48" t="str">
        <f>'Project Stocktaking Template'!O465</f>
        <v>1st aug 2024</v>
      </c>
      <c r="F464" s="48" t="str">
        <f>'Project Stocktaking Template'!P465</f>
        <v>30th june 2025</v>
      </c>
      <c r="G464" s="48" t="str">
        <f>'Project Stocktaking Template'!Q465</f>
        <v>30th june 2025</v>
      </c>
      <c r="H464" s="49">
        <f>'Project Stocktaking Template'!R465</f>
        <v>23000000</v>
      </c>
      <c r="I464" s="50" t="str">
        <f>'Project Stocktaking Template'!AD465</f>
        <v/>
      </c>
      <c r="J464" s="45"/>
      <c r="K464" s="45"/>
      <c r="L464" s="45"/>
      <c r="M464" s="45"/>
      <c r="N464" s="45"/>
      <c r="O464" s="45"/>
      <c r="P464" s="45"/>
      <c r="Q464" s="45"/>
      <c r="R464" s="45"/>
      <c r="S464" s="45"/>
      <c r="T464" s="45"/>
      <c r="U464" s="45"/>
      <c r="V464" s="45"/>
      <c r="W464" s="45"/>
      <c r="X464" s="45"/>
      <c r="Y464" s="45"/>
      <c r="Z464" s="45"/>
    </row>
    <row r="465">
      <c r="A465" s="51">
        <v>464.0</v>
      </c>
      <c r="B465" s="47" t="str">
        <f>'Project Stocktaking Template'!B466</f>
        <v>MEDICAL LAB EQUIPTMENT</v>
      </c>
      <c r="C465" s="47" t="str">
        <f>'Project Stocktaking Template'!H466</f>
        <v>GarissaTownship</v>
      </c>
      <c r="D465" s="47" t="str">
        <f>'Project Stocktaking Template'!I466</f>
        <v>Township</v>
      </c>
      <c r="E465" s="48" t="str">
        <f>'Project Stocktaking Template'!O466</f>
        <v>1st aug 2024</v>
      </c>
      <c r="F465" s="48" t="str">
        <f>'Project Stocktaking Template'!P466</f>
        <v>30th june 2025</v>
      </c>
      <c r="G465" s="48" t="str">
        <f>'Project Stocktaking Template'!Q466</f>
        <v>30th june 2025</v>
      </c>
      <c r="H465" s="49">
        <f>'Project Stocktaking Template'!R466</f>
        <v>2223000</v>
      </c>
      <c r="I465" s="50" t="str">
        <f>'Project Stocktaking Template'!AD466</f>
        <v/>
      </c>
      <c r="J465" s="45"/>
      <c r="K465" s="45"/>
      <c r="L465" s="45"/>
      <c r="M465" s="45"/>
      <c r="N465" s="45"/>
      <c r="O465" s="45"/>
      <c r="P465" s="45"/>
      <c r="Q465" s="45"/>
      <c r="R465" s="45"/>
      <c r="S465" s="45"/>
      <c r="T465" s="45"/>
      <c r="U465" s="45"/>
      <c r="V465" s="45"/>
      <c r="W465" s="45"/>
      <c r="X465" s="45"/>
      <c r="Y465" s="45"/>
      <c r="Z465" s="45"/>
    </row>
    <row r="466">
      <c r="A466" s="46">
        <v>465.0</v>
      </c>
      <c r="B466" s="47" t="str">
        <f>'Project Stocktaking Template'!B467</f>
        <v>SUPPLY OF MEDICAL EQUIPTMENT</v>
      </c>
      <c r="C466" s="47" t="str">
        <f>'Project Stocktaking Template'!H467</f>
        <v>GarissaTownship</v>
      </c>
      <c r="D466" s="47" t="str">
        <f>'Project Stocktaking Template'!I467</f>
        <v>Township</v>
      </c>
      <c r="E466" s="48" t="str">
        <f>'Project Stocktaking Template'!O467</f>
        <v>1st aug 2024</v>
      </c>
      <c r="F466" s="48" t="str">
        <f>'Project Stocktaking Template'!P467</f>
        <v>30th june 2025</v>
      </c>
      <c r="G466" s="48" t="str">
        <f>'Project Stocktaking Template'!Q467</f>
        <v>30th june 2025</v>
      </c>
      <c r="H466" s="49">
        <f>'Project Stocktaking Template'!R467</f>
        <v>14680498</v>
      </c>
      <c r="I466" s="50" t="str">
        <f>'Project Stocktaking Template'!AD467</f>
        <v/>
      </c>
      <c r="J466" s="45"/>
      <c r="K466" s="45"/>
      <c r="L466" s="45"/>
      <c r="M466" s="45"/>
      <c r="N466" s="45"/>
      <c r="O466" s="45"/>
      <c r="P466" s="45"/>
      <c r="Q466" s="45"/>
      <c r="R466" s="45"/>
      <c r="S466" s="45"/>
      <c r="T466" s="45"/>
      <c r="U466" s="45"/>
      <c r="V466" s="45"/>
      <c r="W466" s="45"/>
      <c r="X466" s="45"/>
      <c r="Y466" s="45"/>
      <c r="Z466" s="45"/>
    </row>
    <row r="467">
      <c r="A467" s="51">
        <v>466.0</v>
      </c>
      <c r="B467" s="47" t="str">
        <f>'Project Stocktaking Template'!B468</f>
        <v>SUPPLY OF MEDICAL EQUIPTMENT</v>
      </c>
      <c r="C467" s="47" t="str">
        <f>'Project Stocktaking Template'!H468</f>
        <v>GarissaTownship</v>
      </c>
      <c r="D467" s="47" t="str">
        <f>'Project Stocktaking Template'!I468</f>
        <v>Township</v>
      </c>
      <c r="E467" s="48" t="str">
        <f>'Project Stocktaking Template'!O468</f>
        <v>1st aug 2024</v>
      </c>
      <c r="F467" s="48" t="str">
        <f>'Project Stocktaking Template'!P468</f>
        <v>30th june 2025</v>
      </c>
      <c r="G467" s="48" t="str">
        <f>'Project Stocktaking Template'!Q468</f>
        <v>30th june 2025</v>
      </c>
      <c r="H467" s="49">
        <f>'Project Stocktaking Template'!R468</f>
        <v>3560000</v>
      </c>
      <c r="I467" s="50" t="str">
        <f>'Project Stocktaking Template'!AD468</f>
        <v/>
      </c>
      <c r="J467" s="45"/>
      <c r="K467" s="45"/>
      <c r="L467" s="45"/>
      <c r="M467" s="45"/>
      <c r="N467" s="45"/>
      <c r="O467" s="45"/>
      <c r="P467" s="45"/>
      <c r="Q467" s="45"/>
      <c r="R467" s="45"/>
      <c r="S467" s="45"/>
      <c r="T467" s="45"/>
      <c r="U467" s="45"/>
      <c r="V467" s="45"/>
      <c r="W467" s="45"/>
      <c r="X467" s="45"/>
      <c r="Y467" s="45"/>
      <c r="Z467" s="45"/>
    </row>
    <row r="468">
      <c r="A468" s="46">
        <v>467.0</v>
      </c>
      <c r="B468" s="47" t="str">
        <f>'Project Stocktaking Template'!B469</f>
        <v>SUPPLY OF MEDICAL EQUIPTMENT</v>
      </c>
      <c r="C468" s="47" t="str">
        <f>'Project Stocktaking Template'!H469</f>
        <v>GarissaTownship</v>
      </c>
      <c r="D468" s="47" t="str">
        <f>'Project Stocktaking Template'!I469</f>
        <v>Township</v>
      </c>
      <c r="E468" s="48" t="str">
        <f>'Project Stocktaking Template'!O469</f>
        <v>1st aug 2024</v>
      </c>
      <c r="F468" s="48" t="str">
        <f>'Project Stocktaking Template'!P469</f>
        <v>30th june 2025</v>
      </c>
      <c r="G468" s="48" t="str">
        <f>'Project Stocktaking Template'!Q469</f>
        <v>30th june 2025</v>
      </c>
      <c r="H468" s="49">
        <f>'Project Stocktaking Template'!R469</f>
        <v>5802000</v>
      </c>
      <c r="I468" s="50" t="str">
        <f>'Project Stocktaking Template'!AD469</f>
        <v/>
      </c>
      <c r="J468" s="45"/>
      <c r="K468" s="45"/>
      <c r="L468" s="45"/>
      <c r="M468" s="45"/>
      <c r="N468" s="45"/>
      <c r="O468" s="45"/>
      <c r="P468" s="45"/>
      <c r="Q468" s="45"/>
      <c r="R468" s="45"/>
      <c r="S468" s="45"/>
      <c r="T468" s="45"/>
      <c r="U468" s="45"/>
      <c r="V468" s="45"/>
      <c r="W468" s="45"/>
      <c r="X468" s="45"/>
      <c r="Y468" s="45"/>
      <c r="Z468" s="45"/>
    </row>
    <row r="469">
      <c r="A469" s="51">
        <v>468.0</v>
      </c>
      <c r="B469" s="47" t="str">
        <f>'Project Stocktaking Template'!B470</f>
        <v>SUPPLY OF MEDICAL EQUIPTMENT</v>
      </c>
      <c r="C469" s="47" t="str">
        <f>'Project Stocktaking Template'!H470</f>
        <v>GarissaTownship</v>
      </c>
      <c r="D469" s="47" t="str">
        <f>'Project Stocktaking Template'!I470</f>
        <v>Township</v>
      </c>
      <c r="E469" s="48" t="str">
        <f>'Project Stocktaking Template'!O470</f>
        <v>1st aug 2024</v>
      </c>
      <c r="F469" s="48" t="str">
        <f>'Project Stocktaking Template'!P470</f>
        <v>30th june 2025</v>
      </c>
      <c r="G469" s="48" t="str">
        <f>'Project Stocktaking Template'!Q470</f>
        <v>30th june 2025</v>
      </c>
      <c r="H469" s="49">
        <f>'Project Stocktaking Template'!R470</f>
        <v>6379852.1</v>
      </c>
      <c r="I469" s="50" t="str">
        <f>'Project Stocktaking Template'!AD470</f>
        <v/>
      </c>
      <c r="J469" s="45"/>
      <c r="K469" s="45"/>
      <c r="L469" s="45"/>
      <c r="M469" s="45"/>
      <c r="N469" s="45"/>
      <c r="O469" s="45"/>
      <c r="P469" s="45"/>
      <c r="Q469" s="45"/>
      <c r="R469" s="45"/>
      <c r="S469" s="45"/>
      <c r="T469" s="45"/>
      <c r="U469" s="45"/>
      <c r="V469" s="45"/>
      <c r="W469" s="45"/>
      <c r="X469" s="45"/>
      <c r="Y469" s="45"/>
      <c r="Z469" s="45"/>
    </row>
    <row r="470">
      <c r="A470" s="46">
        <v>469.0</v>
      </c>
      <c r="B470" s="47" t="str">
        <f>'Project Stocktaking Template'!B471</f>
        <v>AUGUMENTATION AND REHABILITATION OF MASALANI WATER SUPPLY</v>
      </c>
      <c r="C470" s="47" t="str">
        <f>'Project Stocktaking Template'!H471</f>
        <v>Ijara</v>
      </c>
      <c r="D470" s="47" t="str">
        <f>'Project Stocktaking Template'!I471</f>
        <v>Masalani</v>
      </c>
      <c r="E470" s="48" t="str">
        <f>'Project Stocktaking Template'!O471</f>
        <v>1st aug 2024</v>
      </c>
      <c r="F470" s="48" t="str">
        <f>'Project Stocktaking Template'!P471</f>
        <v>30th june 2025</v>
      </c>
      <c r="G470" s="48" t="str">
        <f>'Project Stocktaking Template'!Q471</f>
        <v>30th june 2025</v>
      </c>
      <c r="H470" s="49">
        <f>'Project Stocktaking Template'!R471</f>
        <v>17000000</v>
      </c>
      <c r="I470" s="50" t="str">
        <f>'Project Stocktaking Template'!AD471</f>
        <v/>
      </c>
      <c r="J470" s="45"/>
      <c r="K470" s="45"/>
      <c r="L470" s="45"/>
      <c r="M470" s="45"/>
      <c r="N470" s="45"/>
      <c r="O470" s="45"/>
      <c r="P470" s="45"/>
      <c r="Q470" s="45"/>
      <c r="R470" s="45"/>
      <c r="S470" s="45"/>
      <c r="T470" s="45"/>
      <c r="U470" s="45"/>
      <c r="V470" s="45"/>
      <c r="W470" s="45"/>
      <c r="X470" s="45"/>
      <c r="Y470" s="45"/>
      <c r="Z470" s="45"/>
    </row>
    <row r="471">
      <c r="A471" s="51">
        <v>470.0</v>
      </c>
      <c r="B471" s="47" t="str">
        <f>'Project Stocktaking Template'!B472</f>
        <v>INSTALLATION OF STREET LIGHT ALONG LAMU ROAD</v>
      </c>
      <c r="C471" s="47" t="str">
        <f>'Project Stocktaking Template'!H472</f>
        <v>GarissaTownship</v>
      </c>
      <c r="D471" s="47" t="str">
        <f>'Project Stocktaking Template'!I472</f>
        <v>Township</v>
      </c>
      <c r="E471" s="48" t="str">
        <f>'Project Stocktaking Template'!O472</f>
        <v>1st aug 2024</v>
      </c>
      <c r="F471" s="48" t="str">
        <f>'Project Stocktaking Template'!P472</f>
        <v>30th june 2025</v>
      </c>
      <c r="G471" s="48" t="str">
        <f>'Project Stocktaking Template'!Q472</f>
        <v>30th june 2025</v>
      </c>
      <c r="H471" s="49">
        <f>'Project Stocktaking Template'!R472</f>
        <v>5144896.55</v>
      </c>
      <c r="I471" s="50" t="str">
        <f>'Project Stocktaking Template'!AD472</f>
        <v/>
      </c>
      <c r="J471" s="45"/>
      <c r="K471" s="45"/>
      <c r="L471" s="45"/>
      <c r="M471" s="45"/>
      <c r="N471" s="45"/>
      <c r="O471" s="45"/>
      <c r="P471" s="45"/>
      <c r="Q471" s="45"/>
      <c r="R471" s="45"/>
      <c r="S471" s="45"/>
      <c r="T471" s="45"/>
      <c r="U471" s="45"/>
      <c r="V471" s="45"/>
      <c r="W471" s="45"/>
      <c r="X471" s="45"/>
      <c r="Y471" s="45"/>
      <c r="Z471" s="45"/>
    </row>
    <row r="472">
      <c r="A472" s="46">
        <v>471.0</v>
      </c>
      <c r="B472" s="47" t="str">
        <f>'Project Stocktaking Template'!B473</f>
        <v>AUGUMENTATION AND REHABILITATION OF MASALANI WATER SUPPLY</v>
      </c>
      <c r="C472" s="47" t="str">
        <f>'Project Stocktaking Template'!H473</f>
        <v>Ijara</v>
      </c>
      <c r="D472" s="47" t="str">
        <f>'Project Stocktaking Template'!I473</f>
        <v>Masalani</v>
      </c>
      <c r="E472" s="48" t="str">
        <f>'Project Stocktaking Template'!O473</f>
        <v>1st aug 2024</v>
      </c>
      <c r="F472" s="48" t="str">
        <f>'Project Stocktaking Template'!P473</f>
        <v>30th june 2025</v>
      </c>
      <c r="G472" s="48" t="str">
        <f>'Project Stocktaking Template'!Q473</f>
        <v>30th june 2025</v>
      </c>
      <c r="H472" s="49">
        <f>'Project Stocktaking Template'!R473</f>
        <v>11038780</v>
      </c>
      <c r="I472" s="50" t="str">
        <f>'Project Stocktaking Template'!AD473</f>
        <v/>
      </c>
      <c r="J472" s="45"/>
      <c r="K472" s="45"/>
      <c r="L472" s="45"/>
      <c r="M472" s="45"/>
      <c r="N472" s="45"/>
      <c r="O472" s="45"/>
      <c r="P472" s="45"/>
      <c r="Q472" s="45"/>
      <c r="R472" s="45"/>
      <c r="S472" s="45"/>
      <c r="T472" s="45"/>
      <c r="U472" s="45"/>
      <c r="V472" s="45"/>
      <c r="W472" s="45"/>
      <c r="X472" s="45"/>
      <c r="Y472" s="45"/>
      <c r="Z472" s="45"/>
    </row>
    <row r="473">
      <c r="A473" s="51">
        <v>472.0</v>
      </c>
      <c r="B473" s="47" t="str">
        <f>'Project Stocktaking Template'!B474</f>
        <v>REPAIR AND PAINTING OF COUNTY HEADQUATER</v>
      </c>
      <c r="C473" s="47" t="str">
        <f>'Project Stocktaking Template'!H474</f>
        <v>GarissaTownship</v>
      </c>
      <c r="D473" s="47" t="str">
        <f>'Project Stocktaking Template'!I474</f>
        <v>Township</v>
      </c>
      <c r="E473" s="48" t="str">
        <f>'Project Stocktaking Template'!O474</f>
        <v>1st aug 2024</v>
      </c>
      <c r="F473" s="48" t="str">
        <f>'Project Stocktaking Template'!P474</f>
        <v>30th june 2025</v>
      </c>
      <c r="G473" s="48" t="str">
        <f>'Project Stocktaking Template'!Q474</f>
        <v>30th june 2025</v>
      </c>
      <c r="H473" s="49">
        <f>'Project Stocktaking Template'!R474</f>
        <v>21512379.7</v>
      </c>
      <c r="I473" s="50" t="str">
        <f>'Project Stocktaking Template'!AD474</f>
        <v/>
      </c>
      <c r="J473" s="45"/>
      <c r="K473" s="45"/>
      <c r="L473" s="45"/>
      <c r="M473" s="45"/>
      <c r="N473" s="45"/>
      <c r="O473" s="45"/>
      <c r="P473" s="45"/>
      <c r="Q473" s="45"/>
      <c r="R473" s="45"/>
      <c r="S473" s="45"/>
      <c r="T473" s="45"/>
      <c r="U473" s="45"/>
      <c r="V473" s="45"/>
      <c r="W473" s="45"/>
      <c r="X473" s="45"/>
      <c r="Y473" s="45"/>
      <c r="Z473" s="45"/>
    </row>
    <row r="474">
      <c r="A474" s="46">
        <v>473.0</v>
      </c>
      <c r="B474" s="47" t="str">
        <f>'Project Stocktaking Template'!B475</f>
        <v>INSTALLATION OF STREET LIGHT ALONG LAMU ROAD</v>
      </c>
      <c r="C474" s="47" t="str">
        <f>'Project Stocktaking Template'!H475</f>
        <v>GarissaTownship</v>
      </c>
      <c r="D474" s="47" t="str">
        <f>'Project Stocktaking Template'!I475</f>
        <v>Township</v>
      </c>
      <c r="E474" s="48" t="str">
        <f>'Project Stocktaking Template'!O475</f>
        <v>1st aug 2024</v>
      </c>
      <c r="F474" s="48" t="str">
        <f>'Project Stocktaking Template'!P475</f>
        <v>30th june 2025</v>
      </c>
      <c r="G474" s="48" t="str">
        <f>'Project Stocktaking Template'!Q475</f>
        <v>30th june 2025</v>
      </c>
      <c r="H474" s="49">
        <f>'Project Stocktaking Template'!R475</f>
        <v>6000000</v>
      </c>
      <c r="I474" s="50" t="str">
        <f>'Project Stocktaking Template'!AD475</f>
        <v/>
      </c>
      <c r="J474" s="45"/>
      <c r="K474" s="45"/>
      <c r="L474" s="45"/>
      <c r="M474" s="45"/>
      <c r="N474" s="45"/>
      <c r="O474" s="45"/>
      <c r="P474" s="45"/>
      <c r="Q474" s="45"/>
      <c r="R474" s="45"/>
      <c r="S474" s="45"/>
      <c r="T474" s="45"/>
      <c r="U474" s="45"/>
      <c r="V474" s="45"/>
      <c r="W474" s="45"/>
      <c r="X474" s="45"/>
      <c r="Y474" s="45"/>
      <c r="Z474" s="45"/>
    </row>
    <row r="475">
      <c r="A475" s="51">
        <v>474.0</v>
      </c>
      <c r="B475" s="47" t="str">
        <f>'Project Stocktaking Template'!B476</f>
        <v>FENCING OF KORAKORA HEALTH CENTRE</v>
      </c>
      <c r="C475" s="47" t="str">
        <f>'Project Stocktaking Template'!H476</f>
        <v>GarissaTownship</v>
      </c>
      <c r="D475" s="47" t="str">
        <f>'Project Stocktaking Template'!I476</f>
        <v>Township</v>
      </c>
      <c r="E475" s="48" t="str">
        <f>'Project Stocktaking Template'!O476</f>
        <v>1st aug 2024</v>
      </c>
      <c r="F475" s="48" t="str">
        <f>'Project Stocktaking Template'!P476</f>
        <v>30th june 2025</v>
      </c>
      <c r="G475" s="48" t="str">
        <f>'Project Stocktaking Template'!Q476</f>
        <v>30th june 2025</v>
      </c>
      <c r="H475" s="49">
        <f>'Project Stocktaking Template'!R476</f>
        <v>12679906.7</v>
      </c>
      <c r="I475" s="50" t="str">
        <f>'Project Stocktaking Template'!AD476</f>
        <v/>
      </c>
      <c r="J475" s="45"/>
      <c r="K475" s="45"/>
      <c r="L475" s="45"/>
      <c r="M475" s="45"/>
      <c r="N475" s="45"/>
      <c r="O475" s="45"/>
      <c r="P475" s="45"/>
      <c r="Q475" s="45"/>
      <c r="R475" s="45"/>
      <c r="S475" s="45"/>
      <c r="T475" s="45"/>
      <c r="U475" s="45"/>
      <c r="V475" s="45"/>
      <c r="W475" s="45"/>
      <c r="X475" s="45"/>
      <c r="Y475" s="45"/>
      <c r="Z475" s="45"/>
    </row>
    <row r="476">
      <c r="A476" s="46">
        <v>475.0</v>
      </c>
      <c r="B476" s="47" t="str">
        <f>'Project Stocktaking Template'!B477</f>
        <v>INSTALLATION OF STREET LIGHT ALONG LAMU ROAD</v>
      </c>
      <c r="C476" s="47" t="str">
        <f>'Project Stocktaking Template'!H477</f>
        <v>GarissaTownship</v>
      </c>
      <c r="D476" s="47" t="str">
        <f>'Project Stocktaking Template'!I477</f>
        <v>Township</v>
      </c>
      <c r="E476" s="48" t="str">
        <f>'Project Stocktaking Template'!O477</f>
        <v>1st aug 2024</v>
      </c>
      <c r="F476" s="48" t="str">
        <f>'Project Stocktaking Template'!P477</f>
        <v>30th june 2025</v>
      </c>
      <c r="G476" s="48" t="str">
        <f>'Project Stocktaking Template'!Q477</f>
        <v>30th june 2025</v>
      </c>
      <c r="H476" s="49">
        <f>'Project Stocktaking Template'!R477</f>
        <v>5100000</v>
      </c>
      <c r="I476" s="50" t="str">
        <f>'Project Stocktaking Template'!AD477</f>
        <v/>
      </c>
      <c r="J476" s="45"/>
      <c r="K476" s="45"/>
      <c r="L476" s="45"/>
      <c r="M476" s="45"/>
      <c r="N476" s="45"/>
      <c r="O476" s="45"/>
      <c r="P476" s="45"/>
      <c r="Q476" s="45"/>
      <c r="R476" s="45"/>
      <c r="S476" s="45"/>
      <c r="T476" s="45"/>
      <c r="U476" s="45"/>
      <c r="V476" s="45"/>
      <c r="W476" s="45"/>
      <c r="X476" s="45"/>
      <c r="Y476" s="45"/>
      <c r="Z476" s="45"/>
    </row>
    <row r="477">
      <c r="A477" s="51">
        <v>476.0</v>
      </c>
      <c r="B477" s="47" t="str">
        <f>'Project Stocktaking Template'!B478</f>
        <v>RENNOVATION OF BALAMBALA ECD </v>
      </c>
      <c r="C477" s="47" t="str">
        <f>'Project Stocktaking Template'!H478</f>
        <v>Balambala</v>
      </c>
      <c r="D477" s="47" t="str">
        <f>'Project Stocktaking Template'!I478</f>
        <v>Balambala</v>
      </c>
      <c r="E477" s="48" t="str">
        <f>'Project Stocktaking Template'!O478</f>
        <v>1st aug 2024</v>
      </c>
      <c r="F477" s="48" t="str">
        <f>'Project Stocktaking Template'!P478</f>
        <v>30th june 2025</v>
      </c>
      <c r="G477" s="48" t="str">
        <f>'Project Stocktaking Template'!Q478</f>
        <v>30th june 2025</v>
      </c>
      <c r="H477" s="49">
        <f>'Project Stocktaking Template'!R478</f>
        <v>2175403</v>
      </c>
      <c r="I477" s="50" t="str">
        <f>'Project Stocktaking Template'!AD478</f>
        <v/>
      </c>
      <c r="J477" s="45"/>
      <c r="K477" s="45"/>
      <c r="L477" s="45"/>
      <c r="M477" s="45"/>
      <c r="N477" s="45"/>
      <c r="O477" s="45"/>
      <c r="P477" s="45"/>
      <c r="Q477" s="45"/>
      <c r="R477" s="45"/>
      <c r="S477" s="45"/>
      <c r="T477" s="45"/>
      <c r="U477" s="45"/>
      <c r="V477" s="45"/>
      <c r="W477" s="45"/>
      <c r="X477" s="45"/>
      <c r="Y477" s="45"/>
      <c r="Z477" s="45"/>
    </row>
    <row r="478">
      <c r="A478" s="46">
        <v>477.0</v>
      </c>
      <c r="B478" s="47" t="str">
        <f>'Project Stocktaking Template'!B479</f>
        <v>RENOVATION OF ECD HAMEY</v>
      </c>
      <c r="C478" s="47" t="str">
        <f>'Project Stocktaking Template'!H479</f>
        <v>Ijara</v>
      </c>
      <c r="D478" s="47" t="str">
        <f>'Project Stocktaking Template'!I479</f>
        <v>Ijara</v>
      </c>
      <c r="E478" s="48" t="str">
        <f>'Project Stocktaking Template'!O479</f>
        <v>1st aug 2024</v>
      </c>
      <c r="F478" s="48" t="str">
        <f>'Project Stocktaking Template'!P479</f>
        <v>30th june 2025</v>
      </c>
      <c r="G478" s="48" t="str">
        <f>'Project Stocktaking Template'!Q479</f>
        <v>30th june 2025</v>
      </c>
      <c r="H478" s="49">
        <f>'Project Stocktaking Template'!R479</f>
        <v>2337000</v>
      </c>
      <c r="I478" s="50" t="str">
        <f>'Project Stocktaking Template'!AD479</f>
        <v/>
      </c>
      <c r="J478" s="45"/>
      <c r="K478" s="45"/>
      <c r="L478" s="45"/>
      <c r="M478" s="45"/>
      <c r="N478" s="45"/>
      <c r="O478" s="45"/>
      <c r="P478" s="45"/>
      <c r="Q478" s="45"/>
      <c r="R478" s="45"/>
      <c r="S478" s="45"/>
      <c r="T478" s="45"/>
      <c r="U478" s="45"/>
      <c r="V478" s="45"/>
      <c r="W478" s="45"/>
      <c r="X478" s="45"/>
      <c r="Y478" s="45"/>
      <c r="Z478" s="45"/>
    </row>
    <row r="479">
      <c r="A479" s="51">
        <v>478.0</v>
      </c>
      <c r="B479" s="47" t="str">
        <f>'Project Stocktaking Template'!B480</f>
        <v>RENNOVATION CEC -County Affairs Office</v>
      </c>
      <c r="C479" s="47" t="str">
        <f>'Project Stocktaking Template'!H480</f>
        <v>GarissaTownship</v>
      </c>
      <c r="D479" s="47" t="str">
        <f>'Project Stocktaking Template'!I480</f>
        <v>Township</v>
      </c>
      <c r="E479" s="48" t="str">
        <f>'Project Stocktaking Template'!O480</f>
        <v>1st aug 2024</v>
      </c>
      <c r="F479" s="48" t="str">
        <f>'Project Stocktaking Template'!P480</f>
        <v>30th june 2025</v>
      </c>
      <c r="G479" s="48" t="str">
        <f>'Project Stocktaking Template'!Q480</f>
        <v>30th june 2025</v>
      </c>
      <c r="H479" s="49">
        <f>'Project Stocktaking Template'!R480</f>
        <v>4409509</v>
      </c>
      <c r="I479" s="50" t="str">
        <f>'Project Stocktaking Template'!AD480</f>
        <v/>
      </c>
      <c r="J479" s="45"/>
      <c r="K479" s="45"/>
      <c r="L479" s="45"/>
      <c r="M479" s="45"/>
      <c r="N479" s="45"/>
      <c r="O479" s="45"/>
      <c r="P479" s="45"/>
      <c r="Q479" s="45"/>
      <c r="R479" s="45"/>
      <c r="S479" s="45"/>
      <c r="T479" s="45"/>
      <c r="U479" s="45"/>
      <c r="V479" s="45"/>
      <c r="W479" s="45"/>
      <c r="X479" s="45"/>
      <c r="Y479" s="45"/>
      <c r="Z479" s="45"/>
    </row>
    <row r="480">
      <c r="A480" s="46">
        <v>479.0</v>
      </c>
      <c r="B480" s="47" t="str">
        <f>'Project Stocktaking Template'!B481</f>
        <v>RENNOVATION OF ECD CLASSROOM</v>
      </c>
      <c r="C480" s="47" t="str">
        <f>'Project Stocktaking Template'!H481</f>
        <v>GarissaTownship</v>
      </c>
      <c r="D480" s="47" t="str">
        <f>'Project Stocktaking Template'!I481</f>
        <v>Township</v>
      </c>
      <c r="E480" s="48" t="str">
        <f>'Project Stocktaking Template'!O481</f>
        <v>1st aug 2024</v>
      </c>
      <c r="F480" s="48" t="str">
        <f>'Project Stocktaking Template'!P481</f>
        <v>30th june 2025</v>
      </c>
      <c r="G480" s="48" t="str">
        <f>'Project Stocktaking Template'!Q481</f>
        <v>30th june 2025</v>
      </c>
      <c r="H480" s="49">
        <f>'Project Stocktaking Template'!R481</f>
        <v>2200000</v>
      </c>
      <c r="I480" s="50" t="str">
        <f>'Project Stocktaking Template'!AD481</f>
        <v/>
      </c>
      <c r="J480" s="45"/>
      <c r="K480" s="45"/>
      <c r="L480" s="45"/>
      <c r="M480" s="45"/>
      <c r="N480" s="45"/>
      <c r="O480" s="45"/>
      <c r="P480" s="45"/>
      <c r="Q480" s="45"/>
      <c r="R480" s="45"/>
      <c r="S480" s="45"/>
      <c r="T480" s="45"/>
      <c r="U480" s="45"/>
      <c r="V480" s="45"/>
      <c r="W480" s="45"/>
      <c r="X480" s="45"/>
      <c r="Y480" s="45"/>
      <c r="Z480" s="45"/>
    </row>
    <row r="481">
      <c r="A481" s="51">
        <v>480.0</v>
      </c>
      <c r="B481" s="47" t="str">
        <f>'Project Stocktaking Template'!B482</f>
        <v>RENOVATION AND SOUND PROOFING AT DIRECTOR OPRTATION OFFICE</v>
      </c>
      <c r="C481" s="47" t="str">
        <f>'Project Stocktaking Template'!H482</f>
        <v>GarissaTownship</v>
      </c>
      <c r="D481" s="47" t="str">
        <f>'Project Stocktaking Template'!I482</f>
        <v>Township</v>
      </c>
      <c r="E481" s="48" t="str">
        <f>'Project Stocktaking Template'!O482</f>
        <v>1st aug 2024</v>
      </c>
      <c r="F481" s="48" t="str">
        <f>'Project Stocktaking Template'!P482</f>
        <v>30th june 2025</v>
      </c>
      <c r="G481" s="48" t="str">
        <f>'Project Stocktaking Template'!Q482</f>
        <v>30th june 2025</v>
      </c>
      <c r="H481" s="49">
        <f>'Project Stocktaking Template'!R482</f>
        <v>4636475</v>
      </c>
      <c r="I481" s="50" t="str">
        <f>'Project Stocktaking Template'!AD482</f>
        <v/>
      </c>
      <c r="J481" s="45"/>
      <c r="K481" s="45"/>
      <c r="L481" s="45"/>
      <c r="M481" s="45"/>
      <c r="N481" s="45"/>
      <c r="O481" s="45"/>
      <c r="P481" s="45"/>
      <c r="Q481" s="45"/>
      <c r="R481" s="45"/>
      <c r="S481" s="45"/>
      <c r="T481" s="45"/>
      <c r="U481" s="45"/>
      <c r="V481" s="45"/>
      <c r="W481" s="45"/>
      <c r="X481" s="45"/>
      <c r="Y481" s="45"/>
      <c r="Z481" s="45"/>
    </row>
    <row r="482">
      <c r="A482" s="46">
        <v>481.0</v>
      </c>
      <c r="B482" s="47" t="str">
        <f>'Project Stocktaking Template'!B483</f>
        <v>RENOVATION OF ECD CLASSROOM AT CONSTRUCTION OF LATRINE AT GARISSA PRIMARY</v>
      </c>
      <c r="C482" s="47" t="str">
        <f>'Project Stocktaking Template'!H483</f>
        <v>GarissaTownship</v>
      </c>
      <c r="D482" s="47" t="str">
        <f>'Project Stocktaking Template'!I483</f>
        <v>Township</v>
      </c>
      <c r="E482" s="48" t="str">
        <f>'Project Stocktaking Template'!O483</f>
        <v>1st aug 2024</v>
      </c>
      <c r="F482" s="48" t="str">
        <f>'Project Stocktaking Template'!P483</f>
        <v>30th june 2025</v>
      </c>
      <c r="G482" s="48" t="str">
        <f>'Project Stocktaking Template'!Q483</f>
        <v>30th june 2025</v>
      </c>
      <c r="H482" s="49">
        <f>'Project Stocktaking Template'!R483</f>
        <v>4602690</v>
      </c>
      <c r="I482" s="50" t="str">
        <f>'Project Stocktaking Template'!AD483</f>
        <v/>
      </c>
      <c r="J482" s="45"/>
      <c r="K482" s="45"/>
      <c r="L482" s="45"/>
      <c r="M482" s="45"/>
      <c r="N482" s="45"/>
      <c r="O482" s="45"/>
      <c r="P482" s="45"/>
      <c r="Q482" s="45"/>
      <c r="R482" s="45"/>
      <c r="S482" s="45"/>
      <c r="T482" s="45"/>
      <c r="U482" s="45"/>
      <c r="V482" s="45"/>
      <c r="W482" s="45"/>
      <c r="X482" s="45"/>
      <c r="Y482" s="45"/>
      <c r="Z482" s="45"/>
    </row>
    <row r="483">
      <c r="A483" s="51">
        <v>482.0</v>
      </c>
      <c r="B483" s="47" t="str">
        <f>'Project Stocktaking Template'!B484</f>
        <v>RENOVATION OF BOGYAR DISPENSARY</v>
      </c>
      <c r="C483" s="47" t="str">
        <f>'Project Stocktaking Template'!H484</f>
        <v>Dadaab</v>
      </c>
      <c r="D483" s="47" t="str">
        <f>'Project Stocktaking Template'!I484</f>
        <v>Dadaab</v>
      </c>
      <c r="E483" s="48" t="str">
        <f>'Project Stocktaking Template'!O484</f>
        <v>1st aug 2024</v>
      </c>
      <c r="F483" s="48" t="str">
        <f>'Project Stocktaking Template'!P484</f>
        <v>30th june 2025</v>
      </c>
      <c r="G483" s="48" t="str">
        <f>'Project Stocktaking Template'!Q484</f>
        <v>30th june 2025</v>
      </c>
      <c r="H483" s="49">
        <f>'Project Stocktaking Template'!R484</f>
        <v>2175403</v>
      </c>
      <c r="I483" s="50" t="str">
        <f>'Project Stocktaking Template'!AD484</f>
        <v/>
      </c>
      <c r="J483" s="45"/>
      <c r="K483" s="45"/>
      <c r="L483" s="45"/>
      <c r="M483" s="45"/>
      <c r="N483" s="45"/>
      <c r="O483" s="45"/>
      <c r="P483" s="45"/>
      <c r="Q483" s="45"/>
      <c r="R483" s="45"/>
      <c r="S483" s="45"/>
      <c r="T483" s="45"/>
      <c r="U483" s="45"/>
      <c r="V483" s="45"/>
      <c r="W483" s="45"/>
      <c r="X483" s="45"/>
      <c r="Y483" s="45"/>
      <c r="Z483" s="45"/>
    </row>
    <row r="484">
      <c r="A484" s="46">
        <v>483.0</v>
      </c>
      <c r="B484" s="47" t="str">
        <f>'Project Stocktaking Template'!B485</f>
        <v>RENOVATION OF LABASIGALE DISPENSARY</v>
      </c>
      <c r="C484" s="47" t="str">
        <f>'Project Stocktaking Template'!H485</f>
        <v>Dadaab</v>
      </c>
      <c r="D484" s="47" t="str">
        <f>'Project Stocktaking Template'!I485</f>
        <v>Labasigale</v>
      </c>
      <c r="E484" s="48" t="str">
        <f>'Project Stocktaking Template'!O485</f>
        <v>1st aug 2024</v>
      </c>
      <c r="F484" s="48" t="str">
        <f>'Project Stocktaking Template'!P485</f>
        <v>30th june 2025</v>
      </c>
      <c r="G484" s="48" t="str">
        <f>'Project Stocktaking Template'!Q485</f>
        <v>30th june 2025</v>
      </c>
      <c r="H484" s="49">
        <f>'Project Stocktaking Template'!R485</f>
        <v>2226230</v>
      </c>
      <c r="I484" s="50" t="str">
        <f>'Project Stocktaking Template'!AD485</f>
        <v/>
      </c>
      <c r="J484" s="45"/>
      <c r="K484" s="45"/>
      <c r="L484" s="45"/>
      <c r="M484" s="45"/>
      <c r="N484" s="45"/>
      <c r="O484" s="45"/>
      <c r="P484" s="45"/>
      <c r="Q484" s="45"/>
      <c r="R484" s="45"/>
      <c r="S484" s="45"/>
      <c r="T484" s="45"/>
      <c r="U484" s="45"/>
      <c r="V484" s="45"/>
      <c r="W484" s="45"/>
      <c r="X484" s="45"/>
      <c r="Y484" s="45"/>
      <c r="Z484" s="45"/>
    </row>
    <row r="485">
      <c r="A485" s="51">
        <v>484.0</v>
      </c>
      <c r="B485" s="47" t="str">
        <f>'Project Stocktaking Template'!B486</f>
        <v>RENOVATION OF GALMAGAL DISPENSARY</v>
      </c>
      <c r="C485" s="47" t="str">
        <f>'Project Stocktaking Template'!H486</f>
        <v>Fafi</v>
      </c>
      <c r="D485" s="47" t="str">
        <f>'Project Stocktaking Template'!I486</f>
        <v>Fafi</v>
      </c>
      <c r="E485" s="48" t="str">
        <f>'Project Stocktaking Template'!O486</f>
        <v>1st aug 2024</v>
      </c>
      <c r="F485" s="48" t="str">
        <f>'Project Stocktaking Template'!P486</f>
        <v>30th june 2025</v>
      </c>
      <c r="G485" s="48" t="str">
        <f>'Project Stocktaking Template'!Q486</f>
        <v>30th june 2025</v>
      </c>
      <c r="H485" s="49">
        <f>'Project Stocktaking Template'!R486</f>
        <v>1747622.1</v>
      </c>
      <c r="I485" s="50" t="str">
        <f>'Project Stocktaking Template'!AD486</f>
        <v/>
      </c>
      <c r="J485" s="45"/>
      <c r="K485" s="45"/>
      <c r="L485" s="45"/>
      <c r="M485" s="45"/>
      <c r="N485" s="45"/>
      <c r="O485" s="45"/>
      <c r="P485" s="45"/>
      <c r="Q485" s="45"/>
      <c r="R485" s="45"/>
      <c r="S485" s="45"/>
      <c r="T485" s="45"/>
      <c r="U485" s="45"/>
      <c r="V485" s="45"/>
      <c r="W485" s="45"/>
      <c r="X485" s="45"/>
      <c r="Y485" s="45"/>
      <c r="Z485" s="45"/>
    </row>
    <row r="486">
      <c r="A486" s="46">
        <v>485.0</v>
      </c>
      <c r="B486" s="47" t="str">
        <f>'Project Stocktaking Template'!B487</f>
        <v>EXTENSION OF  OF PIPELINE FROM KONE TO MODOGASHE</v>
      </c>
      <c r="C486" s="47" t="str">
        <f>'Project Stocktaking Template'!H487</f>
        <v>Lagdera</v>
      </c>
      <c r="D486" s="47" t="str">
        <f>'Project Stocktaking Template'!I487</f>
        <v>Jarajara</v>
      </c>
      <c r="E486" s="48" t="str">
        <f>'Project Stocktaking Template'!O487</f>
        <v>1st aug 2024</v>
      </c>
      <c r="F486" s="48" t="str">
        <f>'Project Stocktaking Template'!P487</f>
        <v>30th june 2025</v>
      </c>
      <c r="G486" s="48" t="str">
        <f>'Project Stocktaking Template'!Q487</f>
        <v>30th june 2025</v>
      </c>
      <c r="H486" s="49">
        <f>'Project Stocktaking Template'!R487</f>
        <v>42874137.95</v>
      </c>
      <c r="I486" s="50" t="str">
        <f>'Project Stocktaking Template'!AD487</f>
        <v/>
      </c>
      <c r="J486" s="45"/>
      <c r="K486" s="45"/>
      <c r="L486" s="45"/>
      <c r="M486" s="45"/>
      <c r="N486" s="45"/>
      <c r="O486" s="45"/>
      <c r="P486" s="45"/>
      <c r="Q486" s="45"/>
      <c r="R486" s="45"/>
      <c r="S486" s="45"/>
      <c r="T486" s="45"/>
      <c r="U486" s="45"/>
      <c r="V486" s="45"/>
      <c r="W486" s="45"/>
      <c r="X486" s="45"/>
      <c r="Y486" s="45"/>
      <c r="Z486" s="45"/>
    </row>
    <row r="487">
      <c r="A487" s="51">
        <v>486.0</v>
      </c>
      <c r="B487" s="47" t="str">
        <f>'Project Stocktaking Template'!B488</f>
        <v>EXTENSION OF  OF PIPELINE FROM KONE TO MODOGASHE</v>
      </c>
      <c r="C487" s="47" t="str">
        <f>'Project Stocktaking Template'!H488</f>
        <v>Lagdera</v>
      </c>
      <c r="D487" s="47" t="str">
        <f>'Project Stocktaking Template'!I488</f>
        <v>Jarajara</v>
      </c>
      <c r="E487" s="48" t="str">
        <f>'Project Stocktaking Template'!O488</f>
        <v>1st aug 2024</v>
      </c>
      <c r="F487" s="48" t="str">
        <f>'Project Stocktaking Template'!P488</f>
        <v>30th june 2025</v>
      </c>
      <c r="G487" s="48" t="str">
        <f>'Project Stocktaking Template'!Q488</f>
        <v>30th june 2025</v>
      </c>
      <c r="H487" s="49">
        <f>'Project Stocktaking Template'!R488</f>
        <v>35700000</v>
      </c>
      <c r="I487" s="50" t="str">
        <f>'Project Stocktaking Template'!AD488</f>
        <v/>
      </c>
      <c r="J487" s="45"/>
      <c r="K487" s="45"/>
      <c r="L487" s="45"/>
      <c r="M487" s="45"/>
      <c r="N487" s="45"/>
      <c r="O487" s="45"/>
      <c r="P487" s="45"/>
      <c r="Q487" s="45"/>
      <c r="R487" s="45"/>
      <c r="S487" s="45"/>
      <c r="T487" s="45"/>
      <c r="U487" s="45"/>
      <c r="V487" s="45"/>
      <c r="W487" s="45"/>
      <c r="X487" s="45"/>
      <c r="Y487" s="45"/>
      <c r="Z487" s="45"/>
    </row>
    <row r="488">
      <c r="A488" s="46">
        <v>487.0</v>
      </c>
      <c r="B488" s="47" t="str">
        <f>'Project Stocktaking Template'!B489</f>
        <v>EXTENSION OF  OF PIPELINE FROM KONE TO MODOGASHE</v>
      </c>
      <c r="C488" s="47" t="str">
        <f>'Project Stocktaking Template'!H489</f>
        <v>Lagdera</v>
      </c>
      <c r="D488" s="47" t="str">
        <f>'Project Stocktaking Template'!I489</f>
        <v>Jarajara</v>
      </c>
      <c r="E488" s="48" t="str">
        <f>'Project Stocktaking Template'!O489</f>
        <v>1st aug 2024</v>
      </c>
      <c r="F488" s="48" t="str">
        <f>'Project Stocktaking Template'!P489</f>
        <v>30th june 2025</v>
      </c>
      <c r="G488" s="48" t="str">
        <f>'Project Stocktaking Template'!Q489</f>
        <v>30th june 2025</v>
      </c>
      <c r="H488" s="49">
        <f>'Project Stocktaking Template'!R489</f>
        <v>47637931.05</v>
      </c>
      <c r="I488" s="50" t="str">
        <f>'Project Stocktaking Template'!AD489</f>
        <v/>
      </c>
      <c r="J488" s="45"/>
      <c r="K488" s="45"/>
      <c r="L488" s="45"/>
      <c r="M488" s="45"/>
      <c r="N488" s="45"/>
      <c r="O488" s="45"/>
      <c r="P488" s="45"/>
      <c r="Q488" s="45"/>
      <c r="R488" s="45"/>
      <c r="S488" s="45"/>
      <c r="T488" s="45"/>
      <c r="U488" s="45"/>
      <c r="V488" s="45"/>
      <c r="W488" s="45"/>
      <c r="X488" s="45"/>
      <c r="Y488" s="45"/>
      <c r="Z488" s="45"/>
    </row>
    <row r="489">
      <c r="A489" s="51">
        <v>488.0</v>
      </c>
      <c r="B489" s="47" t="str">
        <f>'Project Stocktaking Template'!B490</f>
        <v>RENNOVATION AT SLAUTER HOUSE</v>
      </c>
      <c r="C489" s="47" t="str">
        <f>'Project Stocktaking Template'!H490</f>
        <v>GarissaTownship</v>
      </c>
      <c r="D489" s="47" t="str">
        <f>'Project Stocktaking Template'!I490</f>
        <v>Township</v>
      </c>
      <c r="E489" s="48" t="str">
        <f>'Project Stocktaking Template'!O490</f>
        <v>1st aug 2024</v>
      </c>
      <c r="F489" s="48" t="str">
        <f>'Project Stocktaking Template'!P490</f>
        <v>30th june 2025</v>
      </c>
      <c r="G489" s="48" t="str">
        <f>'Project Stocktaking Template'!Q490</f>
        <v>30th june 2025</v>
      </c>
      <c r="H489" s="49">
        <f>'Project Stocktaking Template'!R490</f>
        <v>6342105</v>
      </c>
      <c r="I489" s="50" t="str">
        <f>'Project Stocktaking Template'!AD490</f>
        <v/>
      </c>
      <c r="J489" s="45"/>
      <c r="K489" s="45"/>
      <c r="L489" s="45"/>
      <c r="M489" s="45"/>
      <c r="N489" s="45"/>
      <c r="O489" s="45"/>
      <c r="P489" s="45"/>
      <c r="Q489" s="45"/>
      <c r="R489" s="45"/>
      <c r="S489" s="45"/>
      <c r="T489" s="45"/>
      <c r="U489" s="45"/>
      <c r="V489" s="45"/>
      <c r="W489" s="45"/>
      <c r="X489" s="45"/>
      <c r="Y489" s="45"/>
      <c r="Z489" s="45"/>
    </row>
    <row r="490">
      <c r="A490" s="46">
        <v>489.0</v>
      </c>
      <c r="B490" s="47" t="str">
        <f>'Project Stocktaking Template'!B491</f>
        <v>EXTENSION OF  OF PIPELINE FROM KONE TO MODOGASHE</v>
      </c>
      <c r="C490" s="47" t="str">
        <f>'Project Stocktaking Template'!H491</f>
        <v>Lagdera</v>
      </c>
      <c r="D490" s="47" t="str">
        <f>'Project Stocktaking Template'!I491</f>
        <v>Jarajara</v>
      </c>
      <c r="E490" s="48" t="str">
        <f>'Project Stocktaking Template'!O491</f>
        <v>1st aug 2024</v>
      </c>
      <c r="F490" s="48" t="str">
        <f>'Project Stocktaking Template'!P491</f>
        <v>30th june 2025</v>
      </c>
      <c r="G490" s="48" t="str">
        <f>'Project Stocktaking Template'!Q491</f>
        <v>30th june 2025</v>
      </c>
      <c r="H490" s="49">
        <f>'Project Stocktaking Template'!R491</f>
        <v>12000000</v>
      </c>
      <c r="I490" s="50" t="str">
        <f>'Project Stocktaking Template'!AD491</f>
        <v/>
      </c>
      <c r="J490" s="45"/>
      <c r="K490" s="45"/>
      <c r="L490" s="45"/>
      <c r="M490" s="45"/>
      <c r="N490" s="45"/>
      <c r="O490" s="45"/>
      <c r="P490" s="45"/>
      <c r="Q490" s="45"/>
      <c r="R490" s="45"/>
      <c r="S490" s="45"/>
      <c r="T490" s="45"/>
      <c r="U490" s="45"/>
      <c r="V490" s="45"/>
      <c r="W490" s="45"/>
      <c r="X490" s="45"/>
      <c r="Y490" s="45"/>
      <c r="Z490" s="45"/>
    </row>
    <row r="491">
      <c r="A491" s="51">
        <v>490.0</v>
      </c>
      <c r="B491" s="47" t="str">
        <f>'Project Stocktaking Template'!B492</f>
        <v>CONSTRUCTION OF PERIMTER WALL AT SLAUGHTER HOUSE</v>
      </c>
      <c r="C491" s="47" t="str">
        <f>'Project Stocktaking Template'!H492</f>
        <v>GarissaTownship</v>
      </c>
      <c r="D491" s="47" t="str">
        <f>'Project Stocktaking Template'!I492</f>
        <v>Township</v>
      </c>
      <c r="E491" s="48" t="str">
        <f>'Project Stocktaking Template'!O492</f>
        <v>1st aug 2024</v>
      </c>
      <c r="F491" s="48" t="str">
        <f>'Project Stocktaking Template'!P492</f>
        <v>30th june 2025</v>
      </c>
      <c r="G491" s="48" t="str">
        <f>'Project Stocktaking Template'!Q492</f>
        <v>30th june 2025</v>
      </c>
      <c r="H491" s="49">
        <f>'Project Stocktaking Template'!R492</f>
        <v>8432893.2</v>
      </c>
      <c r="I491" s="50" t="str">
        <f>'Project Stocktaking Template'!AD492</f>
        <v/>
      </c>
      <c r="J491" s="45"/>
      <c r="K491" s="45"/>
      <c r="L491" s="45"/>
      <c r="M491" s="45"/>
      <c r="N491" s="45"/>
      <c r="O491" s="45"/>
      <c r="P491" s="45"/>
      <c r="Q491" s="45"/>
      <c r="R491" s="45"/>
      <c r="S491" s="45"/>
      <c r="T491" s="45"/>
      <c r="U491" s="45"/>
      <c r="V491" s="45"/>
      <c r="W491" s="45"/>
      <c r="X491" s="45"/>
      <c r="Y491" s="45"/>
      <c r="Z491" s="45"/>
    </row>
    <row r="492">
      <c r="A492" s="46">
        <v>491.0</v>
      </c>
      <c r="B492" s="47" t="str">
        <f>'Project Stocktaking Template'!B493</f>
        <v>AUGUMENTATION OF MASALANI WATER TREATMENT</v>
      </c>
      <c r="C492" s="47" t="str">
        <f>'Project Stocktaking Template'!H493</f>
        <v>Ijara</v>
      </c>
      <c r="D492" s="47" t="str">
        <f>'Project Stocktaking Template'!I493</f>
        <v>Masalani</v>
      </c>
      <c r="E492" s="48" t="str">
        <f>'Project Stocktaking Template'!O493</f>
        <v>1st aug 2024</v>
      </c>
      <c r="F492" s="48" t="str">
        <f>'Project Stocktaking Template'!P493</f>
        <v>30th june 2025</v>
      </c>
      <c r="G492" s="48" t="str">
        <f>'Project Stocktaking Template'!Q493</f>
        <v>30th june 2025</v>
      </c>
      <c r="H492" s="49">
        <f>'Project Stocktaking Template'!R493</f>
        <v>7500000</v>
      </c>
      <c r="I492" s="50" t="str">
        <f>'Project Stocktaking Template'!AD493</f>
        <v/>
      </c>
      <c r="J492" s="45"/>
      <c r="K492" s="45"/>
      <c r="L492" s="45"/>
      <c r="M492" s="45"/>
      <c r="N492" s="45"/>
      <c r="O492" s="45"/>
      <c r="P492" s="45"/>
      <c r="Q492" s="45"/>
      <c r="R492" s="45"/>
      <c r="S492" s="45"/>
      <c r="T492" s="45"/>
      <c r="U492" s="45"/>
      <c r="V492" s="45"/>
      <c r="W492" s="45"/>
      <c r="X492" s="45"/>
      <c r="Y492" s="45"/>
      <c r="Z492" s="45"/>
    </row>
    <row r="493">
      <c r="A493" s="51">
        <v>492.0</v>
      </c>
      <c r="B493" s="47" t="str">
        <f>'Project Stocktaking Template'!B494</f>
        <v>DESILTING AND FENCING OF BULO WATER PAN</v>
      </c>
      <c r="C493" s="47" t="str">
        <f>'Project Stocktaking Template'!H494</f>
        <v>GarissaTownship</v>
      </c>
      <c r="D493" s="47" t="str">
        <f>'Project Stocktaking Template'!I494</f>
        <v>Township</v>
      </c>
      <c r="E493" s="48" t="str">
        <f>'Project Stocktaking Template'!O494</f>
        <v>1st aug 2024</v>
      </c>
      <c r="F493" s="48" t="str">
        <f>'Project Stocktaking Template'!P494</f>
        <v>30th june 2025</v>
      </c>
      <c r="G493" s="48" t="str">
        <f>'Project Stocktaking Template'!Q494</f>
        <v>30th june 2025</v>
      </c>
      <c r="H493" s="49">
        <f>'Project Stocktaking Template'!R494</f>
        <v>16804666</v>
      </c>
      <c r="I493" s="50" t="str">
        <f>'Project Stocktaking Template'!AD494</f>
        <v/>
      </c>
      <c r="J493" s="45"/>
      <c r="K493" s="45"/>
      <c r="L493" s="45"/>
      <c r="M493" s="45"/>
      <c r="N493" s="45"/>
      <c r="O493" s="45"/>
      <c r="P493" s="45"/>
      <c r="Q493" s="45"/>
      <c r="R493" s="45"/>
      <c r="S493" s="45"/>
      <c r="T493" s="45"/>
      <c r="U493" s="45"/>
      <c r="V493" s="45"/>
      <c r="W493" s="45"/>
      <c r="X493" s="45"/>
      <c r="Y493" s="45"/>
      <c r="Z493" s="45"/>
    </row>
    <row r="494">
      <c r="A494" s="46">
        <v>493.0</v>
      </c>
      <c r="B494" s="47" t="str">
        <f>'Project Stocktaking Template'!B495</f>
        <v>DESILTING AND FENCING OF DEGELEMA WATER PAN</v>
      </c>
      <c r="C494" s="47" t="str">
        <f>'Project Stocktaking Template'!H495</f>
        <v>GarissaTownship</v>
      </c>
      <c r="D494" s="47" t="str">
        <f>'Project Stocktaking Template'!I495</f>
        <v>Township</v>
      </c>
      <c r="E494" s="48" t="str">
        <f>'Project Stocktaking Template'!O495</f>
        <v>1st aug 2024</v>
      </c>
      <c r="F494" s="48" t="str">
        <f>'Project Stocktaking Template'!P495</f>
        <v>30th june 2025</v>
      </c>
      <c r="G494" s="48" t="str">
        <f>'Project Stocktaking Template'!Q495</f>
        <v>30th june 2025</v>
      </c>
      <c r="H494" s="49">
        <f>'Project Stocktaking Template'!R495</f>
        <v>16341617</v>
      </c>
      <c r="I494" s="50" t="str">
        <f>'Project Stocktaking Template'!AD495</f>
        <v/>
      </c>
      <c r="J494" s="45"/>
      <c r="K494" s="45"/>
      <c r="L494" s="45"/>
      <c r="M494" s="45"/>
      <c r="N494" s="45"/>
      <c r="O494" s="45"/>
      <c r="P494" s="45"/>
      <c r="Q494" s="45"/>
      <c r="R494" s="45"/>
      <c r="S494" s="45"/>
      <c r="T494" s="45"/>
      <c r="U494" s="45"/>
      <c r="V494" s="45"/>
      <c r="W494" s="45"/>
      <c r="X494" s="45"/>
      <c r="Y494" s="45"/>
      <c r="Z494" s="45"/>
    </row>
    <row r="495">
      <c r="A495" s="51">
        <v>494.0</v>
      </c>
      <c r="B495" s="47" t="str">
        <f>'Project Stocktaking Template'!B496</f>
        <v>DESILTING OF WATER PAN AT DADAAB</v>
      </c>
      <c r="C495" s="47" t="str">
        <f>'Project Stocktaking Template'!H496</f>
        <v>Dadaab</v>
      </c>
      <c r="D495" s="47" t="str">
        <f>'Project Stocktaking Template'!I496</f>
        <v>Dadaab</v>
      </c>
      <c r="E495" s="48" t="str">
        <f>'Project Stocktaking Template'!O496</f>
        <v>1st aug 2024</v>
      </c>
      <c r="F495" s="48" t="str">
        <f>'Project Stocktaking Template'!P496</f>
        <v>30th june 2025</v>
      </c>
      <c r="G495" s="48" t="str">
        <f>'Project Stocktaking Template'!Q496</f>
        <v>30th june 2025</v>
      </c>
      <c r="H495" s="49">
        <f>'Project Stocktaking Template'!R496</f>
        <v>3000000</v>
      </c>
      <c r="I495" s="50" t="str">
        <f>'Project Stocktaking Template'!AD496</f>
        <v/>
      </c>
      <c r="J495" s="45"/>
      <c r="K495" s="45"/>
      <c r="L495" s="45"/>
      <c r="M495" s="45"/>
      <c r="N495" s="45"/>
      <c r="O495" s="45"/>
      <c r="P495" s="45"/>
      <c r="Q495" s="45"/>
      <c r="R495" s="45"/>
      <c r="S495" s="45"/>
      <c r="T495" s="45"/>
      <c r="U495" s="45"/>
      <c r="V495" s="45"/>
      <c r="W495" s="45"/>
      <c r="X495" s="45"/>
      <c r="Y495" s="45"/>
      <c r="Z495" s="45"/>
    </row>
    <row r="496">
      <c r="A496" s="46">
        <v>495.0</v>
      </c>
      <c r="B496" s="47" t="str">
        <f>'Project Stocktaking Template'!B497</f>
        <v>DRILLING OF ARGADUD BOREHOLE</v>
      </c>
      <c r="C496" s="47" t="str">
        <f>'Project Stocktaking Template'!H497</f>
        <v>GarissaTownship</v>
      </c>
      <c r="D496" s="47" t="str">
        <f>'Project Stocktaking Template'!I497</f>
        <v>Township</v>
      </c>
      <c r="E496" s="48" t="str">
        <f>'Project Stocktaking Template'!O497</f>
        <v>1st aug 2024</v>
      </c>
      <c r="F496" s="48" t="str">
        <f>'Project Stocktaking Template'!P497</f>
        <v>30th june 2025</v>
      </c>
      <c r="G496" s="48" t="str">
        <f>'Project Stocktaking Template'!Q497</f>
        <v>30th june 2025</v>
      </c>
      <c r="H496" s="49">
        <f>'Project Stocktaking Template'!R497</f>
        <v>4093241.4</v>
      </c>
      <c r="I496" s="50" t="str">
        <f>'Project Stocktaking Template'!AD497</f>
        <v/>
      </c>
      <c r="J496" s="45"/>
      <c r="K496" s="45"/>
      <c r="L496" s="45"/>
      <c r="M496" s="45"/>
      <c r="N496" s="45"/>
      <c r="O496" s="45"/>
      <c r="P496" s="45"/>
      <c r="Q496" s="45"/>
      <c r="R496" s="45"/>
      <c r="S496" s="45"/>
      <c r="T496" s="45"/>
      <c r="U496" s="45"/>
      <c r="V496" s="45"/>
      <c r="W496" s="45"/>
      <c r="X496" s="45"/>
      <c r="Y496" s="45"/>
      <c r="Z496" s="45"/>
    </row>
    <row r="497">
      <c r="A497" s="51">
        <v>496.0</v>
      </c>
      <c r="B497" s="47" t="str">
        <f>'Project Stocktaking Template'!B498</f>
        <v>DRILLING OF BOREHOLE IN BALAMBALA</v>
      </c>
      <c r="C497" s="47" t="str">
        <f>'Project Stocktaking Template'!H498</f>
        <v>Balambala</v>
      </c>
      <c r="D497" s="47" t="str">
        <f>'Project Stocktaking Template'!I498</f>
        <v>Balambala</v>
      </c>
      <c r="E497" s="48" t="str">
        <f>'Project Stocktaking Template'!O498</f>
        <v>1st aug 2024</v>
      </c>
      <c r="F497" s="48" t="str">
        <f>'Project Stocktaking Template'!P498</f>
        <v>30th june 2025</v>
      </c>
      <c r="G497" s="48" t="str">
        <f>'Project Stocktaking Template'!Q498</f>
        <v>30th june 2025</v>
      </c>
      <c r="H497" s="49">
        <f>'Project Stocktaking Template'!R498</f>
        <v>4465000</v>
      </c>
      <c r="I497" s="50" t="str">
        <f>'Project Stocktaking Template'!AD498</f>
        <v/>
      </c>
      <c r="J497" s="45"/>
      <c r="K497" s="45"/>
      <c r="L497" s="45"/>
      <c r="M497" s="45"/>
      <c r="N497" s="45"/>
      <c r="O497" s="45"/>
      <c r="P497" s="45"/>
      <c r="Q497" s="45"/>
      <c r="R497" s="45"/>
      <c r="S497" s="45"/>
      <c r="T497" s="45"/>
      <c r="U497" s="45"/>
      <c r="V497" s="45"/>
      <c r="W497" s="45"/>
      <c r="X497" s="45"/>
      <c r="Y497" s="45"/>
      <c r="Z497" s="45"/>
    </row>
    <row r="498">
      <c r="A498" s="46">
        <v>497.0</v>
      </c>
      <c r="B498" s="47" t="str">
        <f>'Project Stocktaking Template'!B499</f>
        <v>EXENSION OF KONE MODOGASHE PIPPING</v>
      </c>
      <c r="C498" s="47" t="str">
        <f>'Project Stocktaking Template'!H499</f>
        <v>Lagdera</v>
      </c>
      <c r="D498" s="47" t="str">
        <f>'Project Stocktaking Template'!I499</f>
        <v>Jarajara</v>
      </c>
      <c r="E498" s="48" t="str">
        <f>'Project Stocktaking Template'!O499</f>
        <v>1st aug 2024</v>
      </c>
      <c r="F498" s="48" t="str">
        <f>'Project Stocktaking Template'!P499</f>
        <v>30th june 2025</v>
      </c>
      <c r="G498" s="48" t="str">
        <f>'Project Stocktaking Template'!Q499</f>
        <v>30th june 2025</v>
      </c>
      <c r="H498" s="49">
        <f>'Project Stocktaking Template'!R499</f>
        <v>10450000</v>
      </c>
      <c r="I498" s="50" t="str">
        <f>'Project Stocktaking Template'!AD499</f>
        <v/>
      </c>
      <c r="J498" s="45"/>
      <c r="K498" s="45"/>
      <c r="L498" s="45"/>
      <c r="M498" s="45"/>
      <c r="N498" s="45"/>
      <c r="O498" s="45"/>
      <c r="P498" s="45"/>
      <c r="Q498" s="45"/>
      <c r="R498" s="45"/>
      <c r="S498" s="45"/>
      <c r="T498" s="45"/>
      <c r="U498" s="45"/>
      <c r="V498" s="45"/>
      <c r="W498" s="45"/>
      <c r="X498" s="45"/>
      <c r="Y498" s="45"/>
      <c r="Z498" s="45"/>
    </row>
    <row r="499">
      <c r="A499" s="51">
        <v>498.0</v>
      </c>
      <c r="B499" s="47" t="str">
        <f>'Project Stocktaking Template'!B500</f>
        <v>EXENSION OF KONE MODOGASHE PIPPING</v>
      </c>
      <c r="C499" s="47" t="str">
        <f>'Project Stocktaking Template'!H500</f>
        <v>Lagdera</v>
      </c>
      <c r="D499" s="47" t="str">
        <f>'Project Stocktaking Template'!I500</f>
        <v>Jarajara</v>
      </c>
      <c r="E499" s="48" t="str">
        <f>'Project Stocktaking Template'!O500</f>
        <v>1st aug 2024</v>
      </c>
      <c r="F499" s="48" t="str">
        <f>'Project Stocktaking Template'!P500</f>
        <v>30th june 2025</v>
      </c>
      <c r="G499" s="48" t="str">
        <f>'Project Stocktaking Template'!Q500</f>
        <v>30th june 2025</v>
      </c>
      <c r="H499" s="49">
        <f>'Project Stocktaking Template'!R500</f>
        <v>36500000</v>
      </c>
      <c r="I499" s="50" t="str">
        <f>'Project Stocktaking Template'!AD500</f>
        <v/>
      </c>
      <c r="J499" s="45"/>
      <c r="K499" s="45"/>
      <c r="L499" s="45"/>
      <c r="M499" s="45"/>
      <c r="N499" s="45"/>
      <c r="O499" s="45"/>
      <c r="P499" s="45"/>
      <c r="Q499" s="45"/>
      <c r="R499" s="45"/>
      <c r="S499" s="45"/>
      <c r="T499" s="45"/>
      <c r="U499" s="45"/>
      <c r="V499" s="45"/>
      <c r="W499" s="45"/>
      <c r="X499" s="45"/>
      <c r="Y499" s="45"/>
      <c r="Z499" s="45"/>
    </row>
    <row r="500">
      <c r="A500" s="46">
        <v>499.0</v>
      </c>
      <c r="B500" s="47" t="str">
        <f>'Project Stocktaking Template'!B501</f>
        <v>EXENSION OF KONE MODOGASHE PIPPING</v>
      </c>
      <c r="C500" s="47" t="str">
        <f>'Project Stocktaking Template'!H501</f>
        <v>Lagdera</v>
      </c>
      <c r="D500" s="47" t="str">
        <f>'Project Stocktaking Template'!I501</f>
        <v>Jarajara</v>
      </c>
      <c r="E500" s="48" t="str">
        <f>'Project Stocktaking Template'!O501</f>
        <v>1st aug 2024</v>
      </c>
      <c r="F500" s="48" t="str">
        <f>'Project Stocktaking Template'!P501</f>
        <v>30th june 2025</v>
      </c>
      <c r="G500" s="48" t="str">
        <f>'Project Stocktaking Template'!Q501</f>
        <v>30th june 2025</v>
      </c>
      <c r="H500" s="49">
        <f>'Project Stocktaking Template'!R501</f>
        <v>6500000</v>
      </c>
      <c r="I500" s="50" t="str">
        <f>'Project Stocktaking Template'!AD501</f>
        <v/>
      </c>
      <c r="J500" s="45"/>
      <c r="K500" s="45"/>
      <c r="L500" s="45"/>
      <c r="M500" s="45"/>
      <c r="N500" s="45"/>
      <c r="O500" s="45"/>
      <c r="P500" s="45"/>
      <c r="Q500" s="45"/>
      <c r="R500" s="45"/>
      <c r="S500" s="45"/>
      <c r="T500" s="45"/>
      <c r="U500" s="45"/>
      <c r="V500" s="45"/>
      <c r="W500" s="45"/>
      <c r="X500" s="45"/>
      <c r="Y500" s="45"/>
      <c r="Z500" s="45"/>
    </row>
    <row r="501">
      <c r="A501" s="51">
        <v>500.0</v>
      </c>
      <c r="B501" s="47" t="str">
        <f>'Project Stocktaking Template'!B502</f>
        <v>EXENSION OF KONE MODOGASHE PIPPING</v>
      </c>
      <c r="C501" s="47" t="str">
        <f>'Project Stocktaking Template'!H502</f>
        <v>Lagdera</v>
      </c>
      <c r="D501" s="47" t="str">
        <f>'Project Stocktaking Template'!I502</f>
        <v>Jarajara</v>
      </c>
      <c r="E501" s="48" t="str">
        <f>'Project Stocktaking Template'!O502</f>
        <v>1st aug 2024</v>
      </c>
      <c r="F501" s="48" t="str">
        <f>'Project Stocktaking Template'!P502</f>
        <v>30th june 2025</v>
      </c>
      <c r="G501" s="48" t="str">
        <f>'Project Stocktaking Template'!Q502</f>
        <v>30th june 2025</v>
      </c>
      <c r="H501" s="49">
        <f>'Project Stocktaking Template'!R502</f>
        <v>7300000</v>
      </c>
      <c r="I501" s="50" t="str">
        <f>'Project Stocktaking Template'!AD502</f>
        <v/>
      </c>
      <c r="J501" s="45"/>
      <c r="K501" s="45"/>
      <c r="L501" s="45"/>
      <c r="M501" s="45"/>
      <c r="N501" s="45"/>
      <c r="O501" s="45"/>
      <c r="P501" s="45"/>
      <c r="Q501" s="45"/>
      <c r="R501" s="45"/>
      <c r="S501" s="45"/>
      <c r="T501" s="45"/>
      <c r="U501" s="45"/>
      <c r="V501" s="45"/>
      <c r="W501" s="45"/>
      <c r="X501" s="45"/>
      <c r="Y501" s="45"/>
      <c r="Z501" s="45"/>
    </row>
    <row r="502">
      <c r="A502" s="46">
        <v>501.0</v>
      </c>
      <c r="B502" s="47" t="str">
        <f>'Project Stocktaking Template'!B503</f>
        <v>EXTENSION OF COUNTY HQS</v>
      </c>
      <c r="C502" s="47" t="str">
        <f>'Project Stocktaking Template'!H503</f>
        <v>GarissaTownship</v>
      </c>
      <c r="D502" s="47" t="str">
        <f>'Project Stocktaking Template'!I503</f>
        <v>Township</v>
      </c>
      <c r="E502" s="48" t="str">
        <f>'Project Stocktaking Template'!O503</f>
        <v>1st aug 2024</v>
      </c>
      <c r="F502" s="48" t="str">
        <f>'Project Stocktaking Template'!P503</f>
        <v>30th june 2025</v>
      </c>
      <c r="G502" s="48" t="str">
        <f>'Project Stocktaking Template'!Q503</f>
        <v>30th june 2025</v>
      </c>
      <c r="H502" s="49">
        <f>'Project Stocktaking Template'!R503</f>
        <v>2895587</v>
      </c>
      <c r="I502" s="50" t="str">
        <f>'Project Stocktaking Template'!AD503</f>
        <v/>
      </c>
      <c r="J502" s="45"/>
      <c r="K502" s="45"/>
      <c r="L502" s="45"/>
      <c r="M502" s="45"/>
      <c r="N502" s="45"/>
      <c r="O502" s="45"/>
      <c r="P502" s="45"/>
      <c r="Q502" s="45"/>
      <c r="R502" s="45"/>
      <c r="S502" s="45"/>
      <c r="T502" s="45"/>
      <c r="U502" s="45"/>
      <c r="V502" s="45"/>
      <c r="W502" s="45"/>
      <c r="X502" s="45"/>
      <c r="Y502" s="45"/>
      <c r="Z502" s="45"/>
    </row>
    <row r="503">
      <c r="A503" s="51">
        <v>502.0</v>
      </c>
      <c r="B503" s="47" t="str">
        <f>'Project Stocktaking Template'!B504</f>
        <v>EXTENSION OF DADAAB PIPELINE</v>
      </c>
      <c r="C503" s="47" t="str">
        <f>'Project Stocktaking Template'!H504</f>
        <v>Dadaab</v>
      </c>
      <c r="D503" s="47" t="str">
        <f>'Project Stocktaking Template'!I504</f>
        <v>Dadaab</v>
      </c>
      <c r="E503" s="48" t="str">
        <f>'Project Stocktaking Template'!O504</f>
        <v>1st aug 2024</v>
      </c>
      <c r="F503" s="48" t="str">
        <f>'Project Stocktaking Template'!P504</f>
        <v>30th june 2025</v>
      </c>
      <c r="G503" s="48" t="str">
        <f>'Project Stocktaking Template'!Q504</f>
        <v>30th june 2025</v>
      </c>
      <c r="H503" s="49">
        <f>'Project Stocktaking Template'!R504</f>
        <v>4000000</v>
      </c>
      <c r="I503" s="50" t="str">
        <f>'Project Stocktaking Template'!AD504</f>
        <v/>
      </c>
      <c r="J503" s="45"/>
      <c r="K503" s="45"/>
      <c r="L503" s="45"/>
      <c r="M503" s="45"/>
      <c r="N503" s="45"/>
      <c r="O503" s="45"/>
      <c r="P503" s="45"/>
      <c r="Q503" s="45"/>
      <c r="R503" s="45"/>
      <c r="S503" s="45"/>
      <c r="T503" s="45"/>
      <c r="U503" s="45"/>
      <c r="V503" s="45"/>
      <c r="W503" s="45"/>
      <c r="X503" s="45"/>
      <c r="Y503" s="45"/>
      <c r="Z503" s="45"/>
    </row>
    <row r="504">
      <c r="A504" s="46">
        <v>503.0</v>
      </c>
      <c r="B504" s="47" t="str">
        <f>'Project Stocktaking Template'!B505</f>
        <v>EXTENSION OF PIPELINE AND CONSTRUCTION OF WATER KIOSK AT LABASIGALE</v>
      </c>
      <c r="C504" s="47" t="str">
        <f>'Project Stocktaking Template'!H505</f>
        <v>Dadaab</v>
      </c>
      <c r="D504" s="47" t="str">
        <f>'Project Stocktaking Template'!I505</f>
        <v>Labasigale</v>
      </c>
      <c r="E504" s="48" t="str">
        <f>'Project Stocktaking Template'!O505</f>
        <v>1st aug 2024</v>
      </c>
      <c r="F504" s="48" t="str">
        <f>'Project Stocktaking Template'!P505</f>
        <v>30th june 2025</v>
      </c>
      <c r="G504" s="48" t="str">
        <f>'Project Stocktaking Template'!Q505</f>
        <v>30th june 2025</v>
      </c>
      <c r="H504" s="49">
        <f>'Project Stocktaking Template'!R505</f>
        <v>3923603.1</v>
      </c>
      <c r="I504" s="50" t="str">
        <f>'Project Stocktaking Template'!AD505</f>
        <v/>
      </c>
      <c r="J504" s="45"/>
      <c r="K504" s="45"/>
      <c r="L504" s="45"/>
      <c r="M504" s="45"/>
      <c r="N504" s="45"/>
      <c r="O504" s="45"/>
      <c r="P504" s="45"/>
      <c r="Q504" s="45"/>
      <c r="R504" s="45"/>
      <c r="S504" s="45"/>
      <c r="T504" s="45"/>
      <c r="U504" s="45"/>
      <c r="V504" s="45"/>
      <c r="W504" s="45"/>
      <c r="X504" s="45"/>
      <c r="Y504" s="45"/>
      <c r="Z504" s="45"/>
    </row>
    <row r="505">
      <c r="A505" s="51">
        <v>504.0</v>
      </c>
      <c r="B505" s="47" t="str">
        <f>'Project Stocktaking Template'!B506</f>
        <v>EXTENSION OF PIPPING AT ADC BOREHOLE</v>
      </c>
      <c r="C505" s="47" t="str">
        <f>'Project Stocktaking Template'!H506</f>
        <v>GarissaTownship</v>
      </c>
      <c r="D505" s="47" t="str">
        <f>'Project Stocktaking Template'!I506</f>
        <v>Township</v>
      </c>
      <c r="E505" s="48" t="str">
        <f>'Project Stocktaking Template'!O506</f>
        <v>1st aug 2024</v>
      </c>
      <c r="F505" s="48" t="str">
        <f>'Project Stocktaking Template'!P506</f>
        <v>30th june 2025</v>
      </c>
      <c r="G505" s="48" t="str">
        <f>'Project Stocktaking Template'!Q506</f>
        <v>30th june 2025</v>
      </c>
      <c r="H505" s="49">
        <f>'Project Stocktaking Template'!R506</f>
        <v>2100000</v>
      </c>
      <c r="I505" s="50" t="str">
        <f>'Project Stocktaking Template'!AD506</f>
        <v/>
      </c>
      <c r="J505" s="45"/>
      <c r="K505" s="45"/>
      <c r="L505" s="45"/>
      <c r="M505" s="45"/>
      <c r="N505" s="45"/>
      <c r="O505" s="45"/>
      <c r="P505" s="45"/>
      <c r="Q505" s="45"/>
      <c r="R505" s="45"/>
      <c r="S505" s="45"/>
      <c r="T505" s="45"/>
      <c r="U505" s="45"/>
      <c r="V505" s="45"/>
      <c r="W505" s="45"/>
      <c r="X505" s="45"/>
      <c r="Y505" s="45"/>
      <c r="Z505" s="45"/>
    </row>
    <row r="506">
      <c r="A506" s="46">
        <v>505.0</v>
      </c>
      <c r="B506" s="47" t="str">
        <f>'Project Stocktaking Template'!B507</f>
        <v>EXTENSION OF PIPPING KONE MODOGASHE </v>
      </c>
      <c r="C506" s="47" t="str">
        <f>'Project Stocktaking Template'!H507</f>
        <v>Lagdera</v>
      </c>
      <c r="D506" s="47" t="str">
        <f>'Project Stocktaking Template'!I507</f>
        <v>Jarajara</v>
      </c>
      <c r="E506" s="48" t="str">
        <f>'Project Stocktaking Template'!O507</f>
        <v>1st aug 2024</v>
      </c>
      <c r="F506" s="48" t="str">
        <f>'Project Stocktaking Template'!P507</f>
        <v>30th june 2025</v>
      </c>
      <c r="G506" s="48" t="str">
        <f>'Project Stocktaking Template'!Q507</f>
        <v>30th june 2025</v>
      </c>
      <c r="H506" s="49">
        <f>'Project Stocktaking Template'!R507</f>
        <v>40000000</v>
      </c>
      <c r="I506" s="50" t="str">
        <f>'Project Stocktaking Template'!AD507</f>
        <v/>
      </c>
      <c r="J506" s="45"/>
      <c r="K506" s="45"/>
      <c r="L506" s="45"/>
      <c r="M506" s="45"/>
      <c r="N506" s="45"/>
      <c r="O506" s="45"/>
      <c r="P506" s="45"/>
      <c r="Q506" s="45"/>
      <c r="R506" s="45"/>
      <c r="S506" s="45"/>
      <c r="T506" s="45"/>
      <c r="U506" s="45"/>
      <c r="V506" s="45"/>
      <c r="W506" s="45"/>
      <c r="X506" s="45"/>
      <c r="Y506" s="45"/>
      <c r="Z506" s="45"/>
    </row>
    <row r="507">
      <c r="A507" s="51">
        <v>506.0</v>
      </c>
      <c r="B507" s="47" t="str">
        <f>'Project Stocktaking Template'!B508</f>
        <v>EXTESION PIPPING TO GUBAKIBIR PRIMARY</v>
      </c>
      <c r="C507" s="47" t="str">
        <f>'Project Stocktaking Template'!H508</f>
        <v>GarissaTownship</v>
      </c>
      <c r="D507" s="47" t="str">
        <f>'Project Stocktaking Template'!I508</f>
        <v>Township</v>
      </c>
      <c r="E507" s="48" t="str">
        <f>'Project Stocktaking Template'!O508</f>
        <v>1st aug 2024</v>
      </c>
      <c r="F507" s="48" t="str">
        <f>'Project Stocktaking Template'!P508</f>
        <v>30th june 2025</v>
      </c>
      <c r="G507" s="48" t="str">
        <f>'Project Stocktaking Template'!Q508</f>
        <v>30th june 2025</v>
      </c>
      <c r="H507" s="49">
        <f>'Project Stocktaking Template'!R508</f>
        <v>1033543.45</v>
      </c>
      <c r="I507" s="50" t="str">
        <f>'Project Stocktaking Template'!AD508</f>
        <v/>
      </c>
      <c r="J507" s="45"/>
      <c r="K507" s="45"/>
      <c r="L507" s="45"/>
      <c r="M507" s="45"/>
      <c r="N507" s="45"/>
      <c r="O507" s="45"/>
      <c r="P507" s="45"/>
      <c r="Q507" s="45"/>
      <c r="R507" s="45"/>
      <c r="S507" s="45"/>
      <c r="T507" s="45"/>
      <c r="U507" s="45"/>
      <c r="V507" s="45"/>
      <c r="W507" s="45"/>
      <c r="X507" s="45"/>
      <c r="Y507" s="45"/>
      <c r="Z507" s="45"/>
    </row>
    <row r="508">
      <c r="A508" s="46">
        <v>507.0</v>
      </c>
      <c r="B508" s="47" t="str">
        <f>'Project Stocktaking Template'!B509</f>
        <v>INSTALLATION OF STREET LIGHT AT LAMU ROAD</v>
      </c>
      <c r="C508" s="47" t="str">
        <f>'Project Stocktaking Template'!H509</f>
        <v>GarissaTownship</v>
      </c>
      <c r="D508" s="47" t="str">
        <f>'Project Stocktaking Template'!I509</f>
        <v>Township</v>
      </c>
      <c r="E508" s="48" t="str">
        <f>'Project Stocktaking Template'!O509</f>
        <v>1st aug 2024</v>
      </c>
      <c r="F508" s="48" t="str">
        <f>'Project Stocktaking Template'!P509</f>
        <v>30th june 2025</v>
      </c>
      <c r="G508" s="48" t="str">
        <f>'Project Stocktaking Template'!Q509</f>
        <v>30th june 2025</v>
      </c>
      <c r="H508" s="49">
        <f>'Project Stocktaking Template'!R509</f>
        <v>3200000</v>
      </c>
      <c r="I508" s="50" t="str">
        <f>'Project Stocktaking Template'!AD509</f>
        <v/>
      </c>
      <c r="J508" s="45"/>
      <c r="K508" s="45"/>
      <c r="L508" s="45"/>
      <c r="M508" s="45"/>
      <c r="N508" s="45"/>
      <c r="O508" s="45"/>
      <c r="P508" s="45"/>
      <c r="Q508" s="45"/>
      <c r="R508" s="45"/>
      <c r="S508" s="45"/>
      <c r="T508" s="45"/>
      <c r="U508" s="45"/>
      <c r="V508" s="45"/>
      <c r="W508" s="45"/>
      <c r="X508" s="45"/>
      <c r="Y508" s="45"/>
      <c r="Z508" s="45"/>
    </row>
    <row r="509">
      <c r="A509" s="51">
        <v>508.0</v>
      </c>
      <c r="B509" s="47" t="str">
        <f>'Project Stocktaking Template'!B510</f>
        <v>INSTALLATION OF STREET LIGHT AT LAMU ROAD</v>
      </c>
      <c r="C509" s="47" t="str">
        <f>'Project Stocktaking Template'!H510</f>
        <v>GarissaTownship</v>
      </c>
      <c r="D509" s="47" t="str">
        <f>'Project Stocktaking Template'!I510</f>
        <v>Township</v>
      </c>
      <c r="E509" s="48" t="str">
        <f>'Project Stocktaking Template'!O510</f>
        <v>1st aug 2024</v>
      </c>
      <c r="F509" s="48" t="str">
        <f>'Project Stocktaking Template'!P510</f>
        <v>30th june 2025</v>
      </c>
      <c r="G509" s="48" t="str">
        <f>'Project Stocktaking Template'!Q510</f>
        <v>30th june 2025</v>
      </c>
      <c r="H509" s="49">
        <f>'Project Stocktaking Template'!R510</f>
        <v>2200000</v>
      </c>
      <c r="I509" s="50" t="str">
        <f>'Project Stocktaking Template'!AD510</f>
        <v/>
      </c>
      <c r="J509" s="45"/>
      <c r="K509" s="45"/>
      <c r="L509" s="45"/>
      <c r="M509" s="45"/>
      <c r="N509" s="45"/>
      <c r="O509" s="45"/>
      <c r="P509" s="45"/>
      <c r="Q509" s="45"/>
      <c r="R509" s="45"/>
      <c r="S509" s="45"/>
      <c r="T509" s="45"/>
      <c r="U509" s="45"/>
      <c r="V509" s="45"/>
      <c r="W509" s="45"/>
      <c r="X509" s="45"/>
      <c r="Y509" s="45"/>
      <c r="Z509" s="45"/>
    </row>
    <row r="510">
      <c r="A510" s="46">
        <v>509.0</v>
      </c>
      <c r="B510" s="47" t="str">
        <f>'Project Stocktaking Template'!B511</f>
        <v>LAST MILE CONNECTIVITY FOR MARAMTU PROJECT</v>
      </c>
      <c r="C510" s="47" t="str">
        <f>'Project Stocktaking Template'!H511</f>
        <v>GarissaTownship</v>
      </c>
      <c r="D510" s="47" t="str">
        <f>'Project Stocktaking Template'!I511</f>
        <v>Iftin</v>
      </c>
      <c r="E510" s="48" t="str">
        <f>'Project Stocktaking Template'!O511</f>
        <v>1st aug 2024</v>
      </c>
      <c r="F510" s="48" t="str">
        <f>'Project Stocktaking Template'!P511</f>
        <v>30th june 2025</v>
      </c>
      <c r="G510" s="48" t="str">
        <f>'Project Stocktaking Template'!Q511</f>
        <v>30th june 2025</v>
      </c>
      <c r="H510" s="49">
        <f>'Project Stocktaking Template'!R511</f>
        <v>12769394.85</v>
      </c>
      <c r="I510" s="50" t="str">
        <f>'Project Stocktaking Template'!AD511</f>
        <v/>
      </c>
      <c r="J510" s="45"/>
      <c r="K510" s="45"/>
      <c r="L510" s="45"/>
      <c r="M510" s="45"/>
      <c r="N510" s="45"/>
      <c r="O510" s="45"/>
      <c r="P510" s="45"/>
      <c r="Q510" s="45"/>
      <c r="R510" s="45"/>
      <c r="S510" s="45"/>
      <c r="T510" s="45"/>
      <c r="U510" s="45"/>
      <c r="V510" s="45"/>
      <c r="W510" s="45"/>
      <c r="X510" s="45"/>
      <c r="Y510" s="45"/>
      <c r="Z510" s="45"/>
    </row>
    <row r="511">
      <c r="A511" s="51">
        <v>510.0</v>
      </c>
      <c r="B511" s="47" t="str">
        <f>'Project Stocktaking Template'!B512</f>
        <v>REHABILITATION AND EQUIPING OF BAHURI WATER PROJECT</v>
      </c>
      <c r="C511" s="47" t="str">
        <f>'Project Stocktaking Template'!H512</f>
        <v>Dadaab</v>
      </c>
      <c r="D511" s="47" t="str">
        <f>'Project Stocktaking Template'!I512</f>
        <v>Dertu</v>
      </c>
      <c r="E511" s="48" t="str">
        <f>'Project Stocktaking Template'!O512</f>
        <v>1st aug 2024</v>
      </c>
      <c r="F511" s="48" t="str">
        <f>'Project Stocktaking Template'!P512</f>
        <v>30th june 2025</v>
      </c>
      <c r="G511" s="48" t="str">
        <f>'Project Stocktaking Template'!Q512</f>
        <v>30th june 2025</v>
      </c>
      <c r="H511" s="49">
        <f>'Project Stocktaking Template'!R512</f>
        <v>12602656.15</v>
      </c>
      <c r="I511" s="50" t="str">
        <f>'Project Stocktaking Template'!AD512</f>
        <v/>
      </c>
      <c r="J511" s="45"/>
      <c r="K511" s="45"/>
      <c r="L511" s="45"/>
      <c r="M511" s="45"/>
      <c r="N511" s="45"/>
      <c r="O511" s="45"/>
      <c r="P511" s="45"/>
      <c r="Q511" s="45"/>
      <c r="R511" s="45"/>
      <c r="S511" s="45"/>
      <c r="T511" s="45"/>
      <c r="U511" s="45"/>
      <c r="V511" s="45"/>
      <c r="W511" s="45"/>
      <c r="X511" s="45"/>
      <c r="Y511" s="45"/>
      <c r="Z511" s="45"/>
    </row>
    <row r="512">
      <c r="A512" s="46">
        <v>511.0</v>
      </c>
      <c r="B512" s="47" t="str">
        <f>'Project Stocktaking Template'!B513</f>
        <v>REHABILITATION OF BOREHOLE IN BALAMBALA</v>
      </c>
      <c r="C512" s="47" t="str">
        <f>'Project Stocktaking Template'!H513</f>
        <v>Balambala</v>
      </c>
      <c r="D512" s="47" t="str">
        <f>'Project Stocktaking Template'!I513</f>
        <v>Balambala</v>
      </c>
      <c r="E512" s="48" t="str">
        <f>'Project Stocktaking Template'!O513</f>
        <v>1st aug 2024</v>
      </c>
      <c r="F512" s="48" t="str">
        <f>'Project Stocktaking Template'!P513</f>
        <v>30th june 2025</v>
      </c>
      <c r="G512" s="48" t="str">
        <f>'Project Stocktaking Template'!Q513</f>
        <v>30th june 2025</v>
      </c>
      <c r="H512" s="49">
        <f>'Project Stocktaking Template'!R513</f>
        <v>4275000</v>
      </c>
      <c r="I512" s="50" t="str">
        <f>'Project Stocktaking Template'!AD513</f>
        <v/>
      </c>
      <c r="J512" s="45"/>
      <c r="K512" s="45"/>
      <c r="L512" s="45"/>
      <c r="M512" s="45"/>
      <c r="N512" s="45"/>
      <c r="O512" s="45"/>
      <c r="P512" s="45"/>
      <c r="Q512" s="45"/>
      <c r="R512" s="45"/>
      <c r="S512" s="45"/>
      <c r="T512" s="45"/>
      <c r="U512" s="45"/>
      <c r="V512" s="45"/>
      <c r="W512" s="45"/>
      <c r="X512" s="45"/>
      <c r="Y512" s="45"/>
      <c r="Z512" s="45"/>
    </row>
    <row r="513">
      <c r="A513" s="51">
        <v>512.0</v>
      </c>
      <c r="B513" s="47" t="str">
        <f>'Project Stocktaking Template'!B514</f>
        <v>REHABILITATION OF BOREHOLE IN LABIQALOC CENTRE</v>
      </c>
      <c r="C513" s="47" t="str">
        <f>'Project Stocktaking Template'!H514</f>
        <v>GarissaTownship</v>
      </c>
      <c r="D513" s="47" t="str">
        <f>'Project Stocktaking Template'!I514</f>
        <v>Township</v>
      </c>
      <c r="E513" s="48" t="str">
        <f>'Project Stocktaking Template'!O514</f>
        <v>1st aug 2024</v>
      </c>
      <c r="F513" s="48" t="str">
        <f>'Project Stocktaking Template'!P514</f>
        <v>30th june 2025</v>
      </c>
      <c r="G513" s="48" t="str">
        <f>'Project Stocktaking Template'!Q514</f>
        <v>30th june 2025</v>
      </c>
      <c r="H513" s="49">
        <f>'Project Stocktaking Template'!R514</f>
        <v>4673807</v>
      </c>
      <c r="I513" s="50" t="str">
        <f>'Project Stocktaking Template'!AD514</f>
        <v/>
      </c>
      <c r="J513" s="45"/>
      <c r="K513" s="45"/>
      <c r="L513" s="45"/>
      <c r="M513" s="45"/>
      <c r="N513" s="45"/>
      <c r="O513" s="45"/>
      <c r="P513" s="45"/>
      <c r="Q513" s="45"/>
      <c r="R513" s="45"/>
      <c r="S513" s="45"/>
      <c r="T513" s="45"/>
      <c r="U513" s="45"/>
      <c r="V513" s="45"/>
      <c r="W513" s="45"/>
      <c r="X513" s="45"/>
      <c r="Y513" s="45"/>
      <c r="Z513" s="45"/>
    </row>
    <row r="514">
      <c r="A514" s="46">
        <v>513.0</v>
      </c>
      <c r="B514" s="47" t="str">
        <f>'Project Stocktaking Template'!B515</f>
        <v>REHABILITATION OF BOREHOLE IN LANDERE</v>
      </c>
      <c r="C514" s="47" t="str">
        <f>'Project Stocktaking Template'!H515</f>
        <v>GarissaTownship</v>
      </c>
      <c r="D514" s="47" t="str">
        <f>'Project Stocktaking Template'!I515</f>
        <v>Township</v>
      </c>
      <c r="E514" s="48" t="str">
        <f>'Project Stocktaking Template'!O515</f>
        <v>1st aug 2024</v>
      </c>
      <c r="F514" s="48" t="str">
        <f>'Project Stocktaking Template'!P515</f>
        <v>30th june 2025</v>
      </c>
      <c r="G514" s="48" t="str">
        <f>'Project Stocktaking Template'!Q515</f>
        <v>30th june 2025</v>
      </c>
      <c r="H514" s="49">
        <f>'Project Stocktaking Template'!R515</f>
        <v>4664500</v>
      </c>
      <c r="I514" s="50" t="str">
        <f>'Project Stocktaking Template'!AD515</f>
        <v/>
      </c>
      <c r="J514" s="45"/>
      <c r="K514" s="45"/>
      <c r="L514" s="45"/>
      <c r="M514" s="45"/>
      <c r="N514" s="45"/>
      <c r="O514" s="45"/>
      <c r="P514" s="45"/>
      <c r="Q514" s="45"/>
      <c r="R514" s="45"/>
      <c r="S514" s="45"/>
      <c r="T514" s="45"/>
      <c r="U514" s="45"/>
      <c r="V514" s="45"/>
      <c r="W514" s="45"/>
      <c r="X514" s="45"/>
      <c r="Y514" s="45"/>
      <c r="Z514" s="45"/>
    </row>
    <row r="515">
      <c r="A515" s="51">
        <v>514.0</v>
      </c>
      <c r="B515" s="47" t="str">
        <f>'Project Stocktaking Template'!B516</f>
        <v>REHABILITATION OF MASALANI WATER PLANT</v>
      </c>
      <c r="C515" s="47" t="str">
        <f>'Project Stocktaking Template'!H516</f>
        <v>Ijara</v>
      </c>
      <c r="D515" s="47" t="str">
        <f>'Project Stocktaking Template'!I516</f>
        <v>Masalani</v>
      </c>
      <c r="E515" s="48" t="str">
        <f>'Project Stocktaking Template'!O516</f>
        <v>1st aug 2024</v>
      </c>
      <c r="F515" s="48" t="str">
        <f>'Project Stocktaking Template'!P516</f>
        <v>30th june 2025</v>
      </c>
      <c r="G515" s="48" t="str">
        <f>'Project Stocktaking Template'!Q516</f>
        <v>30th june 2025</v>
      </c>
      <c r="H515" s="49">
        <f>'Project Stocktaking Template'!R516</f>
        <v>4093241.4</v>
      </c>
      <c r="I515" s="50" t="str">
        <f>'Project Stocktaking Template'!AD516</f>
        <v/>
      </c>
      <c r="J515" s="45"/>
      <c r="K515" s="45"/>
      <c r="L515" s="45"/>
      <c r="M515" s="45"/>
      <c r="N515" s="45"/>
      <c r="O515" s="45"/>
      <c r="P515" s="45"/>
      <c r="Q515" s="45"/>
      <c r="R515" s="45"/>
      <c r="S515" s="45"/>
      <c r="T515" s="45"/>
      <c r="U515" s="45"/>
      <c r="V515" s="45"/>
      <c r="W515" s="45"/>
      <c r="X515" s="45"/>
      <c r="Y515" s="45"/>
      <c r="Z515" s="45"/>
    </row>
    <row r="516">
      <c r="A516" s="46">
        <v>515.0</v>
      </c>
      <c r="B516" s="47" t="str">
        <f>'Project Stocktaking Template'!B517</f>
        <v>REHABILITATION OF TWO TWIN TANKS AT GARISSA UNIVERSITY</v>
      </c>
      <c r="C516" s="47" t="str">
        <f>'Project Stocktaking Template'!H517</f>
        <v>GarissaTownship</v>
      </c>
      <c r="D516" s="47" t="str">
        <f>'Project Stocktaking Template'!I517</f>
        <v>Township</v>
      </c>
      <c r="E516" s="48" t="str">
        <f>'Project Stocktaking Template'!O517</f>
        <v>1st aug 2024</v>
      </c>
      <c r="F516" s="48" t="str">
        <f>'Project Stocktaking Template'!P517</f>
        <v>30th june 2025</v>
      </c>
      <c r="G516" s="48" t="str">
        <f>'Project Stocktaking Template'!Q517</f>
        <v>30th june 2025</v>
      </c>
      <c r="H516" s="49">
        <f>'Project Stocktaking Template'!R517</f>
        <v>15605482.75</v>
      </c>
      <c r="I516" s="50" t="str">
        <f>'Project Stocktaking Template'!AD517</f>
        <v/>
      </c>
      <c r="J516" s="45"/>
      <c r="K516" s="45"/>
      <c r="L516" s="45"/>
      <c r="M516" s="45"/>
      <c r="N516" s="45"/>
      <c r="O516" s="45"/>
      <c r="P516" s="45"/>
      <c r="Q516" s="45"/>
      <c r="R516" s="45"/>
      <c r="S516" s="45"/>
      <c r="T516" s="45"/>
      <c r="U516" s="45"/>
      <c r="V516" s="45"/>
      <c r="W516" s="45"/>
      <c r="X516" s="45"/>
      <c r="Y516" s="45"/>
      <c r="Z516" s="45"/>
    </row>
    <row r="517">
      <c r="A517" s="51">
        <v>516.0</v>
      </c>
      <c r="B517" s="47" t="str">
        <f>'Project Stocktaking Template'!B518</f>
        <v>REHABILTATION OF BURA BOREHOLE</v>
      </c>
      <c r="C517" s="47" t="str">
        <f>'Project Stocktaking Template'!H518</f>
        <v>GarissaTownship</v>
      </c>
      <c r="D517" s="47" t="str">
        <f>'Project Stocktaking Template'!I518</f>
        <v>Township</v>
      </c>
      <c r="E517" s="48" t="str">
        <f>'Project Stocktaking Template'!O518</f>
        <v>1st aug 2024</v>
      </c>
      <c r="F517" s="48" t="str">
        <f>'Project Stocktaking Template'!P518</f>
        <v>30th june 2025</v>
      </c>
      <c r="G517" s="48" t="str">
        <f>'Project Stocktaking Template'!Q518</f>
        <v>30th june 2025</v>
      </c>
      <c r="H517" s="49">
        <f>'Project Stocktaking Template'!R518</f>
        <v>2473000</v>
      </c>
      <c r="I517" s="50" t="str">
        <f>'Project Stocktaking Template'!AD518</f>
        <v/>
      </c>
      <c r="J517" s="45"/>
      <c r="K517" s="45"/>
      <c r="L517" s="45"/>
      <c r="M517" s="45"/>
      <c r="N517" s="45"/>
      <c r="O517" s="45"/>
      <c r="P517" s="45"/>
      <c r="Q517" s="45"/>
      <c r="R517" s="45"/>
      <c r="S517" s="45"/>
      <c r="T517" s="45"/>
      <c r="U517" s="45"/>
      <c r="V517" s="45"/>
      <c r="W517" s="45"/>
      <c r="X517" s="45"/>
      <c r="Y517" s="45"/>
      <c r="Z517" s="45"/>
    </row>
    <row r="518">
      <c r="A518" s="46">
        <v>517.0</v>
      </c>
      <c r="B518" s="47" t="str">
        <f>'Project Stocktaking Template'!B519</f>
        <v>RENNOVATION OF BALAMBALA MUNICIPALITY OFFICES</v>
      </c>
      <c r="C518" s="47" t="str">
        <f>'Project Stocktaking Template'!H519</f>
        <v>Balambala</v>
      </c>
      <c r="D518" s="47" t="str">
        <f>'Project Stocktaking Template'!I519</f>
        <v>Balambala</v>
      </c>
      <c r="E518" s="48" t="str">
        <f>'Project Stocktaking Template'!O519</f>
        <v>1st aug 2024</v>
      </c>
      <c r="F518" s="48" t="str">
        <f>'Project Stocktaking Template'!P519</f>
        <v>30th june 2025</v>
      </c>
      <c r="G518" s="48" t="str">
        <f>'Project Stocktaking Template'!Q519</f>
        <v>30th june 2025</v>
      </c>
      <c r="H518" s="49">
        <f>'Project Stocktaking Template'!R519</f>
        <v>15000000</v>
      </c>
      <c r="I518" s="50" t="str">
        <f>'Project Stocktaking Template'!AD519</f>
        <v/>
      </c>
      <c r="J518" s="45"/>
      <c r="K518" s="45"/>
      <c r="L518" s="45"/>
      <c r="M518" s="45"/>
      <c r="N518" s="45"/>
      <c r="O518" s="45"/>
      <c r="P518" s="45"/>
      <c r="Q518" s="45"/>
      <c r="R518" s="45"/>
      <c r="S518" s="45"/>
      <c r="T518" s="45"/>
      <c r="U518" s="45"/>
      <c r="V518" s="45"/>
      <c r="W518" s="45"/>
      <c r="X518" s="45"/>
      <c r="Y518" s="45"/>
      <c r="Z518" s="45"/>
    </row>
    <row r="519">
      <c r="A519" s="51">
        <v>518.0</v>
      </c>
      <c r="B519" s="47" t="str">
        <f>'Project Stocktaking Template'!B520</f>
        <v>RENNOVATION OF GARISSA SLAUGHTER HOUSE</v>
      </c>
      <c r="C519" s="47" t="str">
        <f>'Project Stocktaking Template'!H520</f>
        <v>GarissaTownship</v>
      </c>
      <c r="D519" s="47" t="str">
        <f>'Project Stocktaking Template'!I520</f>
        <v>Township</v>
      </c>
      <c r="E519" s="48" t="str">
        <f>'Project Stocktaking Template'!O520</f>
        <v>1st aug 2024</v>
      </c>
      <c r="F519" s="48" t="str">
        <f>'Project Stocktaking Template'!P520</f>
        <v>30th june 2025</v>
      </c>
      <c r="G519" s="48" t="str">
        <f>'Project Stocktaking Template'!Q520</f>
        <v>30th june 2025</v>
      </c>
      <c r="H519" s="49">
        <f>'Project Stocktaking Template'!R520</f>
        <v>4250000</v>
      </c>
      <c r="I519" s="50" t="str">
        <f>'Project Stocktaking Template'!AD520</f>
        <v/>
      </c>
      <c r="J519" s="45"/>
      <c r="K519" s="45"/>
      <c r="L519" s="45"/>
      <c r="M519" s="45"/>
      <c r="N519" s="45"/>
      <c r="O519" s="45"/>
      <c r="P519" s="45"/>
      <c r="Q519" s="45"/>
      <c r="R519" s="45"/>
      <c r="S519" s="45"/>
      <c r="T519" s="45"/>
      <c r="U519" s="45"/>
      <c r="V519" s="45"/>
      <c r="W519" s="45"/>
      <c r="X519" s="45"/>
      <c r="Y519" s="45"/>
      <c r="Z519" s="45"/>
    </row>
    <row r="520">
      <c r="A520" s="46">
        <v>519.0</v>
      </c>
      <c r="B520" s="47" t="str">
        <f>'Project Stocktaking Template'!B521</f>
        <v>RENNOVATION OF LIBOI SUB COUNTY HOSPITAL</v>
      </c>
      <c r="C520" s="47" t="str">
        <f>'Project Stocktaking Template'!H521</f>
        <v>Dadaab</v>
      </c>
      <c r="D520" s="47" t="str">
        <f>'Project Stocktaking Template'!I521</f>
        <v>Liboi</v>
      </c>
      <c r="E520" s="48" t="str">
        <f>'Project Stocktaking Template'!O521</f>
        <v>1st aug 2024</v>
      </c>
      <c r="F520" s="48" t="str">
        <f>'Project Stocktaking Template'!P521</f>
        <v>30th june 2025</v>
      </c>
      <c r="G520" s="48" t="str">
        <f>'Project Stocktaking Template'!Q521</f>
        <v>30th june 2025</v>
      </c>
      <c r="H520" s="49">
        <f>'Project Stocktaking Template'!R521</f>
        <v>3325758.6</v>
      </c>
      <c r="I520" s="50" t="str">
        <f>'Project Stocktaking Template'!AD521</f>
        <v/>
      </c>
      <c r="J520" s="45"/>
      <c r="K520" s="45"/>
      <c r="L520" s="45"/>
      <c r="M520" s="45"/>
      <c r="N520" s="45"/>
      <c r="O520" s="45"/>
      <c r="P520" s="45"/>
      <c r="Q520" s="45"/>
      <c r="R520" s="45"/>
      <c r="S520" s="45"/>
      <c r="T520" s="45"/>
      <c r="U520" s="45"/>
      <c r="V520" s="45"/>
      <c r="W520" s="45"/>
      <c r="X520" s="45"/>
      <c r="Y520" s="45"/>
      <c r="Z520" s="45"/>
    </row>
    <row r="521">
      <c r="A521" s="51">
        <v>520.0</v>
      </c>
      <c r="B521" s="47" t="str">
        <f>'Project Stocktaking Template'!B522</f>
        <v>RENNOVATION WORKS AT MODOGASHE</v>
      </c>
      <c r="C521" s="47" t="str">
        <f>'Project Stocktaking Template'!H522</f>
        <v>Lagdera</v>
      </c>
      <c r="D521" s="47" t="str">
        <f>'Project Stocktaking Template'!I522</f>
        <v>Modogashe</v>
      </c>
      <c r="E521" s="48" t="str">
        <f>'Project Stocktaking Template'!O522</f>
        <v>1st aug 2024</v>
      </c>
      <c r="F521" s="48" t="str">
        <f>'Project Stocktaking Template'!P522</f>
        <v>30th june 2025</v>
      </c>
      <c r="G521" s="48" t="str">
        <f>'Project Stocktaking Template'!Q522</f>
        <v>30th june 2025</v>
      </c>
      <c r="H521" s="49">
        <f>'Project Stocktaking Template'!R522</f>
        <v>2250000</v>
      </c>
      <c r="I521" s="50" t="str">
        <f>'Project Stocktaking Template'!AD522</f>
        <v/>
      </c>
      <c r="J521" s="45"/>
      <c r="K521" s="45"/>
      <c r="L521" s="45"/>
      <c r="M521" s="45"/>
      <c r="N521" s="45"/>
      <c r="O521" s="45"/>
      <c r="P521" s="45"/>
      <c r="Q521" s="45"/>
      <c r="R521" s="45"/>
      <c r="S521" s="45"/>
      <c r="T521" s="45"/>
      <c r="U521" s="45"/>
      <c r="V521" s="45"/>
      <c r="W521" s="45"/>
      <c r="X521" s="45"/>
      <c r="Y521" s="45"/>
      <c r="Z521" s="45"/>
    </row>
    <row r="522">
      <c r="A522" s="46">
        <v>521.0</v>
      </c>
      <c r="B522" s="47" t="str">
        <f>'Project Stocktaking Template'!B523</f>
        <v>RENOVATION OF BALAMBALA LIVESTOCK MARKET</v>
      </c>
      <c r="C522" s="47" t="str">
        <f>'Project Stocktaking Template'!H523</f>
        <v>Balambala</v>
      </c>
      <c r="D522" s="47" t="str">
        <f>'Project Stocktaking Template'!I523</f>
        <v>Balambala</v>
      </c>
      <c r="E522" s="48" t="str">
        <f>'Project Stocktaking Template'!O523</f>
        <v>1st aug 2024</v>
      </c>
      <c r="F522" s="48" t="str">
        <f>'Project Stocktaking Template'!P523</f>
        <v>30th june 2025</v>
      </c>
      <c r="G522" s="48" t="str">
        <f>'Project Stocktaking Template'!Q523</f>
        <v>30th june 2025</v>
      </c>
      <c r="H522" s="49">
        <f>'Project Stocktaking Template'!R523</f>
        <v>4250000</v>
      </c>
      <c r="I522" s="50" t="str">
        <f>'Project Stocktaking Template'!AD523</f>
        <v/>
      </c>
      <c r="J522" s="45"/>
      <c r="K522" s="45"/>
      <c r="L522" s="45"/>
      <c r="M522" s="45"/>
      <c r="N522" s="45"/>
      <c r="O522" s="45"/>
      <c r="P522" s="45"/>
      <c r="Q522" s="45"/>
      <c r="R522" s="45"/>
      <c r="S522" s="45"/>
      <c r="T522" s="45"/>
      <c r="U522" s="45"/>
      <c r="V522" s="45"/>
      <c r="W522" s="45"/>
      <c r="X522" s="45"/>
      <c r="Y522" s="45"/>
      <c r="Z522" s="45"/>
    </row>
    <row r="523">
      <c r="A523" s="51">
        <v>522.0</v>
      </c>
      <c r="B523" s="47" t="str">
        <f>'Project Stocktaking Template'!B524</f>
        <v>RENOVATION OF BOGYAR DISPENSARY</v>
      </c>
      <c r="C523" s="47" t="str">
        <f>'Project Stocktaking Template'!H524</f>
        <v>Dadaab</v>
      </c>
      <c r="D523" s="47" t="str">
        <f>'Project Stocktaking Template'!I524</f>
        <v>Dadaab</v>
      </c>
      <c r="E523" s="48" t="str">
        <f>'Project Stocktaking Template'!O524</f>
        <v>1st aug 2024</v>
      </c>
      <c r="F523" s="48" t="str">
        <f>'Project Stocktaking Template'!P524</f>
        <v>30th june 2025</v>
      </c>
      <c r="G523" s="48" t="str">
        <f>'Project Stocktaking Template'!Q524</f>
        <v>30th june 2025</v>
      </c>
      <c r="H523" s="49">
        <f>'Project Stocktaking Template'!R524</f>
        <v>600000</v>
      </c>
      <c r="I523" s="50" t="str">
        <f>'Project Stocktaking Template'!AD524</f>
        <v/>
      </c>
      <c r="J523" s="45"/>
      <c r="K523" s="45"/>
      <c r="L523" s="45"/>
      <c r="M523" s="45"/>
      <c r="N523" s="45"/>
      <c r="O523" s="45"/>
      <c r="P523" s="45"/>
      <c r="Q523" s="45"/>
      <c r="R523" s="45"/>
      <c r="S523" s="45"/>
      <c r="T523" s="45"/>
      <c r="U523" s="45"/>
      <c r="V523" s="45"/>
      <c r="W523" s="45"/>
      <c r="X523" s="45"/>
      <c r="Y523" s="45"/>
      <c r="Z523" s="45"/>
    </row>
    <row r="524">
      <c r="A524" s="46">
        <v>523.0</v>
      </c>
      <c r="B524" s="47" t="str">
        <f>'Project Stocktaking Template'!B525</f>
        <v>RENOVATION OF BULTO HAMA DISPENSARY</v>
      </c>
      <c r="C524" s="47" t="str">
        <f>'Project Stocktaking Template'!H525</f>
        <v>GarissaTownship</v>
      </c>
      <c r="D524" s="47" t="str">
        <f>'Project Stocktaking Template'!I525</f>
        <v>Township</v>
      </c>
      <c r="E524" s="48" t="str">
        <f>'Project Stocktaking Template'!O525</f>
        <v>1st aug 2024</v>
      </c>
      <c r="F524" s="48" t="str">
        <f>'Project Stocktaking Template'!P525</f>
        <v>30th june 2025</v>
      </c>
      <c r="G524" s="48" t="str">
        <f>'Project Stocktaking Template'!Q525</f>
        <v>30th june 2025</v>
      </c>
      <c r="H524" s="49">
        <f>'Project Stocktaking Template'!R525</f>
        <v>2540611.8</v>
      </c>
      <c r="I524" s="50" t="str">
        <f>'Project Stocktaking Template'!AD525</f>
        <v/>
      </c>
      <c r="J524" s="45"/>
      <c r="K524" s="45"/>
      <c r="L524" s="45"/>
      <c r="M524" s="45"/>
      <c r="N524" s="45"/>
      <c r="O524" s="45"/>
      <c r="P524" s="45"/>
      <c r="Q524" s="45"/>
      <c r="R524" s="45"/>
      <c r="S524" s="45"/>
      <c r="T524" s="45"/>
      <c r="U524" s="45"/>
      <c r="V524" s="45"/>
      <c r="W524" s="45"/>
      <c r="X524" s="45"/>
      <c r="Y524" s="45"/>
      <c r="Z524" s="45"/>
    </row>
    <row r="525">
      <c r="A525" s="51">
        <v>524.0</v>
      </c>
      <c r="B525" s="47" t="str">
        <f>'Project Stocktaking Template'!B526</f>
        <v>RENOVATION OF CAMEL MARKET IN MODOGASHE</v>
      </c>
      <c r="C525" s="47" t="str">
        <f>'Project Stocktaking Template'!H526</f>
        <v>Lagdera</v>
      </c>
      <c r="D525" s="47" t="str">
        <f>'Project Stocktaking Template'!I526</f>
        <v>Modogashe</v>
      </c>
      <c r="E525" s="48" t="str">
        <f>'Project Stocktaking Template'!O526</f>
        <v>1st aug 2024</v>
      </c>
      <c r="F525" s="48" t="str">
        <f>'Project Stocktaking Template'!P526</f>
        <v>30th june 2025</v>
      </c>
      <c r="G525" s="48" t="str">
        <f>'Project Stocktaking Template'!Q526</f>
        <v>30th june 2025</v>
      </c>
      <c r="H525" s="49">
        <f>'Project Stocktaking Template'!R526</f>
        <v>2755000</v>
      </c>
      <c r="I525" s="50" t="str">
        <f>'Project Stocktaking Template'!AD526</f>
        <v/>
      </c>
      <c r="J525" s="45"/>
      <c r="K525" s="45"/>
      <c r="L525" s="45"/>
      <c r="M525" s="45"/>
      <c r="N525" s="45"/>
      <c r="O525" s="45"/>
      <c r="P525" s="45"/>
      <c r="Q525" s="45"/>
      <c r="R525" s="45"/>
      <c r="S525" s="45"/>
      <c r="T525" s="45"/>
      <c r="U525" s="45"/>
      <c r="V525" s="45"/>
      <c r="W525" s="45"/>
      <c r="X525" s="45"/>
      <c r="Y525" s="45"/>
      <c r="Z525" s="45"/>
    </row>
    <row r="526">
      <c r="A526" s="46">
        <v>525.0</v>
      </c>
      <c r="B526" s="47" t="str">
        <f>'Project Stocktaking Template'!B527</f>
        <v>RENOVATION OF CHIEF OFFICER OFFICE AND CONSTRUCTION OF WATER TANK</v>
      </c>
      <c r="C526" s="47" t="str">
        <f>'Project Stocktaking Template'!H527</f>
        <v>GarissaTownship</v>
      </c>
      <c r="D526" s="47" t="str">
        <f>'Project Stocktaking Template'!I527</f>
        <v>Township</v>
      </c>
      <c r="E526" s="48" t="str">
        <f>'Project Stocktaking Template'!O527</f>
        <v>1st aug 2024</v>
      </c>
      <c r="F526" s="48" t="str">
        <f>'Project Stocktaking Template'!P527</f>
        <v>30th june 2025</v>
      </c>
      <c r="G526" s="48" t="str">
        <f>'Project Stocktaking Template'!Q527</f>
        <v>30th june 2025</v>
      </c>
      <c r="H526" s="49">
        <f>'Project Stocktaking Template'!R527</f>
        <v>4419116</v>
      </c>
      <c r="I526" s="50" t="str">
        <f>'Project Stocktaking Template'!AD527</f>
        <v/>
      </c>
      <c r="J526" s="45"/>
      <c r="K526" s="45"/>
      <c r="L526" s="45"/>
      <c r="M526" s="45"/>
      <c r="N526" s="45"/>
      <c r="O526" s="45"/>
      <c r="P526" s="45"/>
      <c r="Q526" s="45"/>
      <c r="R526" s="45"/>
      <c r="S526" s="45"/>
      <c r="T526" s="45"/>
      <c r="U526" s="45"/>
      <c r="V526" s="45"/>
      <c r="W526" s="45"/>
      <c r="X526" s="45"/>
      <c r="Y526" s="45"/>
      <c r="Z526" s="45"/>
    </row>
    <row r="527">
      <c r="A527" s="51">
        <v>526.0</v>
      </c>
      <c r="B527" s="47" t="str">
        <f>'Project Stocktaking Template'!B528</f>
        <v>RENOVATION OF CLASSROOM NASIB PRIMARY AT IJARA</v>
      </c>
      <c r="C527" s="47" t="str">
        <f>'Project Stocktaking Template'!H528</f>
        <v>Ijara</v>
      </c>
      <c r="D527" s="47" t="str">
        <f>'Project Stocktaking Template'!I528</f>
        <v>Ijara</v>
      </c>
      <c r="E527" s="48" t="str">
        <f>'Project Stocktaking Template'!O528</f>
        <v>1st aug 2024</v>
      </c>
      <c r="F527" s="48" t="str">
        <f>'Project Stocktaking Template'!P528</f>
        <v>30th june 2025</v>
      </c>
      <c r="G527" s="48" t="str">
        <f>'Project Stocktaking Template'!Q528</f>
        <v>30th june 2025</v>
      </c>
      <c r="H527" s="49">
        <f>'Project Stocktaking Template'!R528</f>
        <v>3240450</v>
      </c>
      <c r="I527" s="50" t="str">
        <f>'Project Stocktaking Template'!AD528</f>
        <v/>
      </c>
      <c r="J527" s="45"/>
      <c r="K527" s="45"/>
      <c r="L527" s="45"/>
      <c r="M527" s="45"/>
      <c r="N527" s="45"/>
      <c r="O527" s="45"/>
      <c r="P527" s="45"/>
      <c r="Q527" s="45"/>
      <c r="R527" s="45"/>
      <c r="S527" s="45"/>
      <c r="T527" s="45"/>
      <c r="U527" s="45"/>
      <c r="V527" s="45"/>
      <c r="W527" s="45"/>
      <c r="X527" s="45"/>
      <c r="Y527" s="45"/>
      <c r="Z527" s="45"/>
    </row>
    <row r="528">
      <c r="A528" s="46">
        <v>527.0</v>
      </c>
      <c r="B528" s="47" t="str">
        <f>'Project Stocktaking Template'!B529</f>
        <v>RENOVATION OF COOPERATIVE OFFICES</v>
      </c>
      <c r="C528" s="47" t="str">
        <f>'Project Stocktaking Template'!H529</f>
        <v>GarissaTownship</v>
      </c>
      <c r="D528" s="47" t="str">
        <f>'Project Stocktaking Template'!I529</f>
        <v>Township</v>
      </c>
      <c r="E528" s="48" t="str">
        <f>'Project Stocktaking Template'!O529</f>
        <v>1st aug 2024</v>
      </c>
      <c r="F528" s="48" t="str">
        <f>'Project Stocktaking Template'!P529</f>
        <v>30th june 2025</v>
      </c>
      <c r="G528" s="48" t="str">
        <f>'Project Stocktaking Template'!Q529</f>
        <v>30th june 2025</v>
      </c>
      <c r="H528" s="49">
        <f>'Project Stocktaking Template'!R529</f>
        <v>3298884</v>
      </c>
      <c r="I528" s="50" t="str">
        <f>'Project Stocktaking Template'!AD529</f>
        <v/>
      </c>
      <c r="J528" s="45"/>
      <c r="K528" s="45"/>
      <c r="L528" s="45"/>
      <c r="M528" s="45"/>
      <c r="N528" s="45"/>
      <c r="O528" s="45"/>
      <c r="P528" s="45"/>
      <c r="Q528" s="45"/>
      <c r="R528" s="45"/>
      <c r="S528" s="45"/>
      <c r="T528" s="45"/>
      <c r="U528" s="45"/>
      <c r="V528" s="45"/>
      <c r="W528" s="45"/>
      <c r="X528" s="45"/>
      <c r="Y528" s="45"/>
      <c r="Z528" s="45"/>
    </row>
    <row r="529">
      <c r="A529" s="51">
        <v>528.0</v>
      </c>
      <c r="B529" s="47" t="str">
        <f>'Project Stocktaking Template'!B530</f>
        <v>RENOVATION OF DEPT OF HEALTH</v>
      </c>
      <c r="C529" s="47" t="str">
        <f>'Project Stocktaking Template'!H530</f>
        <v>GarissaTownship</v>
      </c>
      <c r="D529" s="47" t="str">
        <f>'Project Stocktaking Template'!I530</f>
        <v>Township</v>
      </c>
      <c r="E529" s="48" t="str">
        <f>'Project Stocktaking Template'!O530</f>
        <v>1st aug 2024</v>
      </c>
      <c r="F529" s="48" t="str">
        <f>'Project Stocktaking Template'!P530</f>
        <v>30th june 2025</v>
      </c>
      <c r="G529" s="48" t="str">
        <f>'Project Stocktaking Template'!Q530</f>
        <v>30th june 2025</v>
      </c>
      <c r="H529" s="49">
        <f>'Project Stocktaking Template'!R530</f>
        <v>4333083</v>
      </c>
      <c r="I529" s="50" t="str">
        <f>'Project Stocktaking Template'!AD530</f>
        <v/>
      </c>
      <c r="J529" s="45"/>
      <c r="K529" s="45"/>
      <c r="L529" s="45"/>
      <c r="M529" s="45"/>
      <c r="N529" s="45"/>
      <c r="O529" s="45"/>
      <c r="P529" s="45"/>
      <c r="Q529" s="45"/>
      <c r="R529" s="45"/>
      <c r="S529" s="45"/>
      <c r="T529" s="45"/>
      <c r="U529" s="45"/>
      <c r="V529" s="45"/>
      <c r="W529" s="45"/>
      <c r="X529" s="45"/>
      <c r="Y529" s="45"/>
      <c r="Z529" s="45"/>
    </row>
    <row r="530">
      <c r="A530" s="46">
        <v>529.0</v>
      </c>
      <c r="B530" s="47" t="str">
        <f>'Project Stocktaking Template'!B531</f>
        <v>RENOVATION OF GARISSA COUNTY PUBLIC SERVICES BOARD</v>
      </c>
      <c r="C530" s="47" t="str">
        <f>'Project Stocktaking Template'!H531</f>
        <v>GarissaTownship</v>
      </c>
      <c r="D530" s="47" t="str">
        <f>'Project Stocktaking Template'!I531</f>
        <v>Township</v>
      </c>
      <c r="E530" s="48" t="str">
        <f>'Project Stocktaking Template'!O531</f>
        <v>1st aug 2024</v>
      </c>
      <c r="F530" s="48" t="str">
        <f>'Project Stocktaking Template'!P531</f>
        <v>30th june 2025</v>
      </c>
      <c r="G530" s="48" t="str">
        <f>'Project Stocktaking Template'!Q531</f>
        <v>30th june 2025</v>
      </c>
      <c r="H530" s="49">
        <f>'Project Stocktaking Template'!R531</f>
        <v>9000000</v>
      </c>
      <c r="I530" s="50" t="str">
        <f>'Project Stocktaking Template'!AD531</f>
        <v/>
      </c>
      <c r="J530" s="45"/>
      <c r="K530" s="45"/>
      <c r="L530" s="45"/>
      <c r="M530" s="45"/>
      <c r="N530" s="45"/>
      <c r="O530" s="45"/>
      <c r="P530" s="45"/>
      <c r="Q530" s="45"/>
      <c r="R530" s="45"/>
      <c r="S530" s="45"/>
      <c r="T530" s="45"/>
      <c r="U530" s="45"/>
      <c r="V530" s="45"/>
      <c r="W530" s="45"/>
      <c r="X530" s="45"/>
      <c r="Y530" s="45"/>
      <c r="Z530" s="45"/>
    </row>
    <row r="531">
      <c r="A531" s="51">
        <v>530.0</v>
      </c>
      <c r="B531" s="47" t="str">
        <f>'Project Stocktaking Template'!B532</f>
        <v>RENOVATION OF KORKORA DISPENSARY</v>
      </c>
      <c r="C531" s="47" t="str">
        <f>'Project Stocktaking Template'!H532</f>
        <v>GarissaTownship</v>
      </c>
      <c r="D531" s="47" t="str">
        <f>'Project Stocktaking Template'!I532</f>
        <v>Iftin</v>
      </c>
      <c r="E531" s="48" t="str">
        <f>'Project Stocktaking Template'!O532</f>
        <v>1st aug 2024</v>
      </c>
      <c r="F531" s="48" t="str">
        <f>'Project Stocktaking Template'!P532</f>
        <v>30th june 2025</v>
      </c>
      <c r="G531" s="48" t="str">
        <f>'Project Stocktaking Template'!Q532</f>
        <v>30th june 2025</v>
      </c>
      <c r="H531" s="49">
        <f>'Project Stocktaking Template'!R532</f>
        <v>2070000</v>
      </c>
      <c r="I531" s="50" t="str">
        <f>'Project Stocktaking Template'!AD532</f>
        <v/>
      </c>
      <c r="J531" s="45"/>
      <c r="K531" s="45"/>
      <c r="L531" s="45"/>
      <c r="M531" s="45"/>
      <c r="N531" s="45"/>
      <c r="O531" s="45"/>
      <c r="P531" s="45"/>
      <c r="Q531" s="45"/>
      <c r="R531" s="45"/>
      <c r="S531" s="45"/>
      <c r="T531" s="45"/>
      <c r="U531" s="45"/>
      <c r="V531" s="45"/>
      <c r="W531" s="45"/>
      <c r="X531" s="45"/>
      <c r="Y531" s="45"/>
      <c r="Z531" s="45"/>
    </row>
    <row r="532">
      <c r="A532" s="46">
        <v>531.0</v>
      </c>
      <c r="B532" s="47" t="str">
        <f>'Project Stocktaking Template'!B533</f>
        <v>RENOVATION OF KUMAHUMATO DISPENSARY</v>
      </c>
      <c r="C532" s="47" t="str">
        <f>'Project Stocktaking Template'!H533</f>
        <v>Dadaab</v>
      </c>
      <c r="D532" s="47" t="str">
        <f>'Project Stocktaking Template'!I533</f>
        <v>Dadaab</v>
      </c>
      <c r="E532" s="48" t="str">
        <f>'Project Stocktaking Template'!O533</f>
        <v>1st aug 2024</v>
      </c>
      <c r="F532" s="48" t="str">
        <f>'Project Stocktaking Template'!P533</f>
        <v>30th june 2025</v>
      </c>
      <c r="G532" s="48" t="str">
        <f>'Project Stocktaking Template'!Q533</f>
        <v>30th june 2025</v>
      </c>
      <c r="H532" s="49">
        <f>'Project Stocktaking Template'!R533</f>
        <v>3000000</v>
      </c>
      <c r="I532" s="50" t="str">
        <f>'Project Stocktaking Template'!AD533</f>
        <v/>
      </c>
      <c r="J532" s="45"/>
      <c r="K532" s="45"/>
      <c r="L532" s="45"/>
      <c r="M532" s="45"/>
      <c r="N532" s="45"/>
      <c r="O532" s="45"/>
      <c r="P532" s="45"/>
      <c r="Q532" s="45"/>
      <c r="R532" s="45"/>
      <c r="S532" s="45"/>
      <c r="T532" s="45"/>
      <c r="U532" s="45"/>
      <c r="V532" s="45"/>
      <c r="W532" s="45"/>
      <c r="X532" s="45"/>
      <c r="Y532" s="45"/>
      <c r="Z532" s="45"/>
    </row>
    <row r="533">
      <c r="A533" s="51">
        <v>532.0</v>
      </c>
      <c r="B533" s="47" t="str">
        <f>'Project Stocktaking Template'!B534</f>
        <v>RENOVATION OF MAALIM DISPENSARY</v>
      </c>
      <c r="C533" s="47" t="str">
        <f>'Project Stocktaking Template'!H534</f>
        <v>GarissaTownship</v>
      </c>
      <c r="D533" s="47" t="str">
        <f>'Project Stocktaking Template'!I534</f>
        <v>Township</v>
      </c>
      <c r="E533" s="48" t="str">
        <f>'Project Stocktaking Template'!O534</f>
        <v>1st aug 2024</v>
      </c>
      <c r="F533" s="48" t="str">
        <f>'Project Stocktaking Template'!P534</f>
        <v>30th june 2025</v>
      </c>
      <c r="G533" s="48" t="str">
        <f>'Project Stocktaking Template'!Q534</f>
        <v>30th june 2025</v>
      </c>
      <c r="H533" s="49">
        <f>'Project Stocktaking Template'!R534</f>
        <v>1870969</v>
      </c>
      <c r="I533" s="50" t="str">
        <f>'Project Stocktaking Template'!AD534</f>
        <v/>
      </c>
      <c r="J533" s="45"/>
      <c r="K533" s="45"/>
      <c r="L533" s="45"/>
      <c r="M533" s="45"/>
      <c r="N533" s="45"/>
      <c r="O533" s="45"/>
      <c r="P533" s="45"/>
      <c r="Q533" s="45"/>
      <c r="R533" s="45"/>
      <c r="S533" s="45"/>
      <c r="T533" s="45"/>
      <c r="U533" s="45"/>
      <c r="V533" s="45"/>
      <c r="W533" s="45"/>
      <c r="X533" s="45"/>
      <c r="Y533" s="45"/>
      <c r="Z533" s="45"/>
    </row>
    <row r="534">
      <c r="A534" s="46">
        <v>533.0</v>
      </c>
      <c r="B534" s="47" t="str">
        <f>'Project Stocktaking Template'!B535</f>
        <v>RENOVATION OF MAALIM DISPENSARY</v>
      </c>
      <c r="C534" s="47" t="str">
        <f>'Project Stocktaking Template'!H535</f>
        <v>GarissaTownship</v>
      </c>
      <c r="D534" s="47" t="str">
        <f>'Project Stocktaking Template'!I535</f>
        <v>Township</v>
      </c>
      <c r="E534" s="48" t="str">
        <f>'Project Stocktaking Template'!O535</f>
        <v>1st aug 2024</v>
      </c>
      <c r="F534" s="48" t="str">
        <f>'Project Stocktaking Template'!P535</f>
        <v>30th june 2025</v>
      </c>
      <c r="G534" s="48" t="str">
        <f>'Project Stocktaking Template'!Q535</f>
        <v>30th june 2025</v>
      </c>
      <c r="H534" s="49">
        <f>'Project Stocktaking Template'!R535</f>
        <v>4251805</v>
      </c>
      <c r="I534" s="50" t="str">
        <f>'Project Stocktaking Template'!AD535</f>
        <v/>
      </c>
      <c r="J534" s="45"/>
      <c r="K534" s="45"/>
      <c r="L534" s="45"/>
      <c r="M534" s="45"/>
      <c r="N534" s="45"/>
      <c r="O534" s="45"/>
      <c r="P534" s="45"/>
      <c r="Q534" s="45"/>
      <c r="R534" s="45"/>
      <c r="S534" s="45"/>
      <c r="T534" s="45"/>
      <c r="U534" s="45"/>
      <c r="V534" s="45"/>
      <c r="W534" s="45"/>
      <c r="X534" s="45"/>
      <c r="Y534" s="45"/>
      <c r="Z534" s="45"/>
    </row>
    <row r="535">
      <c r="A535" s="51">
        <v>534.0</v>
      </c>
      <c r="B535" s="47" t="str">
        <f>'Project Stocktaking Template'!B536</f>
        <v>RENOVATION OF MCH AND NUTRITION OFFICES</v>
      </c>
      <c r="C535" s="47" t="str">
        <f>'Project Stocktaking Template'!H536</f>
        <v>GarissaTownship</v>
      </c>
      <c r="D535" s="47" t="str">
        <f>'Project Stocktaking Template'!I536</f>
        <v>Township</v>
      </c>
      <c r="E535" s="48" t="str">
        <f>'Project Stocktaking Template'!O536</f>
        <v>1st aug 2024</v>
      </c>
      <c r="F535" s="48" t="str">
        <f>'Project Stocktaking Template'!P536</f>
        <v>30th june 2025</v>
      </c>
      <c r="G535" s="48" t="str">
        <f>'Project Stocktaking Template'!Q536</f>
        <v>30th june 2025</v>
      </c>
      <c r="H535" s="49">
        <f>'Project Stocktaking Template'!R536</f>
        <v>3700000</v>
      </c>
      <c r="I535" s="50" t="str">
        <f>'Project Stocktaking Template'!AD536</f>
        <v/>
      </c>
      <c r="J535" s="45"/>
      <c r="K535" s="45"/>
      <c r="L535" s="45"/>
      <c r="M535" s="45"/>
      <c r="N535" s="45"/>
      <c r="O535" s="45"/>
      <c r="P535" s="45"/>
      <c r="Q535" s="45"/>
      <c r="R535" s="45"/>
      <c r="S535" s="45"/>
      <c r="T535" s="45"/>
      <c r="U535" s="45"/>
      <c r="V535" s="45"/>
      <c r="W535" s="45"/>
      <c r="X535" s="45"/>
      <c r="Y535" s="45"/>
      <c r="Z535" s="45"/>
    </row>
    <row r="536">
      <c r="A536" s="46">
        <v>535.0</v>
      </c>
      <c r="B536" s="47" t="str">
        <f>'Project Stocktaking Template'!B537</f>
        <v>RENOVATION OF MODOAGE SUB COUNTY OFFICES</v>
      </c>
      <c r="C536" s="47" t="str">
        <f>'Project Stocktaking Template'!H537</f>
        <v>Lagdera</v>
      </c>
      <c r="D536" s="47" t="str">
        <f>'Project Stocktaking Template'!I537</f>
        <v>Modogashe</v>
      </c>
      <c r="E536" s="48" t="str">
        <f>'Project Stocktaking Template'!O537</f>
        <v>1st aug 2024</v>
      </c>
      <c r="F536" s="48" t="str">
        <f>'Project Stocktaking Template'!P537</f>
        <v>30th june 2025</v>
      </c>
      <c r="G536" s="48" t="str">
        <f>'Project Stocktaking Template'!Q537</f>
        <v>30th june 2025</v>
      </c>
      <c r="H536" s="49">
        <f>'Project Stocktaking Template'!R537</f>
        <v>3012313.55</v>
      </c>
      <c r="I536" s="50" t="str">
        <f>'Project Stocktaking Template'!AD537</f>
        <v/>
      </c>
      <c r="J536" s="45"/>
      <c r="K536" s="45"/>
      <c r="L536" s="45"/>
      <c r="M536" s="45"/>
      <c r="N536" s="45"/>
      <c r="O536" s="45"/>
      <c r="P536" s="45"/>
      <c r="Q536" s="45"/>
      <c r="R536" s="45"/>
      <c r="S536" s="45"/>
      <c r="T536" s="45"/>
      <c r="U536" s="45"/>
      <c r="V536" s="45"/>
      <c r="W536" s="45"/>
      <c r="X536" s="45"/>
      <c r="Y536" s="45"/>
      <c r="Z536" s="45"/>
    </row>
    <row r="537">
      <c r="A537" s="51">
        <v>536.0</v>
      </c>
      <c r="B537" s="47" t="str">
        <f>'Project Stocktaking Template'!B538</f>
        <v>RENOVATION OF MODOGASHE HOSPITAL</v>
      </c>
      <c r="C537" s="47" t="str">
        <f>'Project Stocktaking Template'!H538</f>
        <v>Lagdera</v>
      </c>
      <c r="D537" s="47" t="str">
        <f>'Project Stocktaking Template'!I538</f>
        <v>Modogashe</v>
      </c>
      <c r="E537" s="48" t="str">
        <f>'Project Stocktaking Template'!O538</f>
        <v>1st aug 2024</v>
      </c>
      <c r="F537" s="48" t="str">
        <f>'Project Stocktaking Template'!P538</f>
        <v>30th june 2025</v>
      </c>
      <c r="G537" s="48" t="str">
        <f>'Project Stocktaking Template'!Q538</f>
        <v>30th june 2025</v>
      </c>
      <c r="H537" s="49">
        <f>'Project Stocktaking Template'!R538</f>
        <v>4503345</v>
      </c>
      <c r="I537" s="50" t="str">
        <f>'Project Stocktaking Template'!AD538</f>
        <v/>
      </c>
      <c r="J537" s="45"/>
      <c r="K537" s="45"/>
      <c r="L537" s="45"/>
      <c r="M537" s="45"/>
      <c r="N537" s="45"/>
      <c r="O537" s="45"/>
      <c r="P537" s="45"/>
      <c r="Q537" s="45"/>
      <c r="R537" s="45"/>
      <c r="S537" s="45"/>
      <c r="T537" s="45"/>
      <c r="U537" s="45"/>
      <c r="V537" s="45"/>
      <c r="W537" s="45"/>
      <c r="X537" s="45"/>
      <c r="Y537" s="45"/>
      <c r="Z537" s="45"/>
    </row>
    <row r="538">
      <c r="A538" s="46">
        <v>537.0</v>
      </c>
      <c r="B538" s="47" t="str">
        <f>'Project Stocktaking Template'!B539</f>
        <v>RENOVATION OF MODOGASHE HOSPITAL</v>
      </c>
      <c r="C538" s="47" t="str">
        <f>'Project Stocktaking Template'!H539</f>
        <v>Lagdera</v>
      </c>
      <c r="D538" s="47" t="str">
        <f>'Project Stocktaking Template'!I539</f>
        <v>Modogashe</v>
      </c>
      <c r="E538" s="48" t="str">
        <f>'Project Stocktaking Template'!O539</f>
        <v>1st aug 2024</v>
      </c>
      <c r="F538" s="48" t="str">
        <f>'Project Stocktaking Template'!P539</f>
        <v>30th june 2025</v>
      </c>
      <c r="G538" s="48" t="str">
        <f>'Project Stocktaking Template'!Q539</f>
        <v>30th june 2025</v>
      </c>
      <c r="H538" s="49">
        <f>'Project Stocktaking Template'!R539</f>
        <v>3800000</v>
      </c>
      <c r="I538" s="50" t="str">
        <f>'Project Stocktaking Template'!AD539</f>
        <v/>
      </c>
      <c r="J538" s="45"/>
      <c r="K538" s="45"/>
      <c r="L538" s="45"/>
      <c r="M538" s="45"/>
      <c r="N538" s="45"/>
      <c r="O538" s="45"/>
      <c r="P538" s="45"/>
      <c r="Q538" s="45"/>
      <c r="R538" s="45"/>
      <c r="S538" s="45"/>
      <c r="T538" s="45"/>
      <c r="U538" s="45"/>
      <c r="V538" s="45"/>
      <c r="W538" s="45"/>
      <c r="X538" s="45"/>
      <c r="Y538" s="45"/>
      <c r="Z538" s="45"/>
    </row>
    <row r="539">
      <c r="A539" s="51">
        <v>538.0</v>
      </c>
      <c r="B539" s="47" t="str">
        <f>'Project Stocktaking Template'!B540</f>
        <v>RENOVATION OF MODOGASHE MARKET</v>
      </c>
      <c r="C539" s="47" t="str">
        <f>'Project Stocktaking Template'!H540</f>
        <v>Lagdera</v>
      </c>
      <c r="D539" s="47" t="str">
        <f>'Project Stocktaking Template'!I540</f>
        <v>Modogashe</v>
      </c>
      <c r="E539" s="48" t="str">
        <f>'Project Stocktaking Template'!O540</f>
        <v>1st aug 2024</v>
      </c>
      <c r="F539" s="48" t="str">
        <f>'Project Stocktaking Template'!P540</f>
        <v>30th june 2025</v>
      </c>
      <c r="G539" s="48" t="str">
        <f>'Project Stocktaking Template'!Q540</f>
        <v>30th june 2025</v>
      </c>
      <c r="H539" s="49">
        <f>'Project Stocktaking Template'!R540</f>
        <v>2755000</v>
      </c>
      <c r="I539" s="50" t="str">
        <f>'Project Stocktaking Template'!AD540</f>
        <v/>
      </c>
      <c r="J539" s="45"/>
      <c r="K539" s="45"/>
      <c r="L539" s="45"/>
      <c r="M539" s="45"/>
      <c r="N539" s="45"/>
      <c r="O539" s="45"/>
      <c r="P539" s="45"/>
      <c r="Q539" s="45"/>
      <c r="R539" s="45"/>
      <c r="S539" s="45"/>
      <c r="T539" s="45"/>
      <c r="U539" s="45"/>
      <c r="V539" s="45"/>
      <c r="W539" s="45"/>
      <c r="X539" s="45"/>
      <c r="Y539" s="45"/>
      <c r="Z539" s="45"/>
    </row>
    <row r="540">
      <c r="A540" s="46">
        <v>539.0</v>
      </c>
      <c r="B540" s="47" t="str">
        <f>'Project Stocktaking Template'!B541</f>
        <v>RENOVATION OF POLICE LINE DISPENSARY</v>
      </c>
      <c r="C540" s="47" t="str">
        <f>'Project Stocktaking Template'!H541</f>
        <v>GarissaTownship</v>
      </c>
      <c r="D540" s="47" t="str">
        <f>'Project Stocktaking Template'!I541</f>
        <v>Township</v>
      </c>
      <c r="E540" s="48" t="str">
        <f>'Project Stocktaking Template'!O541</f>
        <v>1st aug 2024</v>
      </c>
      <c r="F540" s="48" t="str">
        <f>'Project Stocktaking Template'!P541</f>
        <v>30th june 2025</v>
      </c>
      <c r="G540" s="48" t="str">
        <f>'Project Stocktaking Template'!Q541</f>
        <v>30th june 2025</v>
      </c>
      <c r="H540" s="49">
        <f>'Project Stocktaking Template'!R541</f>
        <v>1100000</v>
      </c>
      <c r="I540" s="50" t="str">
        <f>'Project Stocktaking Template'!AD541</f>
        <v/>
      </c>
      <c r="J540" s="45"/>
      <c r="K540" s="45"/>
      <c r="L540" s="45"/>
      <c r="M540" s="45"/>
      <c r="N540" s="45"/>
      <c r="O540" s="45"/>
      <c r="P540" s="45"/>
      <c r="Q540" s="45"/>
      <c r="R540" s="45"/>
      <c r="S540" s="45"/>
      <c r="T540" s="45"/>
      <c r="U540" s="45"/>
      <c r="V540" s="45"/>
      <c r="W540" s="45"/>
      <c r="X540" s="45"/>
      <c r="Y540" s="45"/>
      <c r="Z540" s="45"/>
    </row>
    <row r="541">
      <c r="A541" s="51">
        <v>540.0</v>
      </c>
      <c r="B541" s="47" t="str">
        <f>'Project Stocktaking Template'!B542</f>
        <v>RENOVATION OF VOCATIONAL TRAINING </v>
      </c>
      <c r="C541" s="47" t="str">
        <f>'Project Stocktaking Template'!H542</f>
        <v>GarissaTownship</v>
      </c>
      <c r="D541" s="47" t="str">
        <f>'Project Stocktaking Template'!I542</f>
        <v>Township</v>
      </c>
      <c r="E541" s="48" t="str">
        <f>'Project Stocktaking Template'!O542</f>
        <v>1st aug 2024</v>
      </c>
      <c r="F541" s="48" t="str">
        <f>'Project Stocktaking Template'!P542</f>
        <v>30th june 2025</v>
      </c>
      <c r="G541" s="48" t="str">
        <f>'Project Stocktaking Template'!Q542</f>
        <v>30th june 2025</v>
      </c>
      <c r="H541" s="49">
        <f>'Project Stocktaking Template'!R542</f>
        <v>4275000</v>
      </c>
      <c r="I541" s="50" t="str">
        <f>'Project Stocktaking Template'!AD542</f>
        <v/>
      </c>
      <c r="J541" s="45"/>
      <c r="K541" s="45"/>
      <c r="L541" s="45"/>
      <c r="M541" s="45"/>
      <c r="N541" s="45"/>
      <c r="O541" s="45"/>
      <c r="P541" s="45"/>
      <c r="Q541" s="45"/>
      <c r="R541" s="45"/>
      <c r="S541" s="45"/>
      <c r="T541" s="45"/>
      <c r="U541" s="45"/>
      <c r="V541" s="45"/>
      <c r="W541" s="45"/>
      <c r="X541" s="45"/>
      <c r="Y541" s="45"/>
      <c r="Z541" s="45"/>
    </row>
    <row r="542">
      <c r="A542" s="46">
        <v>541.0</v>
      </c>
      <c r="B542" s="47" t="str">
        <f>'Project Stocktaking Template'!B543</f>
        <v>RENOVATION OF WATER OFFICES IN MASALANI</v>
      </c>
      <c r="C542" s="47" t="str">
        <f>'Project Stocktaking Template'!H543</f>
        <v>Ijara</v>
      </c>
      <c r="D542" s="47" t="str">
        <f>'Project Stocktaking Template'!I543</f>
        <v>Masalani</v>
      </c>
      <c r="E542" s="48" t="str">
        <f>'Project Stocktaking Template'!O543</f>
        <v>1st aug 2024</v>
      </c>
      <c r="F542" s="48" t="str">
        <f>'Project Stocktaking Template'!P543</f>
        <v>30th june 2025</v>
      </c>
      <c r="G542" s="48" t="str">
        <f>'Project Stocktaking Template'!Q543</f>
        <v>30th june 2025</v>
      </c>
      <c r="H542" s="49">
        <f>'Project Stocktaking Template'!R543</f>
        <v>3800000</v>
      </c>
      <c r="I542" s="50" t="str">
        <f>'Project Stocktaking Template'!AD543</f>
        <v/>
      </c>
      <c r="J542" s="45"/>
      <c r="K542" s="45"/>
      <c r="L542" s="45"/>
      <c r="M542" s="45"/>
      <c r="N542" s="45"/>
      <c r="O542" s="45"/>
      <c r="P542" s="45"/>
      <c r="Q542" s="45"/>
      <c r="R542" s="45"/>
      <c r="S542" s="45"/>
      <c r="T542" s="45"/>
      <c r="U542" s="45"/>
      <c r="V542" s="45"/>
      <c r="W542" s="45"/>
      <c r="X542" s="45"/>
      <c r="Y542" s="45"/>
      <c r="Z542" s="45"/>
    </row>
    <row r="543">
      <c r="A543" s="51">
        <v>542.0</v>
      </c>
      <c r="B543" s="47" t="str">
        <f>'Project Stocktaking Template'!B544</f>
        <v>RENOVATION WARD AT IJARA HOSPITAL</v>
      </c>
      <c r="C543" s="47" t="str">
        <f>'Project Stocktaking Template'!H544</f>
        <v>Ijara</v>
      </c>
      <c r="D543" s="47" t="str">
        <f>'Project Stocktaking Template'!I544</f>
        <v>Ijara</v>
      </c>
      <c r="E543" s="48" t="str">
        <f>'Project Stocktaking Template'!O544</f>
        <v>1st aug 2024</v>
      </c>
      <c r="F543" s="48" t="str">
        <f>'Project Stocktaking Template'!P544</f>
        <v>30th june 2025</v>
      </c>
      <c r="G543" s="48" t="str">
        <f>'Project Stocktaking Template'!Q544</f>
        <v>30th june 2025</v>
      </c>
      <c r="H543" s="49">
        <f>'Project Stocktaking Template'!R544</f>
        <v>515536</v>
      </c>
      <c r="I543" s="50" t="str">
        <f>'Project Stocktaking Template'!AD544</f>
        <v/>
      </c>
      <c r="J543" s="45"/>
      <c r="K543" s="45"/>
      <c r="L543" s="45"/>
      <c r="M543" s="45"/>
      <c r="N543" s="45"/>
      <c r="O543" s="45"/>
      <c r="P543" s="45"/>
      <c r="Q543" s="45"/>
      <c r="R543" s="45"/>
      <c r="S543" s="45"/>
      <c r="T543" s="45"/>
      <c r="U543" s="45"/>
      <c r="V543" s="45"/>
      <c r="W543" s="45"/>
      <c r="X543" s="45"/>
      <c r="Y543" s="45"/>
      <c r="Z543" s="45"/>
    </row>
    <row r="544">
      <c r="A544" s="46">
        <v>543.0</v>
      </c>
      <c r="B544" s="47" t="str">
        <f>'Project Stocktaking Template'!B545</f>
        <v>RENNOVATION </v>
      </c>
      <c r="C544" s="47" t="str">
        <f>'Project Stocktaking Template'!H545</f>
        <v>GarissaTownship</v>
      </c>
      <c r="D544" s="47" t="str">
        <f>'Project Stocktaking Template'!I545</f>
        <v>Township</v>
      </c>
      <c r="E544" s="48" t="str">
        <f>'Project Stocktaking Template'!O545</f>
        <v>1st aug 2024</v>
      </c>
      <c r="F544" s="48" t="str">
        <f>'Project Stocktaking Template'!P545</f>
        <v>30th june 2025</v>
      </c>
      <c r="G544" s="48" t="str">
        <f>'Project Stocktaking Template'!Q545</f>
        <v>30th june 2025</v>
      </c>
      <c r="H544" s="49">
        <f>'Project Stocktaking Template'!R545</f>
        <v>2945160</v>
      </c>
      <c r="I544" s="50" t="str">
        <f>'Project Stocktaking Template'!AD545</f>
        <v/>
      </c>
      <c r="J544" s="45"/>
      <c r="K544" s="45"/>
      <c r="L544" s="45"/>
      <c r="M544" s="45"/>
      <c r="N544" s="45"/>
      <c r="O544" s="45"/>
      <c r="P544" s="45"/>
      <c r="Q544" s="45"/>
      <c r="R544" s="45"/>
      <c r="S544" s="45"/>
      <c r="T544" s="45"/>
      <c r="U544" s="45"/>
      <c r="V544" s="45"/>
      <c r="W544" s="45"/>
      <c r="X544" s="45"/>
      <c r="Y544" s="45"/>
      <c r="Z544" s="45"/>
    </row>
    <row r="545">
      <c r="A545" s="51">
        <v>544.0</v>
      </c>
      <c r="B545" s="47" t="str">
        <f>'Project Stocktaking Template'!B546</f>
        <v>RENNOVATION OF ECD CLASSROOM</v>
      </c>
      <c r="C545" s="47" t="str">
        <f>'Project Stocktaking Template'!H546</f>
        <v>GarissaTownship</v>
      </c>
      <c r="D545" s="47" t="str">
        <f>'Project Stocktaking Template'!I546</f>
        <v>Township</v>
      </c>
      <c r="E545" s="48" t="str">
        <f>'Project Stocktaking Template'!O546</f>
        <v>1st aug 2024</v>
      </c>
      <c r="F545" s="48" t="str">
        <f>'Project Stocktaking Template'!P546</f>
        <v>30th june 2025</v>
      </c>
      <c r="G545" s="48" t="str">
        <f>'Project Stocktaking Template'!Q546</f>
        <v>30th june 2025</v>
      </c>
      <c r="H545" s="49">
        <f>'Project Stocktaking Template'!R546</f>
        <v>2200000</v>
      </c>
      <c r="I545" s="50" t="str">
        <f>'Project Stocktaking Template'!AD546</f>
        <v/>
      </c>
      <c r="J545" s="45"/>
      <c r="K545" s="45"/>
      <c r="L545" s="45"/>
      <c r="M545" s="45"/>
      <c r="N545" s="45"/>
      <c r="O545" s="45"/>
      <c r="P545" s="45"/>
      <c r="Q545" s="45"/>
      <c r="R545" s="45"/>
      <c r="S545" s="45"/>
      <c r="T545" s="45"/>
      <c r="U545" s="45"/>
      <c r="V545" s="45"/>
      <c r="W545" s="45"/>
      <c r="X545" s="45"/>
      <c r="Y545" s="45"/>
      <c r="Z545" s="45"/>
    </row>
    <row r="546">
      <c r="A546" s="46">
        <v>545.0</v>
      </c>
      <c r="B546" s="47" t="str">
        <f>'Project Stocktaking Template'!B547</f>
        <v>RENOVATION OF CEC LANDS OFFICES</v>
      </c>
      <c r="C546" s="47" t="str">
        <f>'Project Stocktaking Template'!H547</f>
        <v>GarissaTownship</v>
      </c>
      <c r="D546" s="47" t="str">
        <f>'Project Stocktaking Template'!I547</f>
        <v>Township</v>
      </c>
      <c r="E546" s="48" t="str">
        <f>'Project Stocktaking Template'!O547</f>
        <v>1st aug 2024</v>
      </c>
      <c r="F546" s="48" t="str">
        <f>'Project Stocktaking Template'!P547</f>
        <v>30th june 2025</v>
      </c>
      <c r="G546" s="48" t="str">
        <f>'Project Stocktaking Template'!Q547</f>
        <v>30th june 2025</v>
      </c>
      <c r="H546" s="49">
        <f>'Project Stocktaking Template'!R547</f>
        <v>3500000</v>
      </c>
      <c r="I546" s="50" t="str">
        <f>'Project Stocktaking Template'!AD547</f>
        <v/>
      </c>
      <c r="J546" s="45"/>
      <c r="K546" s="45"/>
      <c r="L546" s="45"/>
      <c r="M546" s="45"/>
      <c r="N546" s="45"/>
      <c r="O546" s="45"/>
      <c r="P546" s="45"/>
      <c r="Q546" s="45"/>
      <c r="R546" s="45"/>
      <c r="S546" s="45"/>
      <c r="T546" s="45"/>
      <c r="U546" s="45"/>
      <c r="V546" s="45"/>
      <c r="W546" s="45"/>
      <c r="X546" s="45"/>
      <c r="Y546" s="45"/>
      <c r="Z546" s="45"/>
    </row>
    <row r="547">
      <c r="A547" s="51">
        <v>546.0</v>
      </c>
      <c r="B547" s="47" t="str">
        <f>'Project Stocktaking Template'!B548</f>
        <v>CONSTRUCTION OF MOTHER AND CHILD HOSPITAL</v>
      </c>
      <c r="C547" s="47" t="str">
        <f>'Project Stocktaking Template'!H548</f>
        <v>GarissaTownship</v>
      </c>
      <c r="D547" s="47" t="str">
        <f>'Project Stocktaking Template'!I548</f>
        <v>Township</v>
      </c>
      <c r="E547" s="48" t="str">
        <f>'Project Stocktaking Template'!O548</f>
        <v>1st aug 2024</v>
      </c>
      <c r="F547" s="48" t="str">
        <f>'Project Stocktaking Template'!P548</f>
        <v>30th june 2025</v>
      </c>
      <c r="G547" s="48" t="str">
        <f>'Project Stocktaking Template'!Q548</f>
        <v>30th june 2025</v>
      </c>
      <c r="H547" s="49">
        <f>'Project Stocktaking Template'!R548</f>
        <v>51000000</v>
      </c>
      <c r="I547" s="50" t="str">
        <f>'Project Stocktaking Template'!AD548</f>
        <v/>
      </c>
      <c r="J547" s="45"/>
      <c r="K547" s="45"/>
      <c r="L547" s="45"/>
      <c r="M547" s="45"/>
      <c r="N547" s="45"/>
      <c r="O547" s="45"/>
      <c r="P547" s="45"/>
      <c r="Q547" s="45"/>
      <c r="R547" s="45"/>
      <c r="S547" s="45"/>
      <c r="T547" s="45"/>
      <c r="U547" s="45"/>
      <c r="V547" s="45"/>
      <c r="W547" s="45"/>
      <c r="X547" s="45"/>
      <c r="Y547" s="45"/>
      <c r="Z547" s="45"/>
    </row>
    <row r="548">
      <c r="A548" s="46">
        <v>547.0</v>
      </c>
      <c r="B548" s="47" t="str">
        <f>'Project Stocktaking Template'!B549</f>
        <v>CONSTRUCTION OF BULLA ARGI GIRAFE CENTURY IN GARISSA</v>
      </c>
      <c r="C548" s="47" t="str">
        <f>'Project Stocktaking Template'!H549</f>
        <v>GarissaTownship</v>
      </c>
      <c r="D548" s="47" t="str">
        <f>'Project Stocktaking Template'!I549</f>
        <v>Township</v>
      </c>
      <c r="E548" s="48" t="str">
        <f>'Project Stocktaking Template'!O549</f>
        <v>1st aug 2024</v>
      </c>
      <c r="F548" s="48" t="str">
        <f>'Project Stocktaking Template'!P549</f>
        <v>30th june 2025</v>
      </c>
      <c r="G548" s="48" t="str">
        <f>'Project Stocktaking Template'!Q549</f>
        <v>30th june 2025</v>
      </c>
      <c r="H548" s="49">
        <f>'Project Stocktaking Template'!R549</f>
        <v>17149655.2</v>
      </c>
      <c r="I548" s="50" t="str">
        <f>'Project Stocktaking Template'!AD549</f>
        <v/>
      </c>
      <c r="J548" s="45"/>
      <c r="K548" s="45"/>
      <c r="L548" s="45"/>
      <c r="M548" s="45"/>
      <c r="N548" s="45"/>
      <c r="O548" s="45"/>
      <c r="P548" s="45"/>
      <c r="Q548" s="45"/>
      <c r="R548" s="45"/>
      <c r="S548" s="45"/>
      <c r="T548" s="45"/>
      <c r="U548" s="45"/>
      <c r="V548" s="45"/>
      <c r="W548" s="45"/>
      <c r="X548" s="45"/>
      <c r="Y548" s="45"/>
      <c r="Z548" s="45"/>
    </row>
    <row r="549">
      <c r="A549" s="51">
        <v>548.0</v>
      </c>
      <c r="B549" s="47" t="str">
        <f>'Project Stocktaking Template'!B550</f>
        <v>CONSTRUCTION OF KITCHEN AND DEMOLITION OF EXISTING METALIC STORE</v>
      </c>
      <c r="C549" s="47" t="str">
        <f>'Project Stocktaking Template'!H550</f>
        <v>GarissaTownship</v>
      </c>
      <c r="D549" s="47" t="str">
        <f>'Project Stocktaking Template'!I550</f>
        <v>Township</v>
      </c>
      <c r="E549" s="48" t="str">
        <f>'Project Stocktaking Template'!O550</f>
        <v>1st aug 2024</v>
      </c>
      <c r="F549" s="48" t="str">
        <f>'Project Stocktaking Template'!P550</f>
        <v>30th june 2025</v>
      </c>
      <c r="G549" s="48" t="str">
        <f>'Project Stocktaking Template'!Q550</f>
        <v>30th june 2025</v>
      </c>
      <c r="H549" s="49">
        <f>'Project Stocktaking Template'!R550</f>
        <v>4475000</v>
      </c>
      <c r="I549" s="50" t="str">
        <f>'Project Stocktaking Template'!AD550</f>
        <v/>
      </c>
      <c r="J549" s="45"/>
      <c r="K549" s="45"/>
      <c r="L549" s="45"/>
      <c r="M549" s="45"/>
      <c r="N549" s="45"/>
      <c r="O549" s="45"/>
      <c r="P549" s="45"/>
      <c r="Q549" s="45"/>
      <c r="R549" s="45"/>
      <c r="S549" s="45"/>
      <c r="T549" s="45"/>
      <c r="U549" s="45"/>
      <c r="V549" s="45"/>
      <c r="W549" s="45"/>
      <c r="X549" s="45"/>
      <c r="Y549" s="45"/>
      <c r="Z549" s="45"/>
    </row>
    <row r="550">
      <c r="A550" s="46">
        <v>549.0</v>
      </c>
      <c r="B550" s="47" t="str">
        <f>'Project Stocktaking Template'!B551</f>
        <v>CONSTRUCTION OF MARAMTU WATER PROJECT</v>
      </c>
      <c r="C550" s="47" t="str">
        <f>'Project Stocktaking Template'!H551</f>
        <v>GarissaTownship</v>
      </c>
      <c r="D550" s="47" t="str">
        <f>'Project Stocktaking Template'!I551</f>
        <v>Iftin</v>
      </c>
      <c r="E550" s="48" t="str">
        <f>'Project Stocktaking Template'!O551</f>
        <v>1st aug 2024</v>
      </c>
      <c r="F550" s="48" t="str">
        <f>'Project Stocktaking Template'!P551</f>
        <v>30th june 2025</v>
      </c>
      <c r="G550" s="48" t="str">
        <f>'Project Stocktaking Template'!Q551</f>
        <v>30th june 2025</v>
      </c>
      <c r="H550" s="49">
        <f>'Project Stocktaking Template'!R551</f>
        <v>6147517.8</v>
      </c>
      <c r="I550" s="50" t="str">
        <f>'Project Stocktaking Template'!AD551</f>
        <v/>
      </c>
      <c r="J550" s="45"/>
      <c r="K550" s="45"/>
      <c r="L550" s="45"/>
      <c r="M550" s="45"/>
      <c r="N550" s="45"/>
      <c r="O550" s="45"/>
      <c r="P550" s="45"/>
      <c r="Q550" s="45"/>
      <c r="R550" s="45"/>
      <c r="S550" s="45"/>
      <c r="T550" s="45"/>
      <c r="U550" s="45"/>
      <c r="V550" s="45"/>
      <c r="W550" s="45"/>
      <c r="X550" s="45"/>
      <c r="Y550" s="45"/>
      <c r="Z550" s="45"/>
    </row>
    <row r="551">
      <c r="A551" s="51">
        <v>550.0</v>
      </c>
      <c r="B551" s="47" t="str">
        <f>'Project Stocktaking Template'!B552</f>
        <v>CONSTRUCTION OF TERMINAL AT GARISSA AIRSTRIP</v>
      </c>
      <c r="C551" s="47" t="str">
        <f>'Project Stocktaking Template'!H552</f>
        <v>GarissaTownship</v>
      </c>
      <c r="D551" s="47" t="str">
        <f>'Project Stocktaking Template'!I552</f>
        <v>Township</v>
      </c>
      <c r="E551" s="48" t="str">
        <f>'Project Stocktaking Template'!O552</f>
        <v>1st aug 2024</v>
      </c>
      <c r="F551" s="48" t="str">
        <f>'Project Stocktaking Template'!P552</f>
        <v>30th june 2025</v>
      </c>
      <c r="G551" s="48" t="str">
        <f>'Project Stocktaking Template'!Q552</f>
        <v>30th june 2025</v>
      </c>
      <c r="H551" s="49">
        <f>'Project Stocktaking Template'!R552</f>
        <v>9500000</v>
      </c>
      <c r="I551" s="50" t="str">
        <f>'Project Stocktaking Template'!AD552</f>
        <v/>
      </c>
      <c r="J551" s="45"/>
      <c r="K551" s="45"/>
      <c r="L551" s="45"/>
      <c r="M551" s="45"/>
      <c r="N551" s="45"/>
      <c r="O551" s="45"/>
      <c r="P551" s="45"/>
      <c r="Q551" s="45"/>
      <c r="R551" s="45"/>
      <c r="S551" s="45"/>
      <c r="T551" s="45"/>
      <c r="U551" s="45"/>
      <c r="V551" s="45"/>
      <c r="W551" s="45"/>
      <c r="X551" s="45"/>
      <c r="Y551" s="45"/>
      <c r="Z551" s="45"/>
    </row>
    <row r="552">
      <c r="A552" s="46">
        <v>551.0</v>
      </c>
      <c r="B552" s="47" t="str">
        <f>'Project Stocktaking Template'!B553</f>
        <v>CONSTRUCTION OF MOTHER AND CHILD HOSPITAL</v>
      </c>
      <c r="C552" s="47" t="str">
        <f>'Project Stocktaking Template'!H553</f>
        <v>GarissaTownship</v>
      </c>
      <c r="D552" s="47" t="str">
        <f>'Project Stocktaking Template'!I553</f>
        <v>Township</v>
      </c>
      <c r="E552" s="48" t="str">
        <f>'Project Stocktaking Template'!O553</f>
        <v>1st aug 2024</v>
      </c>
      <c r="F552" s="48" t="str">
        <f>'Project Stocktaking Template'!P553</f>
        <v>30th june 2025</v>
      </c>
      <c r="G552" s="48" t="str">
        <f>'Project Stocktaking Template'!Q553</f>
        <v>30th june 2025</v>
      </c>
      <c r="H552" s="49">
        <f>'Project Stocktaking Template'!R553</f>
        <v>50000000</v>
      </c>
      <c r="I552" s="50" t="str">
        <f>'Project Stocktaking Template'!AD553</f>
        <v/>
      </c>
      <c r="J552" s="45"/>
      <c r="K552" s="45"/>
      <c r="L552" s="45"/>
      <c r="M552" s="45"/>
      <c r="N552" s="45"/>
      <c r="O552" s="45"/>
      <c r="P552" s="45"/>
      <c r="Q552" s="45"/>
      <c r="R552" s="45"/>
      <c r="S552" s="45"/>
      <c r="T552" s="45"/>
      <c r="U552" s="45"/>
      <c r="V552" s="45"/>
      <c r="W552" s="45"/>
      <c r="X552" s="45"/>
      <c r="Y552" s="45"/>
      <c r="Z552" s="45"/>
    </row>
    <row r="553">
      <c r="A553" s="51">
        <v>552.0</v>
      </c>
      <c r="B553" s="47" t="str">
        <f>'Project Stocktaking Template'!B554</f>
        <v>CONSTRUCTION MARAMTU WATER PROJECT PHASE 1</v>
      </c>
      <c r="C553" s="47" t="str">
        <f>'Project Stocktaking Template'!H554</f>
        <v>GarissaTownship</v>
      </c>
      <c r="D553" s="47" t="str">
        <f>'Project Stocktaking Template'!I554</f>
        <v>Iftin</v>
      </c>
      <c r="E553" s="48" t="str">
        <f>'Project Stocktaking Template'!O554</f>
        <v>1st aug 2024</v>
      </c>
      <c r="F553" s="48" t="str">
        <f>'Project Stocktaking Template'!P554</f>
        <v>30th june 2025</v>
      </c>
      <c r="G553" s="48" t="str">
        <f>'Project Stocktaking Template'!Q554</f>
        <v>30th june 2025</v>
      </c>
      <c r="H553" s="49">
        <f>'Project Stocktaking Template'!R554</f>
        <v>14845152</v>
      </c>
      <c r="I553" s="50" t="str">
        <f>'Project Stocktaking Template'!AD554</f>
        <v/>
      </c>
      <c r="J553" s="45"/>
      <c r="K553" s="45"/>
      <c r="L553" s="45"/>
      <c r="M553" s="45"/>
      <c r="N553" s="45"/>
      <c r="O553" s="45"/>
      <c r="P553" s="45"/>
      <c r="Q553" s="45"/>
      <c r="R553" s="45"/>
      <c r="S553" s="45"/>
      <c r="T553" s="45"/>
      <c r="U553" s="45"/>
      <c r="V553" s="45"/>
      <c r="W553" s="45"/>
      <c r="X553" s="45"/>
      <c r="Y553" s="45"/>
      <c r="Z553" s="45"/>
    </row>
    <row r="554">
      <c r="A554" s="46">
        <v>553.0</v>
      </c>
      <c r="B554" s="47" t="str">
        <f>'Project Stocktaking Template'!B555</f>
        <v>CONSTRUCTION OF GARISSA COUNTY REFERAL MEDICAL RECORDS OFFICE</v>
      </c>
      <c r="C554" s="47" t="str">
        <f>'Project Stocktaking Template'!H555</f>
        <v>GarissaTownship</v>
      </c>
      <c r="D554" s="47" t="str">
        <f>'Project Stocktaking Template'!I555</f>
        <v>Township</v>
      </c>
      <c r="E554" s="48" t="str">
        <f>'Project Stocktaking Template'!O555</f>
        <v>1st aug 2024</v>
      </c>
      <c r="F554" s="48" t="str">
        <f>'Project Stocktaking Template'!P555</f>
        <v>30th june 2025</v>
      </c>
      <c r="G554" s="48" t="str">
        <f>'Project Stocktaking Template'!Q555</f>
        <v>30th june 2025</v>
      </c>
      <c r="H554" s="49">
        <f>'Project Stocktaking Template'!R555</f>
        <v>3870074.65</v>
      </c>
      <c r="I554" s="50" t="str">
        <f>'Project Stocktaking Template'!AD555</f>
        <v/>
      </c>
      <c r="J554" s="45"/>
      <c r="K554" s="45"/>
      <c r="L554" s="45"/>
      <c r="M554" s="45"/>
      <c r="N554" s="45"/>
      <c r="O554" s="45"/>
      <c r="P554" s="45"/>
      <c r="Q554" s="45"/>
      <c r="R554" s="45"/>
      <c r="S554" s="45"/>
      <c r="T554" s="45"/>
      <c r="U554" s="45"/>
      <c r="V554" s="45"/>
      <c r="W554" s="45"/>
      <c r="X554" s="45"/>
      <c r="Y554" s="45"/>
      <c r="Z554" s="45"/>
    </row>
    <row r="555">
      <c r="A555" s="51">
        <v>554.0</v>
      </c>
      <c r="B555" s="47" t="str">
        <f>'Project Stocktaking Template'!B556</f>
        <v>CONSTRUCTION OF BULLA ARGI GIRAFE CENTURY IN GARISSA</v>
      </c>
      <c r="C555" s="47" t="str">
        <f>'Project Stocktaking Template'!H556</f>
        <v>GarissaTownship</v>
      </c>
      <c r="D555" s="47" t="str">
        <f>'Project Stocktaking Template'!I556</f>
        <v>Township</v>
      </c>
      <c r="E555" s="48" t="str">
        <f>'Project Stocktaking Template'!O556</f>
        <v>1st aug 2024</v>
      </c>
      <c r="F555" s="48" t="str">
        <f>'Project Stocktaking Template'!P556</f>
        <v>30th june 2025</v>
      </c>
      <c r="G555" s="48" t="str">
        <f>'Project Stocktaking Template'!Q556</f>
        <v>30th june 2025</v>
      </c>
      <c r="H555" s="49">
        <f>'Project Stocktaking Template'!R556</f>
        <v>7000000</v>
      </c>
      <c r="I555" s="50" t="str">
        <f>'Project Stocktaking Template'!AD556</f>
        <v/>
      </c>
      <c r="J555" s="45"/>
      <c r="K555" s="45"/>
      <c r="L555" s="45"/>
      <c r="M555" s="45"/>
      <c r="N555" s="45"/>
      <c r="O555" s="45"/>
      <c r="P555" s="45"/>
      <c r="Q555" s="45"/>
      <c r="R555" s="45"/>
      <c r="S555" s="45"/>
      <c r="T555" s="45"/>
      <c r="U555" s="45"/>
      <c r="V555" s="45"/>
      <c r="W555" s="45"/>
      <c r="X555" s="45"/>
      <c r="Y555" s="45"/>
      <c r="Z555" s="45"/>
    </row>
    <row r="556">
      <c r="A556" s="46">
        <v>555.0</v>
      </c>
      <c r="B556" s="47" t="str">
        <f>'Project Stocktaking Template'!B557</f>
        <v>CONSTRUCTION OF TERMINAL BUILDING AT GARISSA AIRSTRIP</v>
      </c>
      <c r="C556" s="47" t="str">
        <f>'Project Stocktaking Template'!H557</f>
        <v>GarissaTownship</v>
      </c>
      <c r="D556" s="47" t="str">
        <f>'Project Stocktaking Template'!I557</f>
        <v>Township</v>
      </c>
      <c r="E556" s="48" t="str">
        <f>'Project Stocktaking Template'!O557</f>
        <v>1st aug 2024</v>
      </c>
      <c r="F556" s="48" t="str">
        <f>'Project Stocktaking Template'!P557</f>
        <v>30th june 2025</v>
      </c>
      <c r="G556" s="48" t="str">
        <f>'Project Stocktaking Template'!Q557</f>
        <v>30th june 2025</v>
      </c>
      <c r="H556" s="49">
        <f>'Project Stocktaking Template'!R557</f>
        <v>10000000</v>
      </c>
      <c r="I556" s="50" t="str">
        <f>'Project Stocktaking Template'!AD557</f>
        <v/>
      </c>
      <c r="J556" s="45"/>
      <c r="K556" s="45"/>
      <c r="L556" s="45"/>
      <c r="M556" s="45"/>
      <c r="N556" s="45"/>
      <c r="O556" s="45"/>
      <c r="P556" s="45"/>
      <c r="Q556" s="45"/>
      <c r="R556" s="45"/>
      <c r="S556" s="45"/>
      <c r="T556" s="45"/>
      <c r="U556" s="45"/>
      <c r="V556" s="45"/>
      <c r="W556" s="45"/>
      <c r="X556" s="45"/>
      <c r="Y556" s="45"/>
      <c r="Z556" s="45"/>
    </row>
    <row r="557">
      <c r="A557" s="51">
        <v>556.0</v>
      </c>
      <c r="B557" s="47" t="str">
        <f>'Project Stocktaking Template'!B558</f>
        <v>CONSTRUCTION OF PAVILION AND PERIMETR WALL AT GARISSA PRIMARY STADIUM</v>
      </c>
      <c r="C557" s="47" t="str">
        <f>'Project Stocktaking Template'!H558</f>
        <v>GarissaTownship</v>
      </c>
      <c r="D557" s="47" t="str">
        <f>'Project Stocktaking Template'!I558</f>
        <v>Township</v>
      </c>
      <c r="E557" s="48" t="str">
        <f>'Project Stocktaking Template'!O558</f>
        <v>1st aug 2024</v>
      </c>
      <c r="F557" s="48" t="str">
        <f>'Project Stocktaking Template'!P558</f>
        <v>30th june 2025</v>
      </c>
      <c r="G557" s="48" t="str">
        <f>'Project Stocktaking Template'!Q558</f>
        <v>30th june 2025</v>
      </c>
      <c r="H557" s="49">
        <f>'Project Stocktaking Template'!R558</f>
        <v>12600000</v>
      </c>
      <c r="I557" s="50" t="str">
        <f>'Project Stocktaking Template'!AD558</f>
        <v/>
      </c>
      <c r="J557" s="45"/>
      <c r="K557" s="45"/>
      <c r="L557" s="45"/>
      <c r="M557" s="45"/>
      <c r="N557" s="45"/>
      <c r="O557" s="45"/>
      <c r="P557" s="45"/>
      <c r="Q557" s="45"/>
      <c r="R557" s="45"/>
      <c r="S557" s="45"/>
      <c r="T557" s="45"/>
      <c r="U557" s="45"/>
      <c r="V557" s="45"/>
      <c r="W557" s="45"/>
      <c r="X557" s="45"/>
      <c r="Y557" s="45"/>
      <c r="Z557" s="45"/>
    </row>
    <row r="558">
      <c r="A558" s="46">
        <v>557.0</v>
      </c>
      <c r="B558" s="47" t="str">
        <f>'Project Stocktaking Template'!B559</f>
        <v>CONSTRUCTION OF BULLA ARGI GIRAFE CENTURY IN GARISSA</v>
      </c>
      <c r="C558" s="47" t="str">
        <f>'Project Stocktaking Template'!H559</f>
        <v>GarissaTownship</v>
      </c>
      <c r="D558" s="47" t="str">
        <f>'Project Stocktaking Template'!I559</f>
        <v>Township</v>
      </c>
      <c r="E558" s="48" t="str">
        <f>'Project Stocktaking Template'!O559</f>
        <v>1st aug 2024</v>
      </c>
      <c r="F558" s="48" t="str">
        <f>'Project Stocktaking Template'!P559</f>
        <v>30th june 2025</v>
      </c>
      <c r="G558" s="48" t="str">
        <f>'Project Stocktaking Template'!Q559</f>
        <v>30th june 2025</v>
      </c>
      <c r="H558" s="49">
        <f>'Project Stocktaking Template'!R559</f>
        <v>5000000</v>
      </c>
      <c r="I558" s="50" t="str">
        <f>'Project Stocktaking Template'!AD559</f>
        <v/>
      </c>
      <c r="J558" s="45"/>
      <c r="K558" s="45"/>
      <c r="L558" s="45"/>
      <c r="M558" s="45"/>
      <c r="N558" s="45"/>
      <c r="O558" s="45"/>
      <c r="P558" s="45"/>
      <c r="Q558" s="45"/>
      <c r="R558" s="45"/>
      <c r="S558" s="45"/>
      <c r="T558" s="45"/>
      <c r="U558" s="45"/>
      <c r="V558" s="45"/>
      <c r="W558" s="45"/>
      <c r="X558" s="45"/>
      <c r="Y558" s="45"/>
      <c r="Z558" s="45"/>
    </row>
    <row r="559">
      <c r="A559" s="51">
        <v>558.0</v>
      </c>
      <c r="B559" s="47" t="str">
        <f>'Project Stocktaking Template'!B560</f>
        <v>CONSTRUCTION OF TERMINAL AT GARISSA AIRSTRIP</v>
      </c>
      <c r="C559" s="47" t="str">
        <f>'Project Stocktaking Template'!H560</f>
        <v>GarissaTownship</v>
      </c>
      <c r="D559" s="47" t="str">
        <f>'Project Stocktaking Template'!I560</f>
        <v>Township</v>
      </c>
      <c r="E559" s="48" t="str">
        <f>'Project Stocktaking Template'!O560</f>
        <v>1st aug 2024</v>
      </c>
      <c r="F559" s="48" t="str">
        <f>'Project Stocktaking Template'!P560</f>
        <v>30th june 2025</v>
      </c>
      <c r="G559" s="48" t="str">
        <f>'Project Stocktaking Template'!Q560</f>
        <v>30th june 2025</v>
      </c>
      <c r="H559" s="49">
        <f>'Project Stocktaking Template'!R560</f>
        <v>5000000</v>
      </c>
      <c r="I559" s="50" t="str">
        <f>'Project Stocktaking Template'!AD560</f>
        <v/>
      </c>
      <c r="J559" s="45"/>
      <c r="K559" s="45"/>
      <c r="L559" s="45"/>
      <c r="M559" s="45"/>
      <c r="N559" s="45"/>
      <c r="O559" s="45"/>
      <c r="P559" s="45"/>
      <c r="Q559" s="45"/>
      <c r="R559" s="45"/>
      <c r="S559" s="45"/>
      <c r="T559" s="45"/>
      <c r="U559" s="45"/>
      <c r="V559" s="45"/>
      <c r="W559" s="45"/>
      <c r="X559" s="45"/>
      <c r="Y559" s="45"/>
      <c r="Z559" s="45"/>
    </row>
    <row r="560">
      <c r="A560" s="46">
        <v>559.0</v>
      </c>
      <c r="B560" s="47" t="str">
        <f>'Project Stocktaking Template'!B561</f>
        <v>RELOCATION OF UTILITY FEEDER AT DADAB MUNICIPALTY</v>
      </c>
      <c r="C560" s="47" t="str">
        <f>'Project Stocktaking Template'!H561</f>
        <v>Dadaab</v>
      </c>
      <c r="D560" s="47" t="str">
        <f>'Project Stocktaking Template'!I561</f>
        <v>Dadaab</v>
      </c>
      <c r="E560" s="48" t="str">
        <f>'Project Stocktaking Template'!O561</f>
        <v>1st aug 2024</v>
      </c>
      <c r="F560" s="48" t="str">
        <f>'Project Stocktaking Template'!P561</f>
        <v>30th june 2025</v>
      </c>
      <c r="G560" s="48" t="str">
        <f>'Project Stocktaking Template'!Q561</f>
        <v>30th june 2025</v>
      </c>
      <c r="H560" s="49">
        <f>'Project Stocktaking Template'!R561</f>
        <v>1600000</v>
      </c>
      <c r="I560" s="50" t="str">
        <f>'Project Stocktaking Template'!AD561</f>
        <v/>
      </c>
      <c r="J560" s="45"/>
      <c r="K560" s="45"/>
      <c r="L560" s="45"/>
      <c r="M560" s="45"/>
      <c r="N560" s="45"/>
      <c r="O560" s="45"/>
      <c r="P560" s="45"/>
      <c r="Q560" s="45"/>
      <c r="R560" s="45"/>
      <c r="S560" s="45"/>
      <c r="T560" s="45"/>
      <c r="U560" s="45"/>
      <c r="V560" s="45"/>
      <c r="W560" s="45"/>
      <c r="X560" s="45"/>
      <c r="Y560" s="45"/>
      <c r="Z560" s="45"/>
    </row>
    <row r="561">
      <c r="A561" s="51">
        <v>560.0</v>
      </c>
      <c r="B561" s="47" t="str">
        <f>'Project Stocktaking Template'!B562</f>
        <v>CONSTRUCTION OF GARISSA PRIMARY STADIUM</v>
      </c>
      <c r="C561" s="47" t="str">
        <f>'Project Stocktaking Template'!H562</f>
        <v>GarissaTownship</v>
      </c>
      <c r="D561" s="47" t="str">
        <f>'Project Stocktaking Template'!I562</f>
        <v>Township</v>
      </c>
      <c r="E561" s="48" t="str">
        <f>'Project Stocktaking Template'!O562</f>
        <v>1st aug 2024</v>
      </c>
      <c r="F561" s="48" t="str">
        <f>'Project Stocktaking Template'!P562</f>
        <v>30th june 2025</v>
      </c>
      <c r="G561" s="48" t="str">
        <f>'Project Stocktaking Template'!Q562</f>
        <v>30th june 2025</v>
      </c>
      <c r="H561" s="49">
        <f>'Project Stocktaking Template'!R562</f>
        <v>24371184</v>
      </c>
      <c r="I561" s="50" t="str">
        <f>'Project Stocktaking Template'!AD562</f>
        <v/>
      </c>
      <c r="J561" s="45"/>
      <c r="K561" s="45"/>
      <c r="L561" s="45"/>
      <c r="M561" s="45"/>
      <c r="N561" s="45"/>
      <c r="O561" s="45"/>
      <c r="P561" s="45"/>
      <c r="Q561" s="45"/>
      <c r="R561" s="45"/>
      <c r="S561" s="45"/>
      <c r="T561" s="45"/>
      <c r="U561" s="45"/>
      <c r="V561" s="45"/>
      <c r="W561" s="45"/>
      <c r="X561" s="45"/>
      <c r="Y561" s="45"/>
      <c r="Z561" s="45"/>
    </row>
    <row r="562">
      <c r="A562" s="46">
        <v>561.0</v>
      </c>
      <c r="B562" s="47" t="str">
        <f>'Project Stocktaking Template'!B563</f>
        <v>CONSTRUCTION OF GIRAFE CENTRE AT GARISSA TOWNSHIP </v>
      </c>
      <c r="C562" s="47" t="str">
        <f>'Project Stocktaking Template'!H563</f>
        <v>GarissaTownship</v>
      </c>
      <c r="D562" s="47" t="str">
        <f>'Project Stocktaking Template'!I563</f>
        <v>Township</v>
      </c>
      <c r="E562" s="48" t="str">
        <f>'Project Stocktaking Template'!O563</f>
        <v>1st aug 2024</v>
      </c>
      <c r="F562" s="48" t="str">
        <f>'Project Stocktaking Template'!P563</f>
        <v>30th june 2025</v>
      </c>
      <c r="G562" s="48" t="str">
        <f>'Project Stocktaking Template'!Q563</f>
        <v>30th june 2025</v>
      </c>
      <c r="H562" s="49">
        <f>'Project Stocktaking Template'!R563</f>
        <v>14000000</v>
      </c>
      <c r="I562" s="50" t="str">
        <f>'Project Stocktaking Template'!AD563</f>
        <v/>
      </c>
      <c r="J562" s="45"/>
      <c r="K562" s="45"/>
      <c r="L562" s="45"/>
      <c r="M562" s="45"/>
      <c r="N562" s="45"/>
      <c r="O562" s="45"/>
      <c r="P562" s="45"/>
      <c r="Q562" s="45"/>
      <c r="R562" s="45"/>
      <c r="S562" s="45"/>
      <c r="T562" s="45"/>
      <c r="U562" s="45"/>
      <c r="V562" s="45"/>
      <c r="W562" s="45"/>
      <c r="X562" s="45"/>
      <c r="Y562" s="45"/>
      <c r="Z562" s="45"/>
    </row>
    <row r="563">
      <c r="A563" s="51">
        <v>562.0</v>
      </c>
      <c r="B563" s="47" t="str">
        <f>'Project Stocktaking Template'!B564</f>
        <v>CONSTRUCTION OF MOTHER AND CHILD HOSPITAL AT GARISSA COUNTY REFERAL </v>
      </c>
      <c r="C563" s="47" t="str">
        <f>'Project Stocktaking Template'!H564</f>
        <v>GarissaTownship</v>
      </c>
      <c r="D563" s="47" t="str">
        <f>'Project Stocktaking Template'!I564</f>
        <v>Township</v>
      </c>
      <c r="E563" s="48" t="str">
        <f>'Project Stocktaking Template'!O564</f>
        <v>1st aug 2024</v>
      </c>
      <c r="F563" s="48" t="str">
        <f>'Project Stocktaking Template'!P564</f>
        <v>30th june 2025</v>
      </c>
      <c r="G563" s="48" t="str">
        <f>'Project Stocktaking Template'!Q564</f>
        <v>30th june 2025</v>
      </c>
      <c r="H563" s="49">
        <f>'Project Stocktaking Template'!R564</f>
        <v>60000000</v>
      </c>
      <c r="I563" s="50" t="str">
        <f>'Project Stocktaking Template'!AD564</f>
        <v/>
      </c>
      <c r="J563" s="45"/>
      <c r="K563" s="45"/>
      <c r="L563" s="45"/>
      <c r="M563" s="45"/>
      <c r="N563" s="45"/>
      <c r="O563" s="45"/>
      <c r="P563" s="45"/>
      <c r="Q563" s="45"/>
      <c r="R563" s="45"/>
      <c r="S563" s="45"/>
      <c r="T563" s="45"/>
      <c r="U563" s="45"/>
      <c r="V563" s="45"/>
      <c r="W563" s="45"/>
      <c r="X563" s="45"/>
      <c r="Y563" s="45"/>
      <c r="Z563" s="45"/>
    </row>
    <row r="564">
      <c r="A564" s="46">
        <v>563.0</v>
      </c>
      <c r="B564" s="47" t="str">
        <f>'Project Stocktaking Template'!B565</f>
        <v>CONSTRUCTION OF MOTHER AND CHILD HOSPITAL AT GARISSA COUNTY REFERAL </v>
      </c>
      <c r="C564" s="47" t="str">
        <f>'Project Stocktaking Template'!H565</f>
        <v>GarissaTownship</v>
      </c>
      <c r="D564" s="47" t="str">
        <f>'Project Stocktaking Template'!I565</f>
        <v>Township</v>
      </c>
      <c r="E564" s="48" t="str">
        <f>'Project Stocktaking Template'!O565</f>
        <v>1st aug 2024</v>
      </c>
      <c r="F564" s="48" t="str">
        <f>'Project Stocktaking Template'!P565</f>
        <v>30th june 2025</v>
      </c>
      <c r="G564" s="48" t="str">
        <f>'Project Stocktaking Template'!Q565</f>
        <v>30th june 2025</v>
      </c>
      <c r="H564" s="49">
        <f>'Project Stocktaking Template'!R565</f>
        <v>5000000</v>
      </c>
      <c r="I564" s="50" t="str">
        <f>'Project Stocktaking Template'!AD565</f>
        <v/>
      </c>
      <c r="J564" s="45"/>
      <c r="K564" s="45"/>
      <c r="L564" s="45"/>
      <c r="M564" s="45"/>
      <c r="N564" s="45"/>
      <c r="O564" s="45"/>
      <c r="P564" s="45"/>
      <c r="Q564" s="45"/>
      <c r="R564" s="45"/>
      <c r="S564" s="45"/>
      <c r="T564" s="45"/>
      <c r="U564" s="45"/>
      <c r="V564" s="45"/>
      <c r="W564" s="45"/>
      <c r="X564" s="45"/>
      <c r="Y564" s="45"/>
      <c r="Z564" s="45"/>
    </row>
    <row r="565">
      <c r="A565" s="51">
        <v>564.0</v>
      </c>
      <c r="B565" s="47" t="str">
        <f>'Project Stocktaking Template'!B566</f>
        <v>CONSTRUCTION OF PERIMETER WALL AND RENOVATION OF OFFICES</v>
      </c>
      <c r="C565" s="47" t="str">
        <f>'Project Stocktaking Template'!H566</f>
        <v>GarissaTownship</v>
      </c>
      <c r="D565" s="47" t="str">
        <f>'Project Stocktaking Template'!I566</f>
        <v>Township</v>
      </c>
      <c r="E565" s="48" t="str">
        <f>'Project Stocktaking Template'!O566</f>
        <v>1st aug 2024</v>
      </c>
      <c r="F565" s="48" t="str">
        <f>'Project Stocktaking Template'!P566</f>
        <v>30th june 2025</v>
      </c>
      <c r="G565" s="48" t="str">
        <f>'Project Stocktaking Template'!Q566</f>
        <v>30th june 2025</v>
      </c>
      <c r="H565" s="49">
        <f>'Project Stocktaking Template'!R566</f>
        <v>14326672.6</v>
      </c>
      <c r="I565" s="50" t="str">
        <f>'Project Stocktaking Template'!AD566</f>
        <v/>
      </c>
      <c r="J565" s="45"/>
      <c r="K565" s="45"/>
      <c r="L565" s="45"/>
      <c r="M565" s="45"/>
      <c r="N565" s="45"/>
      <c r="O565" s="45"/>
      <c r="P565" s="45"/>
      <c r="Q565" s="45"/>
      <c r="R565" s="45"/>
      <c r="S565" s="45"/>
      <c r="T565" s="45"/>
      <c r="U565" s="45"/>
      <c r="V565" s="45"/>
      <c r="W565" s="45"/>
      <c r="X565" s="45"/>
      <c r="Y565" s="45"/>
      <c r="Z565" s="45"/>
    </row>
    <row r="566">
      <c r="A566" s="46">
        <v>565.0</v>
      </c>
      <c r="B566" s="47" t="str">
        <f>'Project Stocktaking Template'!B567</f>
        <v>CONSTRUCTION OF PERIMETER WALL AT FTC</v>
      </c>
      <c r="C566" s="47" t="str">
        <f>'Project Stocktaking Template'!H567</f>
        <v>GarissaTownship</v>
      </c>
      <c r="D566" s="47" t="str">
        <f>'Project Stocktaking Template'!I567</f>
        <v>Township</v>
      </c>
      <c r="E566" s="48" t="str">
        <f>'Project Stocktaking Template'!O567</f>
        <v>1st aug 2024</v>
      </c>
      <c r="F566" s="48" t="str">
        <f>'Project Stocktaking Template'!P567</f>
        <v>30th june 2025</v>
      </c>
      <c r="G566" s="48" t="str">
        <f>'Project Stocktaking Template'!Q567</f>
        <v>30th june 2025</v>
      </c>
      <c r="H566" s="49">
        <f>'Project Stocktaking Template'!R567</f>
        <v>11300000</v>
      </c>
      <c r="I566" s="50" t="str">
        <f>'Project Stocktaking Template'!AD567</f>
        <v/>
      </c>
      <c r="J566" s="45"/>
      <c r="K566" s="45"/>
      <c r="L566" s="45"/>
      <c r="M566" s="45"/>
      <c r="N566" s="45"/>
      <c r="O566" s="45"/>
      <c r="P566" s="45"/>
      <c r="Q566" s="45"/>
      <c r="R566" s="45"/>
      <c r="S566" s="45"/>
      <c r="T566" s="45"/>
      <c r="U566" s="45"/>
      <c r="V566" s="45"/>
      <c r="W566" s="45"/>
      <c r="X566" s="45"/>
      <c r="Y566" s="45"/>
      <c r="Z566" s="45"/>
    </row>
    <row r="567">
      <c r="A567" s="51">
        <v>566.0</v>
      </c>
      <c r="B567" s="47" t="str">
        <f>'Project Stocktaking Template'!B568</f>
        <v>CONSTRUCTION OF TERMINAL AT GARISSA AIRSTRIP</v>
      </c>
      <c r="C567" s="47" t="str">
        <f>'Project Stocktaking Template'!H568</f>
        <v>GarissaTownship</v>
      </c>
      <c r="D567" s="47" t="str">
        <f>'Project Stocktaking Template'!I568</f>
        <v>Township</v>
      </c>
      <c r="E567" s="48" t="str">
        <f>'Project Stocktaking Template'!O568</f>
        <v>1st aug 2024</v>
      </c>
      <c r="F567" s="48" t="str">
        <f>'Project Stocktaking Template'!P568</f>
        <v>30th june 2025</v>
      </c>
      <c r="G567" s="48" t="str">
        <f>'Project Stocktaking Template'!Q568</f>
        <v>30th june 2025</v>
      </c>
      <c r="H567" s="49">
        <f>'Project Stocktaking Template'!R568</f>
        <v>12700000</v>
      </c>
      <c r="I567" s="50" t="str">
        <f>'Project Stocktaking Template'!AD568</f>
        <v/>
      </c>
      <c r="J567" s="45"/>
      <c r="K567" s="45"/>
      <c r="L567" s="45"/>
      <c r="M567" s="45"/>
      <c r="N567" s="45"/>
      <c r="O567" s="45"/>
      <c r="P567" s="45"/>
      <c r="Q567" s="45"/>
      <c r="R567" s="45"/>
      <c r="S567" s="45"/>
      <c r="T567" s="45"/>
      <c r="U567" s="45"/>
      <c r="V567" s="45"/>
      <c r="W567" s="45"/>
      <c r="X567" s="45"/>
      <c r="Y567" s="45"/>
      <c r="Z567" s="45"/>
    </row>
    <row r="568">
      <c r="A568" s="46">
        <v>567.0</v>
      </c>
      <c r="B568" s="47" t="str">
        <f>'Project Stocktaking Template'!B569</f>
        <v>CONSTRUCTION OF WALK WAY AT GARISSA REFERAL HOSPITAL</v>
      </c>
      <c r="C568" s="47" t="str">
        <f>'Project Stocktaking Template'!H569</f>
        <v>GarissaTownship</v>
      </c>
      <c r="D568" s="47" t="str">
        <f>'Project Stocktaking Template'!I569</f>
        <v>Township</v>
      </c>
      <c r="E568" s="48" t="str">
        <f>'Project Stocktaking Template'!O569</f>
        <v>1st aug 2024</v>
      </c>
      <c r="F568" s="48" t="str">
        <f>'Project Stocktaking Template'!P569</f>
        <v>30th june 2025</v>
      </c>
      <c r="G568" s="48" t="str">
        <f>'Project Stocktaking Template'!Q569</f>
        <v>30th june 2025</v>
      </c>
      <c r="H568" s="49">
        <f>'Project Stocktaking Template'!R569</f>
        <v>4607120</v>
      </c>
      <c r="I568" s="50" t="str">
        <f>'Project Stocktaking Template'!AD569</f>
        <v/>
      </c>
      <c r="J568" s="45"/>
      <c r="K568" s="45"/>
      <c r="L568" s="45"/>
      <c r="M568" s="45"/>
      <c r="N568" s="45"/>
      <c r="O568" s="45"/>
      <c r="P568" s="45"/>
      <c r="Q568" s="45"/>
      <c r="R568" s="45"/>
      <c r="S568" s="45"/>
      <c r="T568" s="45"/>
      <c r="U568" s="45"/>
      <c r="V568" s="45"/>
      <c r="W568" s="45"/>
      <c r="X568" s="45"/>
      <c r="Y568" s="45"/>
      <c r="Z568" s="45"/>
    </row>
    <row r="569">
      <c r="A569" s="51">
        <v>568.0</v>
      </c>
      <c r="B569" s="47" t="str">
        <f>'Project Stocktaking Template'!B570</f>
        <v>CONSTRUCTION OF WARD ADMIN AT ABAKAILE</v>
      </c>
      <c r="C569" s="47" t="str">
        <f>'Project Stocktaking Template'!H570</f>
        <v>Dadaab</v>
      </c>
      <c r="D569" s="47" t="str">
        <f>'Project Stocktaking Template'!I570</f>
        <v>Dadaab</v>
      </c>
      <c r="E569" s="48" t="str">
        <f>'Project Stocktaking Template'!O570</f>
        <v>1st aug 2024</v>
      </c>
      <c r="F569" s="48" t="str">
        <f>'Project Stocktaking Template'!P570</f>
        <v>30th june 2025</v>
      </c>
      <c r="G569" s="48" t="str">
        <f>'Project Stocktaking Template'!Q570</f>
        <v>30th june 2025</v>
      </c>
      <c r="H569" s="49">
        <f>'Project Stocktaking Template'!R570</f>
        <v>1000000</v>
      </c>
      <c r="I569" s="50" t="str">
        <f>'Project Stocktaking Template'!AD570</f>
        <v/>
      </c>
      <c r="J569" s="45"/>
      <c r="K569" s="45"/>
      <c r="L569" s="45"/>
      <c r="M569" s="45"/>
      <c r="N569" s="45"/>
      <c r="O569" s="45"/>
      <c r="P569" s="45"/>
      <c r="Q569" s="45"/>
      <c r="R569" s="45"/>
      <c r="S569" s="45"/>
      <c r="T569" s="45"/>
      <c r="U569" s="45"/>
      <c r="V569" s="45"/>
      <c r="W569" s="45"/>
      <c r="X569" s="45"/>
      <c r="Y569" s="45"/>
      <c r="Z569" s="45"/>
    </row>
    <row r="570">
      <c r="A570" s="46">
        <v>569.0</v>
      </c>
      <c r="B570" s="47" t="str">
        <f>'Project Stocktaking Template'!B571</f>
        <v>CONSTRUCTION OF 7KM WATER PIPING WORKS AT BALAMBALA</v>
      </c>
      <c r="C570" s="47" t="str">
        <f>'Project Stocktaking Template'!H571</f>
        <v>Balambala</v>
      </c>
      <c r="D570" s="47" t="str">
        <f>'Project Stocktaking Template'!I571</f>
        <v>Balambala</v>
      </c>
      <c r="E570" s="48" t="str">
        <f>'Project Stocktaking Template'!O571</f>
        <v>1st aug 2024</v>
      </c>
      <c r="F570" s="48" t="str">
        <f>'Project Stocktaking Template'!P571</f>
        <v>30th june 2025</v>
      </c>
      <c r="G570" s="48" t="str">
        <f>'Project Stocktaking Template'!Q571</f>
        <v>30th june 2025</v>
      </c>
      <c r="H570" s="49">
        <f>'Project Stocktaking Template'!R571</f>
        <v>7600000</v>
      </c>
      <c r="I570" s="50" t="str">
        <f>'Project Stocktaking Template'!AD571</f>
        <v/>
      </c>
      <c r="J570" s="45"/>
      <c r="K570" s="45"/>
      <c r="L570" s="45"/>
      <c r="M570" s="45"/>
      <c r="N570" s="45"/>
      <c r="O570" s="45"/>
      <c r="P570" s="45"/>
      <c r="Q570" s="45"/>
      <c r="R570" s="45"/>
      <c r="S570" s="45"/>
      <c r="T570" s="45"/>
      <c r="U570" s="45"/>
      <c r="V570" s="45"/>
      <c r="W570" s="45"/>
      <c r="X570" s="45"/>
      <c r="Y570" s="45"/>
      <c r="Z570" s="45"/>
    </row>
    <row r="571">
      <c r="A571" s="51">
        <v>570.0</v>
      </c>
      <c r="B571" s="47" t="str">
        <f>'Project Stocktaking Template'!B572</f>
        <v>CONSTRUCTION NEW TERMINAL AT GARISSA AIRSTRIP</v>
      </c>
      <c r="C571" s="47" t="str">
        <f>'Project Stocktaking Template'!H572</f>
        <v>GarissaTownship</v>
      </c>
      <c r="D571" s="47" t="str">
        <f>'Project Stocktaking Template'!I572</f>
        <v>Township</v>
      </c>
      <c r="E571" s="48" t="str">
        <f>'Project Stocktaking Template'!O572</f>
        <v>1st aug 2024</v>
      </c>
      <c r="F571" s="48" t="str">
        <f>'Project Stocktaking Template'!P572</f>
        <v>30th june 2025</v>
      </c>
      <c r="G571" s="48" t="str">
        <f>'Project Stocktaking Template'!Q572</f>
        <v>30th june 2025</v>
      </c>
      <c r="H571" s="49">
        <f>'Project Stocktaking Template'!R572</f>
        <v>14000000</v>
      </c>
      <c r="I571" s="50" t="str">
        <f>'Project Stocktaking Template'!AD572</f>
        <v/>
      </c>
      <c r="J571" s="45"/>
      <c r="K571" s="45"/>
      <c r="L571" s="45"/>
      <c r="M571" s="45"/>
      <c r="N571" s="45"/>
      <c r="O571" s="45"/>
      <c r="P571" s="45"/>
      <c r="Q571" s="45"/>
      <c r="R571" s="45"/>
      <c r="S571" s="45"/>
      <c r="T571" s="45"/>
      <c r="U571" s="45"/>
      <c r="V571" s="45"/>
      <c r="W571" s="45"/>
      <c r="X571" s="45"/>
      <c r="Y571" s="45"/>
      <c r="Z571" s="45"/>
    </row>
    <row r="572">
      <c r="A572" s="46">
        <v>571.0</v>
      </c>
      <c r="B572" s="47" t="str">
        <f>'Project Stocktaking Template'!B573</f>
        <v>CONSTRUCTION MARAMTU WATER PROJECT</v>
      </c>
      <c r="C572" s="47" t="str">
        <f>'Project Stocktaking Template'!H573</f>
        <v>GarissaTownship</v>
      </c>
      <c r="D572" s="47" t="str">
        <f>'Project Stocktaking Template'!I573</f>
        <v>Iftin</v>
      </c>
      <c r="E572" s="48" t="str">
        <f>'Project Stocktaking Template'!O573</f>
        <v>1st aug 2024</v>
      </c>
      <c r="F572" s="48" t="str">
        <f>'Project Stocktaking Template'!P573</f>
        <v>30th june 2025</v>
      </c>
      <c r="G572" s="48" t="str">
        <f>'Project Stocktaking Template'!Q573</f>
        <v>30th june 2025</v>
      </c>
      <c r="H572" s="49">
        <f>'Project Stocktaking Template'!R573</f>
        <v>5491841.7</v>
      </c>
      <c r="I572" s="50" t="str">
        <f>'Project Stocktaking Template'!AD573</f>
        <v/>
      </c>
      <c r="J572" s="45"/>
      <c r="K572" s="45"/>
      <c r="L572" s="45"/>
      <c r="M572" s="45"/>
      <c r="N572" s="45"/>
      <c r="O572" s="45"/>
      <c r="P572" s="45"/>
      <c r="Q572" s="45"/>
      <c r="R572" s="45"/>
      <c r="S572" s="45"/>
      <c r="T572" s="45"/>
      <c r="U572" s="45"/>
      <c r="V572" s="45"/>
      <c r="W572" s="45"/>
      <c r="X572" s="45"/>
      <c r="Y572" s="45"/>
      <c r="Z572" s="45"/>
    </row>
    <row r="573">
      <c r="A573" s="51">
        <v>572.0</v>
      </c>
      <c r="B573" s="47" t="str">
        <f>'Project Stocktaking Template'!B574</f>
        <v>UPGRADING TO BITUMEN STANDARD BULLA MADINA DOBALE ROAD</v>
      </c>
      <c r="C573" s="47" t="str">
        <f>'Project Stocktaking Template'!H574</f>
        <v>GarissaTownship</v>
      </c>
      <c r="D573" s="47" t="str">
        <f>'Project Stocktaking Template'!I574</f>
        <v>Township</v>
      </c>
      <c r="E573" s="48" t="str">
        <f>'Project Stocktaking Template'!O574</f>
        <v>1st aug 2024</v>
      </c>
      <c r="F573" s="48" t="str">
        <f>'Project Stocktaking Template'!P574</f>
        <v>30th june 2025</v>
      </c>
      <c r="G573" s="48" t="str">
        <f>'Project Stocktaking Template'!Q574</f>
        <v>30th june 2025</v>
      </c>
      <c r="H573" s="49">
        <f>'Project Stocktaking Template'!R574</f>
        <v>10289793.1</v>
      </c>
      <c r="I573" s="50" t="str">
        <f>'Project Stocktaking Template'!AD574</f>
        <v/>
      </c>
      <c r="J573" s="45"/>
      <c r="K573" s="45"/>
      <c r="L573" s="45"/>
      <c r="M573" s="45"/>
      <c r="N573" s="45"/>
      <c r="O573" s="45"/>
      <c r="P573" s="45"/>
      <c r="Q573" s="45"/>
      <c r="R573" s="45"/>
      <c r="S573" s="45"/>
      <c r="T573" s="45"/>
      <c r="U573" s="45"/>
      <c r="V573" s="45"/>
      <c r="W573" s="45"/>
      <c r="X573" s="45"/>
      <c r="Y573" s="45"/>
      <c r="Z573" s="45"/>
    </row>
    <row r="574">
      <c r="A574" s="46">
        <v>573.0</v>
      </c>
      <c r="B574" s="47" t="str">
        <f>'Project Stocktaking Template'!B575</f>
        <v>CONSTRUCTION OF NEW BOX CULVERT AT DOBALE</v>
      </c>
      <c r="C574" s="47" t="str">
        <f>'Project Stocktaking Template'!H575</f>
        <v>GarissaTownship</v>
      </c>
      <c r="D574" s="47" t="str">
        <f>'Project Stocktaking Template'!I575</f>
        <v>Galbet</v>
      </c>
      <c r="E574" s="48" t="str">
        <f>'Project Stocktaking Template'!O575</f>
        <v>1st aug 2024</v>
      </c>
      <c r="F574" s="48" t="str">
        <f>'Project Stocktaking Template'!P575</f>
        <v>30th june 2025</v>
      </c>
      <c r="G574" s="48" t="str">
        <f>'Project Stocktaking Template'!Q575</f>
        <v>30th june 2025</v>
      </c>
      <c r="H574" s="49">
        <f>'Project Stocktaking Template'!R575</f>
        <v>6568000</v>
      </c>
      <c r="I574" s="50" t="str">
        <f>'Project Stocktaking Template'!AD575</f>
        <v/>
      </c>
      <c r="J574" s="45"/>
      <c r="K574" s="45"/>
      <c r="L574" s="45"/>
      <c r="M574" s="45"/>
      <c r="N574" s="45"/>
      <c r="O574" s="45"/>
      <c r="P574" s="45"/>
      <c r="Q574" s="45"/>
      <c r="R574" s="45"/>
      <c r="S574" s="45"/>
      <c r="T574" s="45"/>
      <c r="U574" s="45"/>
      <c r="V574" s="45"/>
      <c r="W574" s="45"/>
      <c r="X574" s="45"/>
      <c r="Y574" s="45"/>
      <c r="Z574" s="45"/>
    </row>
    <row r="575">
      <c r="A575" s="51">
        <v>574.0</v>
      </c>
      <c r="B575" s="47" t="str">
        <f>'Project Stocktaking Template'!B576</f>
        <v>MAINTAINANCE OF WABERI RING ROAD</v>
      </c>
      <c r="C575" s="47" t="str">
        <f>'Project Stocktaking Template'!H576</f>
        <v>GarissaTownship</v>
      </c>
      <c r="D575" s="47" t="str">
        <f>'Project Stocktaking Template'!I576</f>
        <v>Township</v>
      </c>
      <c r="E575" s="48" t="str">
        <f>'Project Stocktaking Template'!O576</f>
        <v>1st aug 2024</v>
      </c>
      <c r="F575" s="48" t="str">
        <f>'Project Stocktaking Template'!P576</f>
        <v>30th june 2025</v>
      </c>
      <c r="G575" s="48" t="str">
        <f>'Project Stocktaking Template'!Q576</f>
        <v>30th june 2025</v>
      </c>
      <c r="H575" s="49">
        <f>'Project Stocktaking Template'!R576</f>
        <v>4617380</v>
      </c>
      <c r="I575" s="50" t="str">
        <f>'Project Stocktaking Template'!AD576</f>
        <v/>
      </c>
      <c r="J575" s="45"/>
      <c r="K575" s="45"/>
      <c r="L575" s="45"/>
      <c r="M575" s="45"/>
      <c r="N575" s="45"/>
      <c r="O575" s="45"/>
      <c r="P575" s="45"/>
      <c r="Q575" s="45"/>
      <c r="R575" s="45"/>
      <c r="S575" s="45"/>
      <c r="T575" s="45"/>
      <c r="U575" s="45"/>
      <c r="V575" s="45"/>
      <c r="W575" s="45"/>
      <c r="X575" s="45"/>
      <c r="Y575" s="45"/>
      <c r="Z575" s="45"/>
    </row>
    <row r="576">
      <c r="A576" s="46">
        <v>575.0</v>
      </c>
      <c r="B576" s="47" t="str">
        <f>'Project Stocktaking Template'!B577</f>
        <v>MAINATAINANCE OF IFTIN 2 ACCESS ROAD</v>
      </c>
      <c r="C576" s="47" t="str">
        <f>'Project Stocktaking Template'!H577</f>
        <v>GarissaTownship</v>
      </c>
      <c r="D576" s="47" t="str">
        <f>'Project Stocktaking Template'!I577</f>
        <v>Iftin</v>
      </c>
      <c r="E576" s="48" t="str">
        <f>'Project Stocktaking Template'!O577</f>
        <v>1st aug 2024</v>
      </c>
      <c r="F576" s="48" t="str">
        <f>'Project Stocktaking Template'!P577</f>
        <v>30th june 2025</v>
      </c>
      <c r="G576" s="48" t="str">
        <f>'Project Stocktaking Template'!Q577</f>
        <v>30th june 2025</v>
      </c>
      <c r="H576" s="49">
        <f>'Project Stocktaking Template'!R577</f>
        <v>2344615</v>
      </c>
      <c r="I576" s="50" t="str">
        <f>'Project Stocktaking Template'!AD577</f>
        <v/>
      </c>
      <c r="J576" s="45"/>
      <c r="K576" s="45"/>
      <c r="L576" s="45"/>
      <c r="M576" s="45"/>
      <c r="N576" s="45"/>
      <c r="O576" s="45"/>
      <c r="P576" s="45"/>
      <c r="Q576" s="45"/>
      <c r="R576" s="45"/>
      <c r="S576" s="45"/>
      <c r="T576" s="45"/>
      <c r="U576" s="45"/>
      <c r="V576" s="45"/>
      <c r="W576" s="45"/>
      <c r="X576" s="45"/>
      <c r="Y576" s="45"/>
      <c r="Z576" s="45"/>
    </row>
    <row r="577">
      <c r="A577" s="51">
        <v>576.0</v>
      </c>
      <c r="B577" s="47" t="str">
        <f>'Project Stocktaking Template'!B578</f>
        <v>MAINTAINANCE OF ACCESS ROAD</v>
      </c>
      <c r="C577" s="47" t="str">
        <f>'Project Stocktaking Template'!H578</f>
        <v>GarissaTownship</v>
      </c>
      <c r="D577" s="47" t="str">
        <f>'Project Stocktaking Template'!I578</f>
        <v>Township</v>
      </c>
      <c r="E577" s="48" t="str">
        <f>'Project Stocktaking Template'!O578</f>
        <v>1st aug 2024</v>
      </c>
      <c r="F577" s="48" t="str">
        <f>'Project Stocktaking Template'!P578</f>
        <v>30th june 2025</v>
      </c>
      <c r="G577" s="48" t="str">
        <f>'Project Stocktaking Template'!Q578</f>
        <v>30th june 2025</v>
      </c>
      <c r="H577" s="49">
        <f>'Project Stocktaking Template'!R578</f>
        <v>4374940</v>
      </c>
      <c r="I577" s="50" t="str">
        <f>'Project Stocktaking Template'!AD578</f>
        <v/>
      </c>
      <c r="J577" s="45"/>
      <c r="K577" s="45"/>
      <c r="L577" s="45"/>
      <c r="M577" s="45"/>
      <c r="N577" s="45"/>
      <c r="O577" s="45"/>
      <c r="P577" s="45"/>
      <c r="Q577" s="45"/>
      <c r="R577" s="45"/>
      <c r="S577" s="45"/>
      <c r="T577" s="45"/>
      <c r="U577" s="45"/>
      <c r="V577" s="45"/>
      <c r="W577" s="45"/>
      <c r="X577" s="45"/>
      <c r="Y577" s="45"/>
      <c r="Z577" s="45"/>
    </row>
    <row r="578">
      <c r="A578" s="46">
        <v>577.0</v>
      </c>
      <c r="B578" s="47" t="str">
        <f>'Project Stocktaking Template'!B579</f>
        <v>MAINATAINANCE OF IFTIN 2 ACCESS ROAD</v>
      </c>
      <c r="C578" s="47" t="str">
        <f>'Project Stocktaking Template'!H579</f>
        <v>GarissaTownship</v>
      </c>
      <c r="D578" s="47" t="str">
        <f>'Project Stocktaking Template'!I579</f>
        <v>Township</v>
      </c>
      <c r="E578" s="48" t="str">
        <f>'Project Stocktaking Template'!O579</f>
        <v>1st aug 2024</v>
      </c>
      <c r="F578" s="48" t="str">
        <f>'Project Stocktaking Template'!P579</f>
        <v>30th june 2025</v>
      </c>
      <c r="G578" s="48" t="str">
        <f>'Project Stocktaking Template'!Q579</f>
        <v>30th june 2025</v>
      </c>
      <c r="H578" s="49">
        <f>'Project Stocktaking Template'!R579</f>
        <v>4551260</v>
      </c>
      <c r="I578" s="50" t="str">
        <f>'Project Stocktaking Template'!AD579</f>
        <v/>
      </c>
      <c r="J578" s="45"/>
      <c r="K578" s="45"/>
      <c r="L578" s="45"/>
      <c r="M578" s="45"/>
      <c r="N578" s="45"/>
      <c r="O578" s="45"/>
      <c r="P578" s="45"/>
      <c r="Q578" s="45"/>
      <c r="R578" s="45"/>
      <c r="S578" s="45"/>
      <c r="T578" s="45"/>
      <c r="U578" s="45"/>
      <c r="V578" s="45"/>
      <c r="W578" s="45"/>
      <c r="X578" s="45"/>
      <c r="Y578" s="45"/>
      <c r="Z578" s="45"/>
    </row>
    <row r="579">
      <c r="A579" s="51">
        <v>578.0</v>
      </c>
      <c r="B579" s="47" t="str">
        <f>'Project Stocktaking Template'!B580</f>
        <v>UPGRADING TO BITUMEN STANDARD BULLA MADINA DOBALE ROAD</v>
      </c>
      <c r="C579" s="47" t="str">
        <f>'Project Stocktaking Template'!H580</f>
        <v>GarissaTownship</v>
      </c>
      <c r="D579" s="47" t="str">
        <f>'Project Stocktaking Template'!I580</f>
        <v>Galbet</v>
      </c>
      <c r="E579" s="48" t="str">
        <f>'Project Stocktaking Template'!O580</f>
        <v>1st aug 2024</v>
      </c>
      <c r="F579" s="48" t="str">
        <f>'Project Stocktaking Template'!P580</f>
        <v>30th june 2025</v>
      </c>
      <c r="G579" s="48" t="str">
        <f>'Project Stocktaking Template'!Q580</f>
        <v>30th june 2025</v>
      </c>
      <c r="H579" s="49">
        <f>'Project Stocktaking Template'!R580</f>
        <v>5716551.75</v>
      </c>
      <c r="I579" s="50" t="str">
        <f>'Project Stocktaking Template'!AD580</f>
        <v/>
      </c>
      <c r="J579" s="45"/>
      <c r="K579" s="45"/>
      <c r="L579" s="45"/>
      <c r="M579" s="45"/>
      <c r="N579" s="45"/>
      <c r="O579" s="45"/>
      <c r="P579" s="45"/>
      <c r="Q579" s="45"/>
      <c r="R579" s="45"/>
      <c r="S579" s="45"/>
      <c r="T579" s="45"/>
      <c r="U579" s="45"/>
      <c r="V579" s="45"/>
      <c r="W579" s="45"/>
      <c r="X579" s="45"/>
      <c r="Y579" s="45"/>
      <c r="Z579" s="45"/>
    </row>
    <row r="580">
      <c r="A580" s="46">
        <v>579.0</v>
      </c>
      <c r="B580" s="47" t="str">
        <f>'Project Stocktaking Template'!B581</f>
        <v>MAINTAINANCE OF IFTIN 1 ACCESS ROAD</v>
      </c>
      <c r="C580" s="47" t="str">
        <f>'Project Stocktaking Template'!H581</f>
        <v>GarissaTownship</v>
      </c>
      <c r="D580" s="47" t="str">
        <f>'Project Stocktaking Template'!I581</f>
        <v>Township</v>
      </c>
      <c r="E580" s="48" t="str">
        <f>'Project Stocktaking Template'!O581</f>
        <v>1st aug 2024</v>
      </c>
      <c r="F580" s="48" t="str">
        <f>'Project Stocktaking Template'!P581</f>
        <v>30th june 2025</v>
      </c>
      <c r="G580" s="48" t="str">
        <f>'Project Stocktaking Template'!Q581</f>
        <v>30th june 2025</v>
      </c>
      <c r="H580" s="49">
        <f>'Project Stocktaking Template'!R581</f>
        <v>4588728</v>
      </c>
      <c r="I580" s="50" t="str">
        <f>'Project Stocktaking Template'!AD581</f>
        <v/>
      </c>
      <c r="J580" s="45"/>
      <c r="K580" s="45"/>
      <c r="L580" s="45"/>
      <c r="M580" s="45"/>
      <c r="N580" s="45"/>
      <c r="O580" s="45"/>
      <c r="P580" s="45"/>
      <c r="Q580" s="45"/>
      <c r="R580" s="45"/>
      <c r="S580" s="45"/>
      <c r="T580" s="45"/>
      <c r="U580" s="45"/>
      <c r="V580" s="45"/>
      <c r="W580" s="45"/>
      <c r="X580" s="45"/>
      <c r="Y580" s="45"/>
      <c r="Z580" s="45"/>
    </row>
    <row r="581">
      <c r="A581" s="51">
        <v>580.0</v>
      </c>
      <c r="B581" s="47" t="str">
        <f>'Project Stocktaking Template'!B582</f>
        <v>MAINTAINANCE OF ACCESS ROAD</v>
      </c>
      <c r="C581" s="47" t="str">
        <f>'Project Stocktaking Template'!H582</f>
        <v>GarissaTownship</v>
      </c>
      <c r="D581" s="47" t="str">
        <f>'Project Stocktaking Template'!I582</f>
        <v>Township</v>
      </c>
      <c r="E581" s="48" t="str">
        <f>'Project Stocktaking Template'!O582</f>
        <v>1st aug 2024</v>
      </c>
      <c r="F581" s="48" t="str">
        <f>'Project Stocktaking Template'!P582</f>
        <v>30th june 2025</v>
      </c>
      <c r="G581" s="48" t="str">
        <f>'Project Stocktaking Template'!Q582</f>
        <v>30th june 2025</v>
      </c>
      <c r="H581" s="49">
        <f>'Project Stocktaking Template'!R582</f>
        <v>4573300</v>
      </c>
      <c r="I581" s="50" t="str">
        <f>'Project Stocktaking Template'!AD582</f>
        <v/>
      </c>
      <c r="J581" s="45"/>
      <c r="K581" s="45"/>
      <c r="L581" s="45"/>
      <c r="M581" s="45"/>
      <c r="N581" s="45"/>
      <c r="O581" s="45"/>
      <c r="P581" s="45"/>
      <c r="Q581" s="45"/>
      <c r="R581" s="45"/>
      <c r="S581" s="45"/>
      <c r="T581" s="45"/>
      <c r="U581" s="45"/>
      <c r="V581" s="45"/>
      <c r="W581" s="45"/>
      <c r="X581" s="45"/>
      <c r="Y581" s="45"/>
      <c r="Z581" s="45"/>
    </row>
    <row r="582">
      <c r="A582" s="46">
        <v>581.0</v>
      </c>
      <c r="B582" s="47" t="str">
        <f>'Project Stocktaking Template'!B583</f>
        <v>CONSTRUCTION OF NEW BOX CULVERT AT DOBALE</v>
      </c>
      <c r="C582" s="47" t="str">
        <f>'Project Stocktaking Template'!H583</f>
        <v>GarissaTownship</v>
      </c>
      <c r="D582" s="47" t="str">
        <f>'Project Stocktaking Template'!I583</f>
        <v>Township</v>
      </c>
      <c r="E582" s="48" t="str">
        <f>'Project Stocktaking Template'!O583</f>
        <v>1st aug 2024</v>
      </c>
      <c r="F582" s="48" t="str">
        <f>'Project Stocktaking Template'!P583</f>
        <v>30th june 2025</v>
      </c>
      <c r="G582" s="48" t="str">
        <f>'Project Stocktaking Template'!Q583</f>
        <v>30th june 2025</v>
      </c>
      <c r="H582" s="49">
        <f>'Project Stocktaking Template'!R583</f>
        <v>1425000</v>
      </c>
      <c r="I582" s="50" t="str">
        <f>'Project Stocktaking Template'!AD583</f>
        <v/>
      </c>
      <c r="J582" s="45"/>
      <c r="K582" s="45"/>
      <c r="L582" s="45"/>
      <c r="M582" s="45"/>
      <c r="N582" s="45"/>
      <c r="O582" s="45"/>
      <c r="P582" s="45"/>
      <c r="Q582" s="45"/>
      <c r="R582" s="45"/>
      <c r="S582" s="45"/>
      <c r="T582" s="45"/>
      <c r="U582" s="45"/>
      <c r="V582" s="45"/>
      <c r="W582" s="45"/>
      <c r="X582" s="45"/>
      <c r="Y582" s="45"/>
      <c r="Z582" s="45"/>
    </row>
    <row r="583">
      <c r="A583" s="51">
        <v>582.0</v>
      </c>
      <c r="B583" s="47" t="str">
        <f>'Project Stocktaking Template'!B584</f>
        <v>MAINTAINCE OF ACCESS ROAD</v>
      </c>
      <c r="C583" s="47" t="str">
        <f>'Project Stocktaking Template'!H584</f>
        <v>GarissaTownship</v>
      </c>
      <c r="D583" s="47" t="str">
        <f>'Project Stocktaking Template'!I584</f>
        <v>Township</v>
      </c>
      <c r="E583" s="48" t="str">
        <f>'Project Stocktaking Template'!O584</f>
        <v>1st aug 2024</v>
      </c>
      <c r="F583" s="48" t="str">
        <f>'Project Stocktaking Template'!P584</f>
        <v>30th june 2025</v>
      </c>
      <c r="G583" s="48" t="str">
        <f>'Project Stocktaking Template'!Q584</f>
        <v>30th june 2025</v>
      </c>
      <c r="H583" s="49">
        <f>'Project Stocktaking Template'!R584</f>
        <v>4276862</v>
      </c>
      <c r="I583" s="50" t="str">
        <f>'Project Stocktaking Template'!AD584</f>
        <v/>
      </c>
      <c r="J583" s="45"/>
      <c r="K583" s="45"/>
      <c r="L583" s="45"/>
      <c r="M583" s="45"/>
      <c r="N583" s="45"/>
      <c r="O583" s="45"/>
      <c r="P583" s="45"/>
      <c r="Q583" s="45"/>
      <c r="R583" s="45"/>
      <c r="S583" s="45"/>
      <c r="T583" s="45"/>
      <c r="U583" s="45"/>
      <c r="V583" s="45"/>
      <c r="W583" s="45"/>
      <c r="X583" s="45"/>
      <c r="Y583" s="45"/>
      <c r="Z583" s="45"/>
    </row>
    <row r="584">
      <c r="A584" s="46">
        <v>583.0</v>
      </c>
      <c r="B584" s="47" t="str">
        <f>'Project Stocktaking Template'!B585</f>
        <v>MAINTAINACE OF ACCESS ROAD</v>
      </c>
      <c r="C584" s="47" t="str">
        <f>'Project Stocktaking Template'!H585</f>
        <v>GarissaTownship</v>
      </c>
      <c r="D584" s="47" t="str">
        <f>'Project Stocktaking Template'!I585</f>
        <v>Township</v>
      </c>
      <c r="E584" s="48" t="str">
        <f>'Project Stocktaking Template'!O585</f>
        <v>1st aug 2024</v>
      </c>
      <c r="F584" s="48" t="str">
        <f>'Project Stocktaking Template'!P585</f>
        <v>30th june 2025</v>
      </c>
      <c r="G584" s="48" t="str">
        <f>'Project Stocktaking Template'!Q585</f>
        <v>30th june 2025</v>
      </c>
      <c r="H584" s="49">
        <f>'Project Stocktaking Template'!R585</f>
        <v>4738600</v>
      </c>
      <c r="I584" s="50" t="str">
        <f>'Project Stocktaking Template'!AD585</f>
        <v/>
      </c>
      <c r="J584" s="45"/>
      <c r="K584" s="45"/>
      <c r="L584" s="45"/>
      <c r="M584" s="45"/>
      <c r="N584" s="45"/>
      <c r="O584" s="45"/>
      <c r="P584" s="45"/>
      <c r="Q584" s="45"/>
      <c r="R584" s="45"/>
      <c r="S584" s="45"/>
      <c r="T584" s="45"/>
      <c r="U584" s="45"/>
      <c r="V584" s="45"/>
      <c r="W584" s="45"/>
      <c r="X584" s="45"/>
      <c r="Y584" s="45"/>
      <c r="Z584" s="45"/>
    </row>
    <row r="585">
      <c r="A585" s="51">
        <v>584.0</v>
      </c>
      <c r="B585" s="47" t="str">
        <f>'Project Stocktaking Template'!B586</f>
        <v>MAINATAINANCE OF  ACCESS ROAD</v>
      </c>
      <c r="C585" s="47" t="str">
        <f>'Project Stocktaking Template'!H586</f>
        <v>GarissaTownship</v>
      </c>
      <c r="D585" s="47" t="str">
        <f>'Project Stocktaking Template'!I586</f>
        <v>Township</v>
      </c>
      <c r="E585" s="48" t="str">
        <f>'Project Stocktaking Template'!O586</f>
        <v>1st aug 2024</v>
      </c>
      <c r="F585" s="48" t="str">
        <f>'Project Stocktaking Template'!P586</f>
        <v>30th june 2025</v>
      </c>
      <c r="G585" s="48" t="str">
        <f>'Project Stocktaking Template'!Q586</f>
        <v>30th june 2025</v>
      </c>
      <c r="H585" s="49">
        <f>'Project Stocktaking Template'!R586</f>
        <v>4148704.8</v>
      </c>
      <c r="I585" s="50" t="str">
        <f>'Project Stocktaking Template'!AD586</f>
        <v/>
      </c>
      <c r="J585" s="45"/>
      <c r="K585" s="45"/>
      <c r="L585" s="45"/>
      <c r="M585" s="45"/>
      <c r="N585" s="45"/>
      <c r="O585" s="45"/>
      <c r="P585" s="45"/>
      <c r="Q585" s="45"/>
      <c r="R585" s="45"/>
      <c r="S585" s="45"/>
      <c r="T585" s="45"/>
      <c r="U585" s="45"/>
      <c r="V585" s="45"/>
      <c r="W585" s="45"/>
      <c r="X585" s="45"/>
      <c r="Y585" s="45"/>
      <c r="Z585" s="45"/>
    </row>
    <row r="586">
      <c r="A586" s="46">
        <v>585.0</v>
      </c>
      <c r="B586" s="47" t="str">
        <f>'Project Stocktaking Template'!B587</f>
        <v>MAINTAINANCE OF ACCESS ROAD</v>
      </c>
      <c r="C586" s="47" t="str">
        <f>'Project Stocktaking Template'!H587</f>
        <v>GarissaTownship</v>
      </c>
      <c r="D586" s="47" t="str">
        <f>'Project Stocktaking Template'!I587</f>
        <v>Township</v>
      </c>
      <c r="E586" s="48" t="str">
        <f>'Project Stocktaking Template'!O587</f>
        <v>1st aug 2024</v>
      </c>
      <c r="F586" s="48" t="str">
        <f>'Project Stocktaking Template'!P587</f>
        <v>30th june 2025</v>
      </c>
      <c r="G586" s="48" t="str">
        <f>'Project Stocktaking Template'!Q587</f>
        <v>30th june 2025</v>
      </c>
      <c r="H586" s="49">
        <f>'Project Stocktaking Template'!R587</f>
        <v>4678311</v>
      </c>
      <c r="I586" s="50" t="str">
        <f>'Project Stocktaking Template'!AD587</f>
        <v/>
      </c>
      <c r="J586" s="45"/>
      <c r="K586" s="45"/>
      <c r="L586" s="45"/>
      <c r="M586" s="45"/>
      <c r="N586" s="45"/>
      <c r="O586" s="45"/>
      <c r="P586" s="45"/>
      <c r="Q586" s="45"/>
      <c r="R586" s="45"/>
      <c r="S586" s="45"/>
      <c r="T586" s="45"/>
      <c r="U586" s="45"/>
      <c r="V586" s="45"/>
      <c r="W586" s="45"/>
      <c r="X586" s="45"/>
      <c r="Y586" s="45"/>
      <c r="Z586" s="45"/>
    </row>
    <row r="587">
      <c r="A587" s="51">
        <v>586.0</v>
      </c>
      <c r="B587" s="47" t="str">
        <f>'Project Stocktaking Template'!B588</f>
        <v>MAINTANANINACE OF FARM ACCESS ROAD</v>
      </c>
      <c r="C587" s="47" t="str">
        <f>'Project Stocktaking Template'!H588</f>
        <v>GarissaTownship</v>
      </c>
      <c r="D587" s="47" t="str">
        <f>'Project Stocktaking Template'!I588</f>
        <v>Township</v>
      </c>
      <c r="E587" s="48" t="str">
        <f>'Project Stocktaking Template'!O588</f>
        <v>1st aug 2024</v>
      </c>
      <c r="F587" s="48" t="str">
        <f>'Project Stocktaking Template'!P588</f>
        <v>30th june 2025</v>
      </c>
      <c r="G587" s="48" t="str">
        <f>'Project Stocktaking Template'!Q588</f>
        <v>30th june 2025</v>
      </c>
      <c r="H587" s="49">
        <f>'Project Stocktaking Template'!R588</f>
        <v>3182500</v>
      </c>
      <c r="I587" s="50" t="str">
        <f>'Project Stocktaking Template'!AD588</f>
        <v/>
      </c>
      <c r="J587" s="45"/>
      <c r="K587" s="45"/>
      <c r="L587" s="45"/>
      <c r="M587" s="45"/>
      <c r="N587" s="45"/>
      <c r="O587" s="45"/>
      <c r="P587" s="45"/>
      <c r="Q587" s="45"/>
      <c r="R587" s="45"/>
      <c r="S587" s="45"/>
      <c r="T587" s="45"/>
      <c r="U587" s="45"/>
      <c r="V587" s="45"/>
      <c r="W587" s="45"/>
      <c r="X587" s="45"/>
      <c r="Y587" s="45"/>
      <c r="Z587" s="45"/>
    </row>
    <row r="588">
      <c r="A588" s="46">
        <v>587.0</v>
      </c>
      <c r="B588" s="47" t="str">
        <f>'Project Stocktaking Template'!B589</f>
        <v>MAINTAINCE OF ACCESS ROAD</v>
      </c>
      <c r="C588" s="47" t="str">
        <f>'Project Stocktaking Template'!H589</f>
        <v>GarissaTownship</v>
      </c>
      <c r="D588" s="47" t="str">
        <f>'Project Stocktaking Template'!I589</f>
        <v>Township</v>
      </c>
      <c r="E588" s="48" t="str">
        <f>'Project Stocktaking Template'!O589</f>
        <v>1st aug 2024</v>
      </c>
      <c r="F588" s="48" t="str">
        <f>'Project Stocktaking Template'!P589</f>
        <v>30th june 2025</v>
      </c>
      <c r="G588" s="48" t="str">
        <f>'Project Stocktaking Template'!Q589</f>
        <v>30th june 2025</v>
      </c>
      <c r="H588" s="49">
        <f>'Project Stocktaking Template'!R589</f>
        <v>4738600</v>
      </c>
      <c r="I588" s="50" t="str">
        <f>'Project Stocktaking Template'!AD589</f>
        <v/>
      </c>
      <c r="J588" s="45"/>
      <c r="K588" s="45"/>
      <c r="L588" s="45"/>
      <c r="M588" s="45"/>
      <c r="N588" s="45"/>
      <c r="O588" s="45"/>
      <c r="P588" s="45"/>
      <c r="Q588" s="45"/>
      <c r="R588" s="45"/>
      <c r="S588" s="45"/>
      <c r="T588" s="45"/>
      <c r="U588" s="45"/>
      <c r="V588" s="45"/>
      <c r="W588" s="45"/>
      <c r="X588" s="45"/>
      <c r="Y588" s="45"/>
      <c r="Z588" s="45"/>
    </row>
    <row r="589">
      <c r="A589" s="51">
        <v>588.0</v>
      </c>
      <c r="B589" s="47" t="str">
        <f>'Project Stocktaking Template'!B590</f>
        <v>MAINTAINNCE OF FARM ACCESS</v>
      </c>
      <c r="C589" s="47" t="str">
        <f>'Project Stocktaking Template'!H590</f>
        <v>GarissaTownship</v>
      </c>
      <c r="D589" s="47" t="str">
        <f>'Project Stocktaking Template'!I590</f>
        <v>Township</v>
      </c>
      <c r="E589" s="48" t="str">
        <f>'Project Stocktaking Template'!O590</f>
        <v>1st aug 2024</v>
      </c>
      <c r="F589" s="48" t="str">
        <f>'Project Stocktaking Template'!P590</f>
        <v>30th june 2025</v>
      </c>
      <c r="G589" s="48" t="str">
        <f>'Project Stocktaking Template'!Q590</f>
        <v>30th june 2025</v>
      </c>
      <c r="H589" s="49">
        <f>'Project Stocktaking Template'!R590</f>
        <v>1572828</v>
      </c>
      <c r="I589" s="50" t="str">
        <f>'Project Stocktaking Template'!AD590</f>
        <v/>
      </c>
      <c r="J589" s="45"/>
      <c r="K589" s="45"/>
      <c r="L589" s="45"/>
      <c r="M589" s="45"/>
      <c r="N589" s="45"/>
      <c r="O589" s="45"/>
      <c r="P589" s="45"/>
      <c r="Q589" s="45"/>
      <c r="R589" s="45"/>
      <c r="S589" s="45"/>
      <c r="T589" s="45"/>
      <c r="U589" s="45"/>
      <c r="V589" s="45"/>
      <c r="W589" s="45"/>
      <c r="X589" s="45"/>
      <c r="Y589" s="45"/>
      <c r="Z589" s="45"/>
    </row>
    <row r="590">
      <c r="A590" s="46">
        <v>589.0</v>
      </c>
      <c r="B590" s="47" t="str">
        <f>'Project Stocktaking Template'!B591</f>
        <v>MAINTAINANCE OF FARM ACCESS ROAD</v>
      </c>
      <c r="C590" s="47" t="str">
        <f>'Project Stocktaking Template'!H591</f>
        <v>GarissaTownship</v>
      </c>
      <c r="D590" s="47" t="str">
        <f>'Project Stocktaking Template'!I591</f>
        <v>Township</v>
      </c>
      <c r="E590" s="48" t="str">
        <f>'Project Stocktaking Template'!O591</f>
        <v>1st aug 2024</v>
      </c>
      <c r="F590" s="48" t="str">
        <f>'Project Stocktaking Template'!P591</f>
        <v>30th june 2025</v>
      </c>
      <c r="G590" s="48" t="str">
        <f>'Project Stocktaking Template'!Q591</f>
        <v>30th june 2025</v>
      </c>
      <c r="H590" s="49">
        <f>'Project Stocktaking Template'!R591</f>
        <v>3404826.4</v>
      </c>
      <c r="I590" s="50" t="str">
        <f>'Project Stocktaking Template'!AD591</f>
        <v/>
      </c>
      <c r="J590" s="45"/>
      <c r="K590" s="45"/>
      <c r="L590" s="45"/>
      <c r="M590" s="45"/>
      <c r="N590" s="45"/>
      <c r="O590" s="45"/>
      <c r="P590" s="45"/>
      <c r="Q590" s="45"/>
      <c r="R590" s="45"/>
      <c r="S590" s="45"/>
      <c r="T590" s="45"/>
      <c r="U590" s="45"/>
      <c r="V590" s="45"/>
      <c r="W590" s="45"/>
      <c r="X590" s="45"/>
      <c r="Y590" s="45"/>
      <c r="Z590" s="45"/>
    </row>
    <row r="591">
      <c r="A591" s="51">
        <v>590.0</v>
      </c>
      <c r="B591" s="47" t="str">
        <f>'Project Stocktaking Template'!B592</f>
        <v>MAINTAINANCE OF FARM ACCESS ROAD</v>
      </c>
      <c r="C591" s="47" t="str">
        <f>'Project Stocktaking Template'!H592</f>
        <v>GarissaTownship</v>
      </c>
      <c r="D591" s="47" t="str">
        <f>'Project Stocktaking Template'!I592</f>
        <v>Township</v>
      </c>
      <c r="E591" s="48" t="str">
        <f>'Project Stocktaking Template'!O592</f>
        <v>1st aug 2024</v>
      </c>
      <c r="F591" s="48" t="str">
        <f>'Project Stocktaking Template'!P592</f>
        <v>30th june 2025</v>
      </c>
      <c r="G591" s="48" t="str">
        <f>'Project Stocktaking Template'!Q592</f>
        <v>30th june 2025</v>
      </c>
      <c r="H591" s="49">
        <f>'Project Stocktaking Template'!R592</f>
        <v>3600000</v>
      </c>
      <c r="I591" s="50" t="str">
        <f>'Project Stocktaking Template'!AD592</f>
        <v/>
      </c>
      <c r="J591" s="45"/>
      <c r="K591" s="45"/>
      <c r="L591" s="45"/>
      <c r="M591" s="45"/>
      <c r="N591" s="45"/>
      <c r="O591" s="45"/>
      <c r="P591" s="45"/>
      <c r="Q591" s="45"/>
      <c r="R591" s="45"/>
      <c r="S591" s="45"/>
      <c r="T591" s="45"/>
      <c r="U591" s="45"/>
      <c r="V591" s="45"/>
      <c r="W591" s="45"/>
      <c r="X591" s="45"/>
      <c r="Y591" s="45"/>
      <c r="Z591" s="45"/>
    </row>
    <row r="592">
      <c r="A592" s="46">
        <v>591.0</v>
      </c>
      <c r="B592" s="47" t="str">
        <f>'Project Stocktaking Template'!B593</f>
        <v>MAINTAINANCE OF FARM ACCESS ROAD</v>
      </c>
      <c r="C592" s="47" t="str">
        <f>'Project Stocktaking Template'!H593</f>
        <v>GarissaTownship</v>
      </c>
      <c r="D592" s="47" t="str">
        <f>'Project Stocktaking Template'!I593</f>
        <v>Township</v>
      </c>
      <c r="E592" s="48" t="str">
        <f>'Project Stocktaking Template'!O593</f>
        <v>1st aug 2024</v>
      </c>
      <c r="F592" s="48" t="str">
        <f>'Project Stocktaking Template'!P593</f>
        <v>30th june 2025</v>
      </c>
      <c r="G592" s="48" t="str">
        <f>'Project Stocktaking Template'!Q593</f>
        <v>30th june 2025</v>
      </c>
      <c r="H592" s="49">
        <f>'Project Stocktaking Template'!R593</f>
        <v>3794775.85</v>
      </c>
      <c r="I592" s="50" t="str">
        <f>'Project Stocktaking Template'!AD593</f>
        <v/>
      </c>
      <c r="J592" s="45"/>
      <c r="K592" s="45"/>
      <c r="L592" s="45"/>
      <c r="M592" s="45"/>
      <c r="N592" s="45"/>
      <c r="O592" s="45"/>
      <c r="P592" s="45"/>
      <c r="Q592" s="45"/>
      <c r="R592" s="45"/>
      <c r="S592" s="45"/>
      <c r="T592" s="45"/>
      <c r="U592" s="45"/>
      <c r="V592" s="45"/>
      <c r="W592" s="45"/>
      <c r="X592" s="45"/>
      <c r="Y592" s="45"/>
      <c r="Z592" s="45"/>
    </row>
    <row r="593">
      <c r="A593" s="51">
        <v>592.0</v>
      </c>
      <c r="B593" s="47" t="str">
        <f>'Project Stocktaking Template'!B594</f>
        <v>MAINTAINANCE OF FARM ACCESS ROAD</v>
      </c>
      <c r="C593" s="47" t="str">
        <f>'Project Stocktaking Template'!H594</f>
        <v>GarissaTownship</v>
      </c>
      <c r="D593" s="47" t="str">
        <f>'Project Stocktaking Template'!I594</f>
        <v>Township</v>
      </c>
      <c r="E593" s="48" t="str">
        <f>'Project Stocktaking Template'!O594</f>
        <v>1st aug 2024</v>
      </c>
      <c r="F593" s="48" t="str">
        <f>'Project Stocktaking Template'!P594</f>
        <v>30th june 2025</v>
      </c>
      <c r="G593" s="48" t="str">
        <f>'Project Stocktaking Template'!Q594</f>
        <v>30th june 2025</v>
      </c>
      <c r="H593" s="49">
        <f>'Project Stocktaking Template'!R594</f>
        <v>3794775.85</v>
      </c>
      <c r="I593" s="50" t="str">
        <f>'Project Stocktaking Template'!AD594</f>
        <v/>
      </c>
      <c r="J593" s="45"/>
      <c r="K593" s="45"/>
      <c r="L593" s="45"/>
      <c r="M593" s="45"/>
      <c r="N593" s="45"/>
      <c r="O593" s="45"/>
      <c r="P593" s="45"/>
      <c r="Q593" s="45"/>
      <c r="R593" s="45"/>
      <c r="S593" s="45"/>
      <c r="T593" s="45"/>
      <c r="U593" s="45"/>
      <c r="V593" s="45"/>
      <c r="W593" s="45"/>
      <c r="X593" s="45"/>
      <c r="Y593" s="45"/>
      <c r="Z593" s="45"/>
    </row>
    <row r="594">
      <c r="A594" s="46">
        <v>593.0</v>
      </c>
      <c r="B594" s="47" t="str">
        <f>'Project Stocktaking Template'!B595</f>
        <v>MAINTAINANCE OF FARM ACCESS ROAD</v>
      </c>
      <c r="C594" s="47" t="str">
        <f>'Project Stocktaking Template'!H595</f>
        <v>GarissaTownship</v>
      </c>
      <c r="D594" s="47" t="str">
        <f>'Project Stocktaking Template'!I595</f>
        <v>Township</v>
      </c>
      <c r="E594" s="48" t="str">
        <f>'Project Stocktaking Template'!O595</f>
        <v>1st aug 2024</v>
      </c>
      <c r="F594" s="48" t="str">
        <f>'Project Stocktaking Template'!P595</f>
        <v>30th june 2025</v>
      </c>
      <c r="G594" s="48" t="str">
        <f>'Project Stocktaking Template'!Q595</f>
        <v>30th june 2025</v>
      </c>
      <c r="H594" s="49">
        <f>'Project Stocktaking Template'!R595</f>
        <v>3962121.2</v>
      </c>
      <c r="I594" s="50" t="str">
        <f>'Project Stocktaking Template'!AD595</f>
        <v/>
      </c>
      <c r="J594" s="45"/>
      <c r="K594" s="45"/>
      <c r="L594" s="45"/>
      <c r="M594" s="45"/>
      <c r="N594" s="45"/>
      <c r="O594" s="45"/>
      <c r="P594" s="45"/>
      <c r="Q594" s="45"/>
      <c r="R594" s="45"/>
      <c r="S594" s="45"/>
      <c r="T594" s="45"/>
      <c r="U594" s="45"/>
      <c r="V594" s="45"/>
      <c r="W594" s="45"/>
      <c r="X594" s="45"/>
      <c r="Y594" s="45"/>
      <c r="Z594" s="45"/>
    </row>
    <row r="595">
      <c r="A595" s="51">
        <v>594.0</v>
      </c>
      <c r="B595" s="47" t="str">
        <f>'Project Stocktaking Template'!B596</f>
        <v>MAINTAINANCE OF FARM ACCESS ROAD</v>
      </c>
      <c r="C595" s="47" t="str">
        <f>'Project Stocktaking Template'!H596</f>
        <v>GarissaTownship</v>
      </c>
      <c r="D595" s="47" t="str">
        <f>'Project Stocktaking Template'!I596</f>
        <v>Township</v>
      </c>
      <c r="E595" s="48" t="str">
        <f>'Project Stocktaking Template'!O596</f>
        <v>1st aug 2024</v>
      </c>
      <c r="F595" s="48" t="str">
        <f>'Project Stocktaking Template'!P596</f>
        <v>30th june 2025</v>
      </c>
      <c r="G595" s="48" t="str">
        <f>'Project Stocktaking Template'!Q596</f>
        <v>30th june 2025</v>
      </c>
      <c r="H595" s="49">
        <f>'Project Stocktaking Template'!R596</f>
        <v>3970648.8</v>
      </c>
      <c r="I595" s="50" t="str">
        <f>'Project Stocktaking Template'!AD596</f>
        <v/>
      </c>
      <c r="J595" s="45"/>
      <c r="K595" s="45"/>
      <c r="L595" s="45"/>
      <c r="M595" s="45"/>
      <c r="N595" s="45"/>
      <c r="O595" s="45"/>
      <c r="P595" s="45"/>
      <c r="Q595" s="45"/>
      <c r="R595" s="45"/>
      <c r="S595" s="45"/>
      <c r="T595" s="45"/>
      <c r="U595" s="45"/>
      <c r="V595" s="45"/>
      <c r="W595" s="45"/>
      <c r="X595" s="45"/>
      <c r="Y595" s="45"/>
      <c r="Z595" s="45"/>
    </row>
    <row r="596">
      <c r="A596" s="46">
        <v>595.0</v>
      </c>
      <c r="B596" s="47" t="str">
        <f>'Project Stocktaking Template'!B597</f>
        <v>MAINTAINANCE OF FARM ACCESS ROAD</v>
      </c>
      <c r="C596" s="47" t="str">
        <f>'Project Stocktaking Template'!H597</f>
        <v>GarissaTownship</v>
      </c>
      <c r="D596" s="47" t="str">
        <f>'Project Stocktaking Template'!I597</f>
        <v>Township</v>
      </c>
      <c r="E596" s="48" t="str">
        <f>'Project Stocktaking Template'!O597</f>
        <v>1st aug 2024</v>
      </c>
      <c r="F596" s="48" t="str">
        <f>'Project Stocktaking Template'!P597</f>
        <v>30th june 2025</v>
      </c>
      <c r="G596" s="48" t="str">
        <f>'Project Stocktaking Template'!Q597</f>
        <v>30th june 2025</v>
      </c>
      <c r="H596" s="49">
        <f>'Project Stocktaking Template'!R597</f>
        <v>3600000</v>
      </c>
      <c r="I596" s="50" t="str">
        <f>'Project Stocktaking Template'!AD597</f>
        <v/>
      </c>
      <c r="J596" s="45"/>
      <c r="K596" s="45"/>
      <c r="L596" s="45"/>
      <c r="M596" s="45"/>
      <c r="N596" s="45"/>
      <c r="O596" s="45"/>
      <c r="P596" s="45"/>
      <c r="Q596" s="45"/>
      <c r="R596" s="45"/>
      <c r="S596" s="45"/>
      <c r="T596" s="45"/>
      <c r="U596" s="45"/>
      <c r="V596" s="45"/>
      <c r="W596" s="45"/>
      <c r="X596" s="45"/>
      <c r="Y596" s="45"/>
      <c r="Z596" s="45"/>
    </row>
    <row r="597">
      <c r="A597" s="51">
        <v>596.0</v>
      </c>
      <c r="B597" s="47" t="str">
        <f>'Project Stocktaking Template'!B598</f>
        <v>MAINTAINACE OF BULLA RAHMA ACCESS ROAD</v>
      </c>
      <c r="C597" s="47" t="str">
        <f>'Project Stocktaking Template'!H598</f>
        <v>GarissaTownship</v>
      </c>
      <c r="D597" s="47" t="str">
        <f>'Project Stocktaking Template'!I598</f>
        <v>Iftin</v>
      </c>
      <c r="E597" s="48" t="str">
        <f>'Project Stocktaking Template'!O598</f>
        <v>1st aug 2024</v>
      </c>
      <c r="F597" s="48" t="str">
        <f>'Project Stocktaking Template'!P598</f>
        <v>30th june 2025</v>
      </c>
      <c r="G597" s="48" t="str">
        <f>'Project Stocktaking Template'!Q598</f>
        <v>30th june 2025</v>
      </c>
      <c r="H597" s="49">
        <f>'Project Stocktaking Template'!R598</f>
        <v>2391891</v>
      </c>
      <c r="I597" s="50" t="str">
        <f>'Project Stocktaking Template'!AD598</f>
        <v/>
      </c>
      <c r="J597" s="45"/>
      <c r="K597" s="45"/>
      <c r="L597" s="45"/>
      <c r="M597" s="45"/>
      <c r="N597" s="45"/>
      <c r="O597" s="45"/>
      <c r="P597" s="45"/>
      <c r="Q597" s="45"/>
      <c r="R597" s="45"/>
      <c r="S597" s="45"/>
      <c r="T597" s="45"/>
      <c r="U597" s="45"/>
      <c r="V597" s="45"/>
      <c r="W597" s="45"/>
      <c r="X597" s="45"/>
      <c r="Y597" s="45"/>
      <c r="Z597" s="45"/>
    </row>
    <row r="598">
      <c r="A598" s="46">
        <v>597.0</v>
      </c>
      <c r="B598" s="47" t="str">
        <f>'Project Stocktaking Template'!B599</f>
        <v>MAINATAINANCE OF  DOLAL ACCESS ROAD AT </v>
      </c>
      <c r="C598" s="47" t="str">
        <f>'Project Stocktaking Template'!H599</f>
        <v>GarissaTownship</v>
      </c>
      <c r="D598" s="47" t="str">
        <f>'Project Stocktaking Template'!I599</f>
        <v>Township</v>
      </c>
      <c r="E598" s="48" t="str">
        <f>'Project Stocktaking Template'!O599</f>
        <v>1st aug 2024</v>
      </c>
      <c r="F598" s="48" t="str">
        <f>'Project Stocktaking Template'!P599</f>
        <v>30th june 2025</v>
      </c>
      <c r="G598" s="48" t="str">
        <f>'Project Stocktaking Template'!Q599</f>
        <v>30th june 2025</v>
      </c>
      <c r="H598" s="49">
        <f>'Project Stocktaking Template'!R599</f>
        <v>2865200</v>
      </c>
      <c r="I598" s="50" t="str">
        <f>'Project Stocktaking Template'!AD599</f>
        <v/>
      </c>
      <c r="J598" s="45"/>
      <c r="K598" s="45"/>
      <c r="L598" s="45"/>
      <c r="M598" s="45"/>
      <c r="N598" s="45"/>
      <c r="O598" s="45"/>
      <c r="P598" s="45"/>
      <c r="Q598" s="45"/>
      <c r="R598" s="45"/>
      <c r="S598" s="45"/>
      <c r="T598" s="45"/>
      <c r="U598" s="45"/>
      <c r="V598" s="45"/>
      <c r="W598" s="45"/>
      <c r="X598" s="45"/>
      <c r="Y598" s="45"/>
      <c r="Z598" s="45"/>
    </row>
    <row r="599">
      <c r="A599" s="51">
        <v>598.0</v>
      </c>
      <c r="B599" s="47" t="str">
        <f>'Project Stocktaking Template'!B600</f>
        <v>MAINTAINACE OF BULL TETU ACCESS ROAD</v>
      </c>
      <c r="C599" s="47" t="str">
        <f>'Project Stocktaking Template'!H600</f>
        <v>GarissaTownship</v>
      </c>
      <c r="D599" s="47" t="str">
        <f>'Project Stocktaking Template'!I600</f>
        <v>Township</v>
      </c>
      <c r="E599" s="48" t="str">
        <f>'Project Stocktaking Template'!O600</f>
        <v>1st aug 2024</v>
      </c>
      <c r="F599" s="48" t="str">
        <f>'Project Stocktaking Template'!P600</f>
        <v>30th june 2025</v>
      </c>
      <c r="G599" s="48" t="str">
        <f>'Project Stocktaking Template'!Q600</f>
        <v>30th june 2025</v>
      </c>
      <c r="H599" s="49">
        <f>'Project Stocktaking Template'!R600</f>
        <v>4703336</v>
      </c>
      <c r="I599" s="50" t="str">
        <f>'Project Stocktaking Template'!AD600</f>
        <v/>
      </c>
      <c r="J599" s="45"/>
      <c r="K599" s="45"/>
      <c r="L599" s="45"/>
      <c r="M599" s="45"/>
      <c r="N599" s="45"/>
      <c r="O599" s="45"/>
      <c r="P599" s="45"/>
      <c r="Q599" s="45"/>
      <c r="R599" s="45"/>
      <c r="S599" s="45"/>
      <c r="T599" s="45"/>
      <c r="U599" s="45"/>
      <c r="V599" s="45"/>
      <c r="W599" s="45"/>
      <c r="X599" s="45"/>
      <c r="Y599" s="45"/>
      <c r="Z599" s="45"/>
    </row>
    <row r="600">
      <c r="A600" s="46">
        <v>599.0</v>
      </c>
      <c r="B600" s="47" t="str">
        <f>'Project Stocktaking Template'!B601</f>
        <v>MAINATAINACE OF BULLA HAGAR ACCESS ROAD</v>
      </c>
      <c r="C600" s="47" t="str">
        <f>'Project Stocktaking Template'!H601</f>
        <v>GarissaTownship</v>
      </c>
      <c r="D600" s="47" t="str">
        <f>'Project Stocktaking Template'!I601</f>
        <v>Township</v>
      </c>
      <c r="E600" s="48" t="str">
        <f>'Project Stocktaking Template'!O601</f>
        <v>1st aug 2024</v>
      </c>
      <c r="F600" s="48" t="str">
        <f>'Project Stocktaking Template'!P601</f>
        <v>30th june 2025</v>
      </c>
      <c r="G600" s="48" t="str">
        <f>'Project Stocktaking Template'!Q601</f>
        <v>30th june 2025</v>
      </c>
      <c r="H600" s="49">
        <f>'Project Stocktaking Template'!R601</f>
        <v>4606360</v>
      </c>
      <c r="I600" s="50" t="str">
        <f>'Project Stocktaking Template'!AD601</f>
        <v/>
      </c>
      <c r="J600" s="45"/>
      <c r="K600" s="45"/>
      <c r="L600" s="45"/>
      <c r="M600" s="45"/>
      <c r="N600" s="45"/>
      <c r="O600" s="45"/>
      <c r="P600" s="45"/>
      <c r="Q600" s="45"/>
      <c r="R600" s="45"/>
      <c r="S600" s="45"/>
      <c r="T600" s="45"/>
      <c r="U600" s="45"/>
      <c r="V600" s="45"/>
      <c r="W600" s="45"/>
      <c r="X600" s="45"/>
      <c r="Y600" s="45"/>
      <c r="Z600" s="45"/>
    </row>
    <row r="601">
      <c r="A601" s="51">
        <v>600.0</v>
      </c>
      <c r="B601" s="47" t="str">
        <f>'Project Stocktaking Template'!B602</f>
        <v>MAINTAINACE OF ACCESS ROAD</v>
      </c>
      <c r="C601" s="47" t="str">
        <f>'Project Stocktaking Template'!H602</f>
        <v>GarissaTownship</v>
      </c>
      <c r="D601" s="47" t="str">
        <f>'Project Stocktaking Template'!I602</f>
        <v>Township</v>
      </c>
      <c r="E601" s="48" t="str">
        <f>'Project Stocktaking Template'!O602</f>
        <v>1st aug 2024</v>
      </c>
      <c r="F601" s="48" t="str">
        <f>'Project Stocktaking Template'!P602</f>
        <v>30th june 2025</v>
      </c>
      <c r="G601" s="48" t="str">
        <f>'Project Stocktaking Template'!Q602</f>
        <v>30th june 2025</v>
      </c>
      <c r="H601" s="49">
        <f>'Project Stocktaking Template'!R602</f>
        <v>4628400</v>
      </c>
      <c r="I601" s="50" t="str">
        <f>'Project Stocktaking Template'!AD602</f>
        <v/>
      </c>
      <c r="J601" s="45"/>
      <c r="K601" s="45"/>
      <c r="L601" s="45"/>
      <c r="M601" s="45"/>
      <c r="N601" s="45"/>
      <c r="O601" s="45"/>
      <c r="P601" s="45"/>
      <c r="Q601" s="45"/>
      <c r="R601" s="45"/>
      <c r="S601" s="45"/>
      <c r="T601" s="45"/>
      <c r="U601" s="45"/>
      <c r="V601" s="45"/>
      <c r="W601" s="45"/>
      <c r="X601" s="45"/>
      <c r="Y601" s="45"/>
      <c r="Z601" s="45"/>
    </row>
    <row r="602">
      <c r="A602" s="46">
        <v>601.0</v>
      </c>
      <c r="B602" s="47" t="str">
        <f>'Project Stocktaking Template'!B603</f>
        <v>MAINATAINACE OF GURUFA SKANSA ROAD</v>
      </c>
      <c r="C602" s="47" t="str">
        <f>'Project Stocktaking Template'!H603</f>
        <v>Lagdera</v>
      </c>
      <c r="D602" s="47" t="str">
        <f>'Project Stocktaking Template'!I603</f>
        <v>Modogashe</v>
      </c>
      <c r="E602" s="48" t="str">
        <f>'Project Stocktaking Template'!O603</f>
        <v>1st aug 2024</v>
      </c>
      <c r="F602" s="48" t="str">
        <f>'Project Stocktaking Template'!P603</f>
        <v>30th june 2025</v>
      </c>
      <c r="G602" s="48" t="str">
        <f>'Project Stocktaking Template'!Q603</f>
        <v>30th june 2025</v>
      </c>
      <c r="H602" s="49">
        <f>'Project Stocktaking Template'!R603</f>
        <v>4687908</v>
      </c>
      <c r="I602" s="50" t="str">
        <f>'Project Stocktaking Template'!AD603</f>
        <v/>
      </c>
      <c r="J602" s="45"/>
      <c r="K602" s="45"/>
      <c r="L602" s="45"/>
      <c r="M602" s="45"/>
      <c r="N602" s="45"/>
      <c r="O602" s="45"/>
      <c r="P602" s="45"/>
      <c r="Q602" s="45"/>
      <c r="R602" s="45"/>
      <c r="S602" s="45"/>
      <c r="T602" s="45"/>
      <c r="U602" s="45"/>
      <c r="V602" s="45"/>
      <c r="W602" s="45"/>
      <c r="X602" s="45"/>
      <c r="Y602" s="45"/>
      <c r="Z602" s="45"/>
    </row>
    <row r="603">
      <c r="A603" s="51">
        <v>602.0</v>
      </c>
      <c r="B603" s="47" t="str">
        <f>'Project Stocktaking Template'!B604</f>
        <v>MAINATAINACE OF GUYO GADHUD ROAD</v>
      </c>
      <c r="C603" s="47" t="str">
        <f>'Project Stocktaking Template'!H604</f>
        <v>GarissaTownship</v>
      </c>
      <c r="D603" s="47" t="str">
        <f>'Project Stocktaking Template'!I604</f>
        <v>Township</v>
      </c>
      <c r="E603" s="48" t="str">
        <f>'Project Stocktaking Template'!O604</f>
        <v>1st aug 2024</v>
      </c>
      <c r="F603" s="48" t="str">
        <f>'Project Stocktaking Template'!P604</f>
        <v>30th june 2025</v>
      </c>
      <c r="G603" s="48" t="str">
        <f>'Project Stocktaking Template'!Q604</f>
        <v>30th june 2025</v>
      </c>
      <c r="H603" s="49">
        <f>'Project Stocktaking Template'!R604</f>
        <v>3138116</v>
      </c>
      <c r="I603" s="50" t="str">
        <f>'Project Stocktaking Template'!AD604</f>
        <v/>
      </c>
      <c r="J603" s="45"/>
      <c r="K603" s="45"/>
      <c r="L603" s="45"/>
      <c r="M603" s="45"/>
      <c r="N603" s="45"/>
      <c r="O603" s="45"/>
      <c r="P603" s="45"/>
      <c r="Q603" s="45"/>
      <c r="R603" s="45"/>
      <c r="S603" s="45"/>
      <c r="T603" s="45"/>
      <c r="U603" s="45"/>
      <c r="V603" s="45"/>
      <c r="W603" s="45"/>
      <c r="X603" s="45"/>
      <c r="Y603" s="45"/>
      <c r="Z603" s="45"/>
    </row>
    <row r="604">
      <c r="A604" s="46">
        <v>603.0</v>
      </c>
      <c r="B604" s="47" t="str">
        <f>'Project Stocktaking Template'!B605</f>
        <v>MAINATAINANCE OF LIBOI ACCESS ROAD</v>
      </c>
      <c r="C604" s="47" t="str">
        <f>'Project Stocktaking Template'!H605</f>
        <v>Dadaab</v>
      </c>
      <c r="D604" s="47" t="str">
        <f>'Project Stocktaking Template'!I605</f>
        <v>Liboi</v>
      </c>
      <c r="E604" s="48" t="str">
        <f>'Project Stocktaking Template'!O605</f>
        <v>1st aug 2024</v>
      </c>
      <c r="F604" s="48" t="str">
        <f>'Project Stocktaking Template'!P605</f>
        <v>30th june 2025</v>
      </c>
      <c r="G604" s="48" t="str">
        <f>'Project Stocktaking Template'!Q605</f>
        <v>30th june 2025</v>
      </c>
      <c r="H604" s="49">
        <f>'Project Stocktaking Template'!R605</f>
        <v>3660040</v>
      </c>
      <c r="I604" s="50" t="str">
        <f>'Project Stocktaking Template'!AD605</f>
        <v/>
      </c>
      <c r="J604" s="45"/>
      <c r="K604" s="45"/>
      <c r="L604" s="45"/>
      <c r="M604" s="45"/>
      <c r="N604" s="45"/>
      <c r="O604" s="45"/>
      <c r="P604" s="45"/>
      <c r="Q604" s="45"/>
      <c r="R604" s="45"/>
      <c r="S604" s="45"/>
      <c r="T604" s="45"/>
      <c r="U604" s="45"/>
      <c r="V604" s="45"/>
      <c r="W604" s="45"/>
      <c r="X604" s="45"/>
      <c r="Y604" s="45"/>
      <c r="Z604" s="45"/>
    </row>
    <row r="605">
      <c r="A605" s="51">
        <v>604.0</v>
      </c>
      <c r="B605" s="47" t="str">
        <f>'Project Stocktaking Template'!B606</f>
        <v>MAINATAINCE OF DEKABUREY ACCESS ROAD</v>
      </c>
      <c r="C605" s="47" t="str">
        <f>'Project Stocktaking Template'!H606</f>
        <v>GarissaTownship</v>
      </c>
      <c r="D605" s="47" t="str">
        <f>'Project Stocktaking Template'!I606</f>
        <v>Township</v>
      </c>
      <c r="E605" s="48" t="str">
        <f>'Project Stocktaking Template'!O606</f>
        <v>1st aug 2024</v>
      </c>
      <c r="F605" s="48" t="str">
        <f>'Project Stocktaking Template'!P606</f>
        <v>30th june 2025</v>
      </c>
      <c r="G605" s="48" t="str">
        <f>'Project Stocktaking Template'!Q606</f>
        <v>30th june 2025</v>
      </c>
      <c r="H605" s="49">
        <f>'Project Stocktaking Template'!R606</f>
        <v>4672480</v>
      </c>
      <c r="I605" s="50" t="str">
        <f>'Project Stocktaking Template'!AD606</f>
        <v/>
      </c>
      <c r="J605" s="45"/>
      <c r="K605" s="45"/>
      <c r="L605" s="45"/>
      <c r="M605" s="45"/>
      <c r="N605" s="45"/>
      <c r="O605" s="45"/>
      <c r="P605" s="45"/>
      <c r="Q605" s="45"/>
      <c r="R605" s="45"/>
      <c r="S605" s="45"/>
      <c r="T605" s="45"/>
      <c r="U605" s="45"/>
      <c r="V605" s="45"/>
      <c r="W605" s="45"/>
      <c r="X605" s="45"/>
      <c r="Y605" s="45"/>
      <c r="Z605" s="45"/>
    </row>
    <row r="606">
      <c r="A606" s="46">
        <v>605.0</v>
      </c>
      <c r="B606" s="47" t="str">
        <f>'Project Stocktaking Template'!B607</f>
        <v>MAINATANCE OF DADAAD HAGARDERE ROAD</v>
      </c>
      <c r="C606" s="47" t="str">
        <f>'Project Stocktaking Template'!H607</f>
        <v>Dadaab</v>
      </c>
      <c r="D606" s="47" t="str">
        <f>'Project Stocktaking Template'!I607</f>
        <v>Dadaab</v>
      </c>
      <c r="E606" s="48" t="str">
        <f>'Project Stocktaking Template'!O607</f>
        <v>1st aug 2024</v>
      </c>
      <c r="F606" s="48" t="str">
        <f>'Project Stocktaking Template'!P607</f>
        <v>30th june 2025</v>
      </c>
      <c r="G606" s="48" t="str">
        <f>'Project Stocktaking Template'!Q607</f>
        <v>30th june 2025</v>
      </c>
      <c r="H606" s="49">
        <f>'Project Stocktaking Template'!R607</f>
        <v>4621788</v>
      </c>
      <c r="I606" s="50" t="str">
        <f>'Project Stocktaking Template'!AD607</f>
        <v/>
      </c>
      <c r="J606" s="45"/>
      <c r="K606" s="45"/>
      <c r="L606" s="45"/>
      <c r="M606" s="45"/>
      <c r="N606" s="45"/>
      <c r="O606" s="45"/>
      <c r="P606" s="45"/>
      <c r="Q606" s="45"/>
      <c r="R606" s="45"/>
      <c r="S606" s="45"/>
      <c r="T606" s="45"/>
      <c r="U606" s="45"/>
      <c r="V606" s="45"/>
      <c r="W606" s="45"/>
      <c r="X606" s="45"/>
      <c r="Y606" s="45"/>
      <c r="Z606" s="45"/>
    </row>
    <row r="607">
      <c r="A607" s="51">
        <v>606.0</v>
      </c>
      <c r="B607" s="47" t="str">
        <f>'Project Stocktaking Template'!B608</f>
        <v>MAINTAINACE OF BALAMBALA JUNCTION ACCESS ROAD</v>
      </c>
      <c r="C607" s="47" t="str">
        <f>'Project Stocktaking Template'!H608</f>
        <v>Balambala</v>
      </c>
      <c r="D607" s="47" t="str">
        <f>'Project Stocktaking Template'!I608</f>
        <v>Balambala</v>
      </c>
      <c r="E607" s="48" t="str">
        <f>'Project Stocktaking Template'!O608</f>
        <v>1st aug 2024</v>
      </c>
      <c r="F607" s="48" t="str">
        <f>'Project Stocktaking Template'!P608</f>
        <v>30th june 2025</v>
      </c>
      <c r="G607" s="48" t="str">
        <f>'Project Stocktaking Template'!Q608</f>
        <v>30th june 2025</v>
      </c>
      <c r="H607" s="49">
        <f>'Project Stocktaking Template'!R608</f>
        <v>3767200</v>
      </c>
      <c r="I607" s="50" t="str">
        <f>'Project Stocktaking Template'!AD608</f>
        <v/>
      </c>
      <c r="J607" s="45"/>
      <c r="K607" s="45"/>
      <c r="L607" s="45"/>
      <c r="M607" s="45"/>
      <c r="N607" s="45"/>
      <c r="O607" s="45"/>
      <c r="P607" s="45"/>
      <c r="Q607" s="45"/>
      <c r="R607" s="45"/>
      <c r="S607" s="45"/>
      <c r="T607" s="45"/>
      <c r="U607" s="45"/>
      <c r="V607" s="45"/>
      <c r="W607" s="45"/>
      <c r="X607" s="45"/>
      <c r="Y607" s="45"/>
      <c r="Z607" s="45"/>
    </row>
    <row r="608">
      <c r="A608" s="46">
        <v>607.0</v>
      </c>
      <c r="B608" s="47" t="str">
        <f>'Project Stocktaking Template'!B609</f>
        <v>MAINTAINACE OF BISMILAHI FARM ACCESS ROAD</v>
      </c>
      <c r="C608" s="47" t="str">
        <f>'Project Stocktaking Template'!H609</f>
        <v>GarissaTownship</v>
      </c>
      <c r="D608" s="47" t="str">
        <f>'Project Stocktaking Template'!I609</f>
        <v>Township</v>
      </c>
      <c r="E608" s="48" t="str">
        <f>'Project Stocktaking Template'!O609</f>
        <v>1st aug 2024</v>
      </c>
      <c r="F608" s="48" t="str">
        <f>'Project Stocktaking Template'!P609</f>
        <v>30th june 2025</v>
      </c>
      <c r="G608" s="48" t="str">
        <f>'Project Stocktaking Template'!Q609</f>
        <v>30th june 2025</v>
      </c>
      <c r="H608" s="49">
        <f>'Project Stocktaking Template'!R609</f>
        <v>4000000</v>
      </c>
      <c r="I608" s="50" t="str">
        <f>'Project Stocktaking Template'!AD609</f>
        <v/>
      </c>
      <c r="J608" s="45"/>
      <c r="K608" s="45"/>
      <c r="L608" s="45"/>
      <c r="M608" s="45"/>
      <c r="N608" s="45"/>
      <c r="O608" s="45"/>
      <c r="P608" s="45"/>
      <c r="Q608" s="45"/>
      <c r="R608" s="45"/>
      <c r="S608" s="45"/>
      <c r="T608" s="45"/>
      <c r="U608" s="45"/>
      <c r="V608" s="45"/>
      <c r="W608" s="45"/>
      <c r="X608" s="45"/>
      <c r="Y608" s="45"/>
      <c r="Z608" s="45"/>
    </row>
    <row r="609">
      <c r="A609" s="51">
        <v>608.0</v>
      </c>
      <c r="B609" s="47" t="str">
        <f>'Project Stocktaking Template'!B610</f>
        <v>MAINTAINACE OF BULA GAME ACCESS ROAD</v>
      </c>
      <c r="C609" s="47" t="str">
        <f>'Project Stocktaking Template'!H610</f>
        <v>GarissaTownship</v>
      </c>
      <c r="D609" s="47" t="str">
        <f>'Project Stocktaking Template'!I610</f>
        <v>Iftin</v>
      </c>
      <c r="E609" s="48" t="str">
        <f>'Project Stocktaking Template'!O610</f>
        <v>1st aug 2024</v>
      </c>
      <c r="F609" s="48" t="str">
        <f>'Project Stocktaking Template'!P610</f>
        <v>30th june 2025</v>
      </c>
      <c r="G609" s="48" t="str">
        <f>'Project Stocktaking Template'!Q610</f>
        <v>30th june 2025</v>
      </c>
      <c r="H609" s="49">
        <f>'Project Stocktaking Template'!R610</f>
        <v>4465304</v>
      </c>
      <c r="I609" s="50" t="str">
        <f>'Project Stocktaking Template'!AD610</f>
        <v/>
      </c>
      <c r="J609" s="45"/>
      <c r="K609" s="45"/>
      <c r="L609" s="45"/>
      <c r="M609" s="45"/>
      <c r="N609" s="45"/>
      <c r="O609" s="45"/>
      <c r="P609" s="45"/>
      <c r="Q609" s="45"/>
      <c r="R609" s="45"/>
      <c r="S609" s="45"/>
      <c r="T609" s="45"/>
      <c r="U609" s="45"/>
      <c r="V609" s="45"/>
      <c r="W609" s="45"/>
      <c r="X609" s="45"/>
      <c r="Y609" s="45"/>
      <c r="Z609" s="45"/>
    </row>
    <row r="610">
      <c r="A610" s="46">
        <v>609.0</v>
      </c>
      <c r="B610" s="47" t="str">
        <f>'Project Stocktaking Template'!B611</f>
        <v>MAINTAINACE OF BURA TOWNSHIP ACCESS ROAD</v>
      </c>
      <c r="C610" s="47" t="str">
        <f>'Project Stocktaking Template'!H611</f>
        <v>Fafi</v>
      </c>
      <c r="D610" s="47" t="str">
        <f>'Project Stocktaking Template'!I611</f>
        <v>Bura</v>
      </c>
      <c r="E610" s="48" t="str">
        <f>'Project Stocktaking Template'!O611</f>
        <v>1st aug 2024</v>
      </c>
      <c r="F610" s="48" t="str">
        <f>'Project Stocktaking Template'!P611</f>
        <v>30th june 2025</v>
      </c>
      <c r="G610" s="48" t="str">
        <f>'Project Stocktaking Template'!Q611</f>
        <v>30th june 2025</v>
      </c>
      <c r="H610" s="49">
        <f>'Project Stocktaking Template'!R611</f>
        <v>4583438</v>
      </c>
      <c r="I610" s="50" t="str">
        <f>'Project Stocktaking Template'!AD611</f>
        <v/>
      </c>
      <c r="J610" s="45"/>
      <c r="K610" s="45"/>
      <c r="L610" s="45"/>
      <c r="M610" s="45"/>
      <c r="N610" s="45"/>
      <c r="O610" s="45"/>
      <c r="P610" s="45"/>
      <c r="Q610" s="45"/>
      <c r="R610" s="45"/>
      <c r="S610" s="45"/>
      <c r="T610" s="45"/>
      <c r="U610" s="45"/>
      <c r="V610" s="45"/>
      <c r="W610" s="45"/>
      <c r="X610" s="45"/>
      <c r="Y610" s="45"/>
      <c r="Z610" s="45"/>
    </row>
    <row r="611">
      <c r="A611" s="51">
        <v>610.0</v>
      </c>
      <c r="B611" s="47" t="str">
        <f>'Project Stocktaking Template'!B612</f>
        <v>MAINTAINACE OF CEREAL ROAD BULLA IJARA</v>
      </c>
      <c r="C611" s="47" t="str">
        <f>'Project Stocktaking Template'!H612</f>
        <v>GarissaTownship</v>
      </c>
      <c r="D611" s="47" t="str">
        <f>'Project Stocktaking Template'!I612</f>
        <v>Waberi</v>
      </c>
      <c r="E611" s="48" t="str">
        <f>'Project Stocktaking Template'!O612</f>
        <v>1st aug 2024</v>
      </c>
      <c r="F611" s="48" t="str">
        <f>'Project Stocktaking Template'!P612</f>
        <v>30th june 2025</v>
      </c>
      <c r="G611" s="48" t="str">
        <f>'Project Stocktaking Template'!Q612</f>
        <v>30th june 2025</v>
      </c>
      <c r="H611" s="49">
        <f>'Project Stocktaking Template'!R612</f>
        <v>4647023</v>
      </c>
      <c r="I611" s="50" t="str">
        <f>'Project Stocktaking Template'!AD612</f>
        <v/>
      </c>
      <c r="J611" s="45"/>
      <c r="K611" s="45"/>
      <c r="L611" s="45"/>
      <c r="M611" s="45"/>
      <c r="N611" s="45"/>
      <c r="O611" s="45"/>
      <c r="P611" s="45"/>
      <c r="Q611" s="45"/>
      <c r="R611" s="45"/>
      <c r="S611" s="45"/>
      <c r="T611" s="45"/>
      <c r="U611" s="45"/>
      <c r="V611" s="45"/>
      <c r="W611" s="45"/>
      <c r="X611" s="45"/>
      <c r="Y611" s="45"/>
      <c r="Z611" s="45"/>
    </row>
    <row r="612">
      <c r="A612" s="46">
        <v>611.0</v>
      </c>
      <c r="B612" s="47" t="str">
        <f>'Project Stocktaking Template'!B613</f>
        <v>MAINTAINACE OF CHUMA MREFU DOBAL ROAD</v>
      </c>
      <c r="C612" s="47" t="str">
        <f>'Project Stocktaking Template'!H613</f>
        <v>GarissaTownship</v>
      </c>
      <c r="D612" s="47" t="str">
        <f>'Project Stocktaking Template'!I613</f>
        <v>Galbet</v>
      </c>
      <c r="E612" s="48" t="str">
        <f>'Project Stocktaking Template'!O613</f>
        <v>1st aug 2024</v>
      </c>
      <c r="F612" s="48" t="str">
        <f>'Project Stocktaking Template'!P613</f>
        <v>30th june 2025</v>
      </c>
      <c r="G612" s="48" t="str">
        <f>'Project Stocktaking Template'!Q613</f>
        <v>30th june 2025</v>
      </c>
      <c r="H612" s="49">
        <f>'Project Stocktaking Template'!R613</f>
        <v>4518200</v>
      </c>
      <c r="I612" s="50" t="str">
        <f>'Project Stocktaking Template'!AD613</f>
        <v/>
      </c>
      <c r="J612" s="45"/>
      <c r="K612" s="45"/>
      <c r="L612" s="45"/>
      <c r="M612" s="45"/>
      <c r="N612" s="45"/>
      <c r="O612" s="45"/>
      <c r="P612" s="45"/>
      <c r="Q612" s="45"/>
      <c r="R612" s="45"/>
      <c r="S612" s="45"/>
      <c r="T612" s="45"/>
      <c r="U612" s="45"/>
      <c r="V612" s="45"/>
      <c r="W612" s="45"/>
      <c r="X612" s="45"/>
      <c r="Y612" s="45"/>
      <c r="Z612" s="45"/>
    </row>
    <row r="613">
      <c r="A613" s="51">
        <v>612.0</v>
      </c>
      <c r="B613" s="47" t="str">
        <f>'Project Stocktaking Template'!B614</f>
        <v>MAINTAINACE OF ELAN ACCESS ROAD</v>
      </c>
      <c r="C613" s="47" t="str">
        <f>'Project Stocktaking Template'!H614</f>
        <v>Balambala</v>
      </c>
      <c r="D613" s="47" t="str">
        <f>'Project Stocktaking Template'!I614</f>
        <v/>
      </c>
      <c r="E613" s="48" t="str">
        <f>'Project Stocktaking Template'!O614</f>
        <v>1st aug 2024</v>
      </c>
      <c r="F613" s="48" t="str">
        <f>'Project Stocktaking Template'!P614</f>
        <v>30th june 2025</v>
      </c>
      <c r="G613" s="48" t="str">
        <f>'Project Stocktaking Template'!Q614</f>
        <v>30th june 2025</v>
      </c>
      <c r="H613" s="49">
        <f>'Project Stocktaking Template'!R614</f>
        <v>3264500</v>
      </c>
      <c r="I613" s="50" t="str">
        <f>'Project Stocktaking Template'!AD614</f>
        <v/>
      </c>
      <c r="J613" s="45"/>
      <c r="K613" s="45"/>
      <c r="L613" s="45"/>
      <c r="M613" s="45"/>
      <c r="N613" s="45"/>
      <c r="O613" s="45"/>
      <c r="P613" s="45"/>
      <c r="Q613" s="45"/>
      <c r="R613" s="45"/>
      <c r="S613" s="45"/>
      <c r="T613" s="45"/>
      <c r="U613" s="45"/>
      <c r="V613" s="45"/>
      <c r="W613" s="45"/>
      <c r="X613" s="45"/>
      <c r="Y613" s="45"/>
      <c r="Z613" s="45"/>
    </row>
    <row r="614">
      <c r="A614" s="46">
        <v>613.0</v>
      </c>
      <c r="B614" s="47" t="str">
        <f>'Project Stocktaking Template'!B615</f>
        <v>MAINTAINACE OF FARM ACCESS ROAS</v>
      </c>
      <c r="C614" s="47" t="str">
        <f>'Project Stocktaking Template'!H615</f>
        <v>GarissaTownship</v>
      </c>
      <c r="D614" s="47" t="str">
        <f>'Project Stocktaking Template'!I615</f>
        <v>Township</v>
      </c>
      <c r="E614" s="48" t="str">
        <f>'Project Stocktaking Template'!O615</f>
        <v>1st aug 2024</v>
      </c>
      <c r="F614" s="48" t="str">
        <f>'Project Stocktaking Template'!P615</f>
        <v>30th june 2025</v>
      </c>
      <c r="G614" s="48" t="str">
        <f>'Project Stocktaking Template'!Q615</f>
        <v>30th june 2025</v>
      </c>
      <c r="H614" s="49">
        <f>'Project Stocktaking Template'!R615</f>
        <v>400000</v>
      </c>
      <c r="I614" s="50" t="str">
        <f>'Project Stocktaking Template'!AD615</f>
        <v/>
      </c>
      <c r="J614" s="45"/>
      <c r="K614" s="45"/>
      <c r="L614" s="45"/>
      <c r="M614" s="45"/>
      <c r="N614" s="45"/>
      <c r="O614" s="45"/>
      <c r="P614" s="45"/>
      <c r="Q614" s="45"/>
      <c r="R614" s="45"/>
      <c r="S614" s="45"/>
      <c r="T614" s="45"/>
      <c r="U614" s="45"/>
      <c r="V614" s="45"/>
      <c r="W614" s="45"/>
      <c r="X614" s="45"/>
      <c r="Y614" s="45"/>
      <c r="Z614" s="45"/>
    </row>
    <row r="615">
      <c r="A615" s="51">
        <v>614.0</v>
      </c>
      <c r="B615" s="47" t="str">
        <f>'Project Stocktaking Template'!B616</f>
        <v>MAINTAINACE OF MUHUMAD ABDI ROAD</v>
      </c>
      <c r="C615" s="47" t="str">
        <f>'Project Stocktaking Template'!H616</f>
        <v>Balambala</v>
      </c>
      <c r="D615" s="47" t="str">
        <f>'Project Stocktaking Template'!I616</f>
        <v>Balambala</v>
      </c>
      <c r="E615" s="48" t="str">
        <f>'Project Stocktaking Template'!O616</f>
        <v>1st aug 2024</v>
      </c>
      <c r="F615" s="48" t="str">
        <f>'Project Stocktaking Template'!P616</f>
        <v>30th june 2025</v>
      </c>
      <c r="G615" s="48" t="str">
        <f>'Project Stocktaking Template'!Q616</f>
        <v>30th june 2025</v>
      </c>
      <c r="H615" s="49">
        <f>'Project Stocktaking Template'!R616</f>
        <v>3500000</v>
      </c>
      <c r="I615" s="50" t="str">
        <f>'Project Stocktaking Template'!AD616</f>
        <v/>
      </c>
      <c r="J615" s="45"/>
      <c r="K615" s="45"/>
      <c r="L615" s="45"/>
      <c r="M615" s="45"/>
      <c r="N615" s="45"/>
      <c r="O615" s="45"/>
      <c r="P615" s="45"/>
      <c r="Q615" s="45"/>
      <c r="R615" s="45"/>
      <c r="S615" s="45"/>
      <c r="T615" s="45"/>
      <c r="U615" s="45"/>
      <c r="V615" s="45"/>
      <c r="W615" s="45"/>
      <c r="X615" s="45"/>
      <c r="Y615" s="45"/>
      <c r="Z615" s="45"/>
    </row>
    <row r="616">
      <c r="A616" s="46">
        <v>615.0</v>
      </c>
      <c r="B616" s="47" t="str">
        <f t="shared" ref="B616:I616" si="1">#REF!</f>
        <v>#REF!</v>
      </c>
      <c r="C616" s="47" t="str">
        <f t="shared" si="1"/>
        <v>#REF!</v>
      </c>
      <c r="D616" s="47" t="str">
        <f t="shared" si="1"/>
        <v>#REF!</v>
      </c>
      <c r="E616" s="48" t="str">
        <f t="shared" si="1"/>
        <v>#REF!</v>
      </c>
      <c r="F616" s="48" t="str">
        <f t="shared" si="1"/>
        <v>#REF!</v>
      </c>
      <c r="G616" s="48" t="str">
        <f t="shared" si="1"/>
        <v>#REF!</v>
      </c>
      <c r="H616" s="49" t="str">
        <f t="shared" si="1"/>
        <v>#REF!</v>
      </c>
      <c r="I616" s="50" t="str">
        <f t="shared" si="1"/>
        <v>#REF!</v>
      </c>
      <c r="J616" s="45"/>
      <c r="K616" s="45"/>
      <c r="L616" s="45"/>
      <c r="M616" s="45"/>
      <c r="N616" s="45"/>
      <c r="O616" s="45"/>
      <c r="P616" s="45"/>
      <c r="Q616" s="45"/>
      <c r="R616" s="45"/>
      <c r="S616" s="45"/>
      <c r="T616" s="45"/>
      <c r="U616" s="45"/>
      <c r="V616" s="45"/>
      <c r="W616" s="45"/>
      <c r="X616" s="45"/>
      <c r="Y616" s="45"/>
      <c r="Z616" s="45"/>
    </row>
    <row r="617">
      <c r="A617" s="51">
        <v>616.0</v>
      </c>
      <c r="B617" s="47" t="str">
        <f>'Project Stocktaking Template'!B617</f>
        <v>MAINTAINANCE OF ACCESS ROAD</v>
      </c>
      <c r="C617" s="47" t="str">
        <f>'Project Stocktaking Template'!H617</f>
        <v>GarissaTownship</v>
      </c>
      <c r="D617" s="47" t="str">
        <f>'Project Stocktaking Template'!I617</f>
        <v>Township</v>
      </c>
      <c r="E617" s="48" t="str">
        <f>'Project Stocktaking Template'!O617</f>
        <v>1st aug 2024</v>
      </c>
      <c r="F617" s="48" t="str">
        <f>'Project Stocktaking Template'!P617</f>
        <v>30th june 2025</v>
      </c>
      <c r="G617" s="48" t="str">
        <f>'Project Stocktaking Template'!Q617</f>
        <v>30th june 2025</v>
      </c>
      <c r="H617" s="49">
        <f>'Project Stocktaking Template'!R617</f>
        <v>4561116</v>
      </c>
      <c r="I617" s="50" t="str">
        <f>'Project Stocktaking Template'!AD617</f>
        <v/>
      </c>
      <c r="J617" s="45"/>
      <c r="K617" s="45"/>
      <c r="L617" s="45"/>
      <c r="M617" s="45"/>
      <c r="N617" s="45"/>
      <c r="O617" s="45"/>
      <c r="P617" s="45"/>
      <c r="Q617" s="45"/>
      <c r="R617" s="45"/>
      <c r="S617" s="45"/>
      <c r="T617" s="45"/>
      <c r="U617" s="45"/>
      <c r="V617" s="45"/>
      <c r="W617" s="45"/>
      <c r="X617" s="45"/>
      <c r="Y617" s="45"/>
      <c r="Z617" s="45"/>
    </row>
    <row r="618">
      <c r="A618" s="46">
        <v>617.0</v>
      </c>
      <c r="B618" s="47" t="str">
        <f>'Project Stocktaking Template'!B618</f>
        <v>MAINTAINANCE OF BULA HODHAN</v>
      </c>
      <c r="C618" s="47" t="str">
        <f>'Project Stocktaking Template'!H618</f>
        <v>GarissaTownship</v>
      </c>
      <c r="D618" s="47" t="str">
        <f>'Project Stocktaking Template'!I618</f>
        <v>Township</v>
      </c>
      <c r="E618" s="48" t="str">
        <f>'Project Stocktaking Template'!O618</f>
        <v>1st aug 2024</v>
      </c>
      <c r="F618" s="48" t="str">
        <f>'Project Stocktaking Template'!P618</f>
        <v>30th june 2025</v>
      </c>
      <c r="G618" s="48" t="str">
        <f>'Project Stocktaking Template'!Q618</f>
        <v>30th june 2025</v>
      </c>
      <c r="H618" s="49">
        <f>'Project Stocktaking Template'!R618</f>
        <v>4095288</v>
      </c>
      <c r="I618" s="50" t="str">
        <f>'Project Stocktaking Template'!AD618</f>
        <v/>
      </c>
      <c r="J618" s="45"/>
      <c r="K618" s="45"/>
      <c r="L618" s="45"/>
      <c r="M618" s="45"/>
      <c r="N618" s="45"/>
      <c r="O618" s="45"/>
      <c r="P618" s="45"/>
      <c r="Q618" s="45"/>
      <c r="R618" s="45"/>
      <c r="S618" s="45"/>
      <c r="T618" s="45"/>
      <c r="U618" s="45"/>
      <c r="V618" s="45"/>
      <c r="W618" s="45"/>
      <c r="X618" s="45"/>
      <c r="Y618" s="45"/>
      <c r="Z618" s="45"/>
    </row>
    <row r="619">
      <c r="A619" s="51">
        <v>618.0</v>
      </c>
      <c r="B619" s="47" t="str">
        <f>'Project Stocktaking Template'!B619</f>
        <v>MAINTAINANCE OF BURA JUNCTION MANSABUBU</v>
      </c>
      <c r="C619" s="47" t="str">
        <f>'Project Stocktaking Template'!H619</f>
        <v>Fafi</v>
      </c>
      <c r="D619" s="47" t="str">
        <f>'Project Stocktaking Template'!I619</f>
        <v>Bura</v>
      </c>
      <c r="E619" s="48" t="str">
        <f>'Project Stocktaking Template'!O619</f>
        <v>1st aug 2024</v>
      </c>
      <c r="F619" s="48" t="str">
        <f>'Project Stocktaking Template'!P619</f>
        <v>30th june 2025</v>
      </c>
      <c r="G619" s="48" t="str">
        <f>'Project Stocktaking Template'!Q619</f>
        <v>30th june 2025</v>
      </c>
      <c r="H619" s="49">
        <f>'Project Stocktaking Template'!R619</f>
        <v>4154640</v>
      </c>
      <c r="I619" s="50" t="str">
        <f>'Project Stocktaking Template'!AD619</f>
        <v/>
      </c>
      <c r="J619" s="45"/>
      <c r="K619" s="45"/>
      <c r="L619" s="45"/>
      <c r="M619" s="45"/>
      <c r="N619" s="45"/>
      <c r="O619" s="45"/>
      <c r="P619" s="45"/>
      <c r="Q619" s="45"/>
      <c r="R619" s="45"/>
      <c r="S619" s="45"/>
      <c r="T619" s="45"/>
      <c r="U619" s="45"/>
      <c r="V619" s="45"/>
      <c r="W619" s="45"/>
      <c r="X619" s="45"/>
      <c r="Y619" s="45"/>
      <c r="Z619" s="45"/>
    </row>
    <row r="620">
      <c r="A620" s="46">
        <v>619.0</v>
      </c>
      <c r="B620" s="47" t="str">
        <f>'Project Stocktaking Template'!B620</f>
        <v>MAINTAINANCE OF DOBAL ALI HAYTAR ROAR</v>
      </c>
      <c r="C620" s="47" t="str">
        <f>'Project Stocktaking Template'!H620</f>
        <v>GarissaTownship</v>
      </c>
      <c r="D620" s="47" t="str">
        <f>'Project Stocktaking Template'!I620</f>
        <v>Township</v>
      </c>
      <c r="E620" s="48" t="str">
        <f>'Project Stocktaking Template'!O620</f>
        <v>1st aug 2024</v>
      </c>
      <c r="F620" s="48" t="str">
        <f>'Project Stocktaking Template'!P620</f>
        <v>30th june 2025</v>
      </c>
      <c r="G620" s="48" t="str">
        <f>'Project Stocktaking Template'!Q620</f>
        <v>30th june 2025</v>
      </c>
      <c r="H620" s="49">
        <f>'Project Stocktaking Template'!R620</f>
        <v>4696724</v>
      </c>
      <c r="I620" s="50" t="str">
        <f>'Project Stocktaking Template'!AD620</f>
        <v/>
      </c>
      <c r="J620" s="45"/>
      <c r="K620" s="45"/>
      <c r="L620" s="45"/>
      <c r="M620" s="45"/>
      <c r="N620" s="45"/>
      <c r="O620" s="45"/>
      <c r="P620" s="45"/>
      <c r="Q620" s="45"/>
      <c r="R620" s="45"/>
      <c r="S620" s="45"/>
      <c r="T620" s="45"/>
      <c r="U620" s="45"/>
      <c r="V620" s="45"/>
      <c r="W620" s="45"/>
      <c r="X620" s="45"/>
      <c r="Y620" s="45"/>
      <c r="Z620" s="45"/>
    </row>
    <row r="621">
      <c r="A621" s="51">
        <v>620.0</v>
      </c>
      <c r="B621" s="47" t="str">
        <f>'Project Stocktaking Template'!B621</f>
        <v>MAINTAINANCE OF FARM ACCESS ROAD</v>
      </c>
      <c r="C621" s="47" t="str">
        <f>'Project Stocktaking Template'!H621</f>
        <v>GarissaTownship</v>
      </c>
      <c r="D621" s="47" t="str">
        <f>'Project Stocktaking Template'!I621</f>
        <v>Township</v>
      </c>
      <c r="E621" s="48" t="str">
        <f>'Project Stocktaking Template'!O621</f>
        <v>1st aug 2024</v>
      </c>
      <c r="F621" s="48" t="str">
        <f>'Project Stocktaking Template'!P621</f>
        <v>30th june 2025</v>
      </c>
      <c r="G621" s="48" t="str">
        <f>'Project Stocktaking Template'!Q621</f>
        <v>30th june 2025</v>
      </c>
      <c r="H621" s="49">
        <f>'Project Stocktaking Template'!R621</f>
        <v>2045260</v>
      </c>
      <c r="I621" s="50" t="str">
        <f>'Project Stocktaking Template'!AD621</f>
        <v/>
      </c>
      <c r="J621" s="45"/>
      <c r="K621" s="45"/>
      <c r="L621" s="45"/>
      <c r="M621" s="45"/>
      <c r="N621" s="45"/>
      <c r="O621" s="45"/>
      <c r="P621" s="45"/>
      <c r="Q621" s="45"/>
      <c r="R621" s="45"/>
      <c r="S621" s="45"/>
      <c r="T621" s="45"/>
      <c r="U621" s="45"/>
      <c r="V621" s="45"/>
      <c r="W621" s="45"/>
      <c r="X621" s="45"/>
      <c r="Y621" s="45"/>
      <c r="Z621" s="45"/>
    </row>
    <row r="622">
      <c r="A622" s="46">
        <v>621.0</v>
      </c>
      <c r="B622" s="47" t="str">
        <f>'Project Stocktaking Template'!B622</f>
        <v>MAINTAINANCE OF FARM ACCESS ROAD</v>
      </c>
      <c r="C622" s="47" t="str">
        <f>'Project Stocktaking Template'!H622</f>
        <v>GarissaTownship</v>
      </c>
      <c r="D622" s="47" t="str">
        <f>'Project Stocktaking Template'!I622</f>
        <v>Township</v>
      </c>
      <c r="E622" s="48" t="str">
        <f>'Project Stocktaking Template'!O622</f>
        <v>1st aug 2024</v>
      </c>
      <c r="F622" s="48" t="str">
        <f>'Project Stocktaking Template'!P622</f>
        <v>30th june 2025</v>
      </c>
      <c r="G622" s="48" t="str">
        <f>'Project Stocktaking Template'!Q622</f>
        <v>30th june 2025</v>
      </c>
      <c r="H622" s="49">
        <f>'Project Stocktaking Template'!R622</f>
        <v>450000</v>
      </c>
      <c r="I622" s="50" t="str">
        <f>'Project Stocktaking Template'!AD622</f>
        <v/>
      </c>
      <c r="J622" s="45"/>
      <c r="K622" s="45"/>
      <c r="L622" s="45"/>
      <c r="M622" s="45"/>
      <c r="N622" s="45"/>
      <c r="O622" s="45"/>
      <c r="P622" s="45"/>
      <c r="Q622" s="45"/>
      <c r="R622" s="45"/>
      <c r="S622" s="45"/>
      <c r="T622" s="45"/>
      <c r="U622" s="45"/>
      <c r="V622" s="45"/>
      <c r="W622" s="45"/>
      <c r="X622" s="45"/>
      <c r="Y622" s="45"/>
      <c r="Z622" s="45"/>
    </row>
    <row r="623">
      <c r="A623" s="51">
        <v>622.0</v>
      </c>
      <c r="B623" s="47" t="str">
        <f>'Project Stocktaking Template'!B623</f>
        <v>MAINTAINANCE OF JUNCTION POINT BURBURIS ROAD</v>
      </c>
      <c r="C623" s="47" t="str">
        <f>'Project Stocktaking Template'!H623</f>
        <v>GarissaTownship</v>
      </c>
      <c r="D623" s="47" t="str">
        <f>'Project Stocktaking Template'!I623</f>
        <v>Galbet</v>
      </c>
      <c r="E623" s="48" t="str">
        <f>'Project Stocktaking Template'!O623</f>
        <v>1st aug 2024</v>
      </c>
      <c r="F623" s="48" t="str">
        <f>'Project Stocktaking Template'!P623</f>
        <v>30th june 2025</v>
      </c>
      <c r="G623" s="48" t="str">
        <f>'Project Stocktaking Template'!Q623</f>
        <v>30th june 2025</v>
      </c>
      <c r="H623" s="49">
        <f>'Project Stocktaking Template'!R623</f>
        <v>4568916</v>
      </c>
      <c r="I623" s="50" t="str">
        <f>'Project Stocktaking Template'!AD623</f>
        <v/>
      </c>
      <c r="J623" s="45"/>
      <c r="K623" s="45"/>
      <c r="L623" s="45"/>
      <c r="M623" s="45"/>
      <c r="N623" s="45"/>
      <c r="O623" s="45"/>
      <c r="P623" s="45"/>
      <c r="Q623" s="45"/>
      <c r="R623" s="45"/>
      <c r="S623" s="45"/>
      <c r="T623" s="45"/>
      <c r="U623" s="45"/>
      <c r="V623" s="45"/>
      <c r="W623" s="45"/>
      <c r="X623" s="45"/>
      <c r="Y623" s="45"/>
      <c r="Z623" s="45"/>
    </row>
    <row r="624">
      <c r="A624" s="46">
        <v>623.0</v>
      </c>
      <c r="B624" s="47" t="str">
        <f>'Project Stocktaking Template'!B624</f>
        <v>MAINTAINANCE OF LABASIGALE -WELHAR ROAD</v>
      </c>
      <c r="C624" s="47" t="str">
        <f>'Project Stocktaking Template'!H624</f>
        <v>GarissaTownship</v>
      </c>
      <c r="D624" s="47" t="str">
        <f>'Project Stocktaking Template'!I624</f>
        <v>Township</v>
      </c>
      <c r="E624" s="48" t="str">
        <f>'Project Stocktaking Template'!O624</f>
        <v>1st aug 2024</v>
      </c>
      <c r="F624" s="48" t="str">
        <f>'Project Stocktaking Template'!P624</f>
        <v>30th june 2025</v>
      </c>
      <c r="G624" s="48" t="str">
        <f>'Project Stocktaking Template'!Q624</f>
        <v>30th june 2025</v>
      </c>
      <c r="H624" s="49">
        <f>'Project Stocktaking Template'!R624</f>
        <v>3758960</v>
      </c>
      <c r="I624" s="50" t="str">
        <f>'Project Stocktaking Template'!AD624</f>
        <v/>
      </c>
      <c r="J624" s="45"/>
      <c r="K624" s="45"/>
      <c r="L624" s="45"/>
      <c r="M624" s="45"/>
      <c r="N624" s="45"/>
      <c r="O624" s="45"/>
      <c r="P624" s="45"/>
      <c r="Q624" s="45"/>
      <c r="R624" s="45"/>
      <c r="S624" s="45"/>
      <c r="T624" s="45"/>
      <c r="U624" s="45"/>
      <c r="V624" s="45"/>
      <c r="W624" s="45"/>
      <c r="X624" s="45"/>
      <c r="Y624" s="45"/>
      <c r="Z624" s="45"/>
    </row>
    <row r="625">
      <c r="A625" s="51">
        <v>624.0</v>
      </c>
      <c r="B625" s="47" t="str">
        <f>'Project Stocktaking Template'!B625</f>
        <v>MAINTAINANCE OF NULA NASIB ACCESS ROAD</v>
      </c>
      <c r="C625" s="47" t="str">
        <f>'Project Stocktaking Template'!H625</f>
        <v>GarissaTownship</v>
      </c>
      <c r="D625" s="47" t="str">
        <f>'Project Stocktaking Template'!I625</f>
        <v>Township</v>
      </c>
      <c r="E625" s="48" t="str">
        <f>'Project Stocktaking Template'!O625</f>
        <v>1st aug 2024</v>
      </c>
      <c r="F625" s="48" t="str">
        <f>'Project Stocktaking Template'!P625</f>
        <v>30th june 2025</v>
      </c>
      <c r="G625" s="48" t="str">
        <f>'Project Stocktaking Template'!Q625</f>
        <v>30th june 2025</v>
      </c>
      <c r="H625" s="49">
        <f>'Project Stocktaking Template'!R625</f>
        <v>3765940</v>
      </c>
      <c r="I625" s="50" t="str">
        <f>'Project Stocktaking Template'!AD625</f>
        <v/>
      </c>
      <c r="J625" s="45"/>
      <c r="K625" s="45"/>
      <c r="L625" s="45"/>
      <c r="M625" s="45"/>
      <c r="N625" s="45"/>
      <c r="O625" s="45"/>
      <c r="P625" s="45"/>
      <c r="Q625" s="45"/>
      <c r="R625" s="45"/>
      <c r="S625" s="45"/>
      <c r="T625" s="45"/>
      <c r="U625" s="45"/>
      <c r="V625" s="45"/>
      <c r="W625" s="45"/>
      <c r="X625" s="45"/>
      <c r="Y625" s="45"/>
      <c r="Z625" s="45"/>
    </row>
    <row r="626">
      <c r="A626" s="46">
        <v>625.0</v>
      </c>
      <c r="B626" s="47" t="str">
        <f>'Project Stocktaking Template'!B626</f>
        <v>MAINTAINANCE OF QABOBEY FARM ACCESS ROAD</v>
      </c>
      <c r="C626" s="47" t="str">
        <f>'Project Stocktaking Template'!H626</f>
        <v>GarissaTownship</v>
      </c>
      <c r="D626" s="47" t="str">
        <f>'Project Stocktaking Template'!I626</f>
        <v>Township</v>
      </c>
      <c r="E626" s="48" t="str">
        <f>'Project Stocktaking Template'!O626</f>
        <v>1st aug 2024</v>
      </c>
      <c r="F626" s="48" t="str">
        <f>'Project Stocktaking Template'!P626</f>
        <v>30th june 2025</v>
      </c>
      <c r="G626" s="48" t="str">
        <f>'Project Stocktaking Template'!Q626</f>
        <v>30th june 2025</v>
      </c>
      <c r="H626" s="49">
        <f>'Project Stocktaking Template'!R626</f>
        <v>3718027.6</v>
      </c>
      <c r="I626" s="50" t="str">
        <f>'Project Stocktaking Template'!AD626</f>
        <v/>
      </c>
      <c r="J626" s="45"/>
      <c r="K626" s="45"/>
      <c r="L626" s="45"/>
      <c r="M626" s="45"/>
      <c r="N626" s="45"/>
      <c r="O626" s="45"/>
      <c r="P626" s="45"/>
      <c r="Q626" s="45"/>
      <c r="R626" s="45"/>
      <c r="S626" s="45"/>
      <c r="T626" s="45"/>
      <c r="U626" s="45"/>
      <c r="V626" s="45"/>
      <c r="W626" s="45"/>
      <c r="X626" s="45"/>
      <c r="Y626" s="45"/>
      <c r="Z626" s="45"/>
    </row>
    <row r="627">
      <c r="A627" s="51">
        <v>626.0</v>
      </c>
      <c r="B627" s="47" t="str">
        <f>'Project Stocktaking Template'!B627</f>
        <v>MAINTAINANCE OF WABERI ACCESS ROAD</v>
      </c>
      <c r="C627" s="47" t="str">
        <f>'Project Stocktaking Template'!H627</f>
        <v>GarissaTownship</v>
      </c>
      <c r="D627" s="47" t="str">
        <f>'Project Stocktaking Template'!I627</f>
        <v>Waberi</v>
      </c>
      <c r="E627" s="48" t="str">
        <f>'Project Stocktaking Template'!O627</f>
        <v>1st aug 2024</v>
      </c>
      <c r="F627" s="48" t="str">
        <f>'Project Stocktaking Template'!P627</f>
        <v>30th june 2025</v>
      </c>
      <c r="G627" s="48" t="str">
        <f>'Project Stocktaking Template'!Q627</f>
        <v>30th june 2025</v>
      </c>
      <c r="H627" s="49">
        <f>'Project Stocktaking Template'!R627</f>
        <v>4100234</v>
      </c>
      <c r="I627" s="50" t="str">
        <f>'Project Stocktaking Template'!AD627</f>
        <v/>
      </c>
      <c r="J627" s="45"/>
      <c r="K627" s="45"/>
      <c r="L627" s="45"/>
      <c r="M627" s="45"/>
      <c r="N627" s="45"/>
      <c r="O627" s="45"/>
      <c r="P627" s="45"/>
      <c r="Q627" s="45"/>
      <c r="R627" s="45"/>
      <c r="S627" s="45"/>
      <c r="T627" s="45"/>
      <c r="U627" s="45"/>
      <c r="V627" s="45"/>
      <c r="W627" s="45"/>
      <c r="X627" s="45"/>
      <c r="Y627" s="45"/>
      <c r="Z627" s="45"/>
    </row>
    <row r="628">
      <c r="A628" s="46">
        <v>627.0</v>
      </c>
      <c r="B628" s="47" t="str">
        <f>'Project Stocktaking Template'!B628</f>
        <v>MAINTAINCE OF BULA GAME ACCESS ROAD</v>
      </c>
      <c r="C628" s="47" t="str">
        <f>'Project Stocktaking Template'!H628</f>
        <v>GarissaTownship</v>
      </c>
      <c r="D628" s="47" t="str">
        <f>'Project Stocktaking Template'!I628</f>
        <v>Iftin</v>
      </c>
      <c r="E628" s="48" t="str">
        <f>'Project Stocktaking Template'!O628</f>
        <v>1st aug 2024</v>
      </c>
      <c r="F628" s="48" t="str">
        <f>'Project Stocktaking Template'!P628</f>
        <v>30th june 2025</v>
      </c>
      <c r="G628" s="48" t="str">
        <f>'Project Stocktaking Template'!Q628</f>
        <v>30th june 2025</v>
      </c>
      <c r="H628" s="49">
        <f>'Project Stocktaking Template'!R628</f>
        <v>4465116</v>
      </c>
      <c r="I628" s="50" t="str">
        <f>'Project Stocktaking Template'!AD628</f>
        <v/>
      </c>
      <c r="J628" s="45"/>
      <c r="K628" s="45"/>
      <c r="L628" s="45"/>
      <c r="M628" s="45"/>
      <c r="N628" s="45"/>
      <c r="O628" s="45"/>
      <c r="P628" s="45"/>
      <c r="Q628" s="45"/>
      <c r="R628" s="45"/>
      <c r="S628" s="45"/>
      <c r="T628" s="45"/>
      <c r="U628" s="45"/>
      <c r="V628" s="45"/>
      <c r="W628" s="45"/>
      <c r="X628" s="45"/>
      <c r="Y628" s="45"/>
      <c r="Z628" s="45"/>
    </row>
    <row r="629">
      <c r="A629" s="51">
        <v>628.0</v>
      </c>
      <c r="B629" s="47" t="str">
        <f>'Project Stocktaking Template'!B629</f>
        <v>MAINTANANCE OF ALRAHMA ORPHANAGE ROAD</v>
      </c>
      <c r="C629" s="47" t="str">
        <f>'Project Stocktaking Template'!H629</f>
        <v>GarissaTownship</v>
      </c>
      <c r="D629" s="47" t="str">
        <f>'Project Stocktaking Template'!I629</f>
        <v>Township</v>
      </c>
      <c r="E629" s="48" t="str">
        <f>'Project Stocktaking Template'!O629</f>
        <v>1st aug 2024</v>
      </c>
      <c r="F629" s="48" t="str">
        <f>'Project Stocktaking Template'!P629</f>
        <v>30th june 2025</v>
      </c>
      <c r="G629" s="48" t="str">
        <f>'Project Stocktaking Template'!Q629</f>
        <v>30th june 2025</v>
      </c>
      <c r="H629" s="49">
        <f>'Project Stocktaking Template'!R629</f>
        <v>4606360</v>
      </c>
      <c r="I629" s="50" t="str">
        <f>'Project Stocktaking Template'!AD629</f>
        <v/>
      </c>
      <c r="J629" s="45"/>
      <c r="K629" s="45"/>
      <c r="L629" s="45"/>
      <c r="M629" s="45"/>
      <c r="N629" s="45"/>
      <c r="O629" s="45"/>
      <c r="P629" s="45"/>
      <c r="Q629" s="45"/>
      <c r="R629" s="45"/>
      <c r="S629" s="45"/>
      <c r="T629" s="45"/>
      <c r="U629" s="45"/>
      <c r="V629" s="45"/>
      <c r="W629" s="45"/>
      <c r="X629" s="45"/>
      <c r="Y629" s="45"/>
      <c r="Z629" s="45"/>
    </row>
    <row r="630">
      <c r="A630" s="46">
        <v>629.0</v>
      </c>
      <c r="B630" s="47" t="str">
        <f>'Project Stocktaking Template'!B630</f>
        <v>MAINTANCE OF BALAMABALA ACCESS ROAD</v>
      </c>
      <c r="C630" s="47" t="str">
        <f>'Project Stocktaking Template'!H630</f>
        <v>Balambala</v>
      </c>
      <c r="D630" s="47" t="str">
        <f>'Project Stocktaking Template'!I630</f>
        <v>Balambala</v>
      </c>
      <c r="E630" s="48" t="str">
        <f>'Project Stocktaking Template'!O630</f>
        <v>1st aug 2024</v>
      </c>
      <c r="F630" s="48" t="str">
        <f>'Project Stocktaking Template'!P630</f>
        <v>30th june 2025</v>
      </c>
      <c r="G630" s="48" t="str">
        <f>'Project Stocktaking Template'!Q630</f>
        <v>30th june 2025</v>
      </c>
      <c r="H630" s="49">
        <f>'Project Stocktaking Template'!R630</f>
        <v>4976400</v>
      </c>
      <c r="I630" s="50" t="str">
        <f>'Project Stocktaking Template'!AD630</f>
        <v/>
      </c>
      <c r="J630" s="45"/>
      <c r="K630" s="45"/>
      <c r="L630" s="45"/>
      <c r="M630" s="45"/>
      <c r="N630" s="45"/>
      <c r="O630" s="45"/>
      <c r="P630" s="45"/>
      <c r="Q630" s="45"/>
      <c r="R630" s="45"/>
      <c r="S630" s="45"/>
      <c r="T630" s="45"/>
      <c r="U630" s="45"/>
      <c r="V630" s="45"/>
      <c r="W630" s="45"/>
      <c r="X630" s="45"/>
      <c r="Y630" s="45"/>
      <c r="Z630" s="45"/>
    </row>
    <row r="631">
      <c r="A631" s="51">
        <v>630.0</v>
      </c>
      <c r="B631" s="47" t="str">
        <f>'Project Stocktaking Template'!B631</f>
        <v>MAINTANCE OF UNIVERISTY ROAD JUNCTION</v>
      </c>
      <c r="C631" s="47" t="str">
        <f>'Project Stocktaking Template'!H631</f>
        <v>GarissaTownship</v>
      </c>
      <c r="D631" s="47" t="str">
        <f>'Project Stocktaking Template'!I631</f>
        <v>Township</v>
      </c>
      <c r="E631" s="48" t="str">
        <f>'Project Stocktaking Template'!O631</f>
        <v>1st aug 2024</v>
      </c>
      <c r="F631" s="48" t="str">
        <f>'Project Stocktaking Template'!P631</f>
        <v>30th june 2025</v>
      </c>
      <c r="G631" s="48" t="str">
        <f>'Project Stocktaking Template'!Q631</f>
        <v>30th june 2025</v>
      </c>
      <c r="H631" s="49">
        <f>'Project Stocktaking Template'!R631</f>
        <v>4658705</v>
      </c>
      <c r="I631" s="50" t="str">
        <f>'Project Stocktaking Template'!AD631</f>
        <v/>
      </c>
      <c r="J631" s="45"/>
      <c r="K631" s="45"/>
      <c r="L631" s="45"/>
      <c r="M631" s="45"/>
      <c r="N631" s="45"/>
      <c r="O631" s="45"/>
      <c r="P631" s="45"/>
      <c r="Q631" s="45"/>
      <c r="R631" s="45"/>
      <c r="S631" s="45"/>
      <c r="T631" s="45"/>
      <c r="U631" s="45"/>
      <c r="V631" s="45"/>
      <c r="W631" s="45"/>
      <c r="X631" s="45"/>
      <c r="Y631" s="45"/>
      <c r="Z631" s="45"/>
    </row>
    <row r="632">
      <c r="A632" s="46">
        <v>631.0</v>
      </c>
      <c r="B632" s="47" t="str">
        <f>'Project Stocktaking Template'!B632</f>
        <v>UPGRADING TO BITUMEN BULA MADINA ROAD</v>
      </c>
      <c r="C632" s="47" t="str">
        <f>'Project Stocktaking Template'!H632</f>
        <v>GarissaTownship</v>
      </c>
      <c r="D632" s="47" t="str">
        <f>'Project Stocktaking Template'!I632</f>
        <v>Galbet</v>
      </c>
      <c r="E632" s="48" t="str">
        <f>'Project Stocktaking Template'!O632</f>
        <v>1st aug 2024</v>
      </c>
      <c r="F632" s="48" t="str">
        <f>'Project Stocktaking Template'!P632</f>
        <v>30th june 2025</v>
      </c>
      <c r="G632" s="48" t="str">
        <f>'Project Stocktaking Template'!Q632</f>
        <v>30th june 2025</v>
      </c>
      <c r="H632" s="49">
        <f>'Project Stocktaking Template'!R632</f>
        <v>6650000</v>
      </c>
      <c r="I632" s="50" t="str">
        <f>'Project Stocktaking Template'!AD632</f>
        <v/>
      </c>
      <c r="J632" s="45"/>
      <c r="K632" s="45"/>
      <c r="L632" s="45"/>
      <c r="M632" s="45"/>
      <c r="N632" s="45"/>
      <c r="O632" s="45"/>
      <c r="P632" s="45"/>
      <c r="Q632" s="45"/>
      <c r="R632" s="45"/>
      <c r="S632" s="45"/>
      <c r="T632" s="45"/>
      <c r="U632" s="45"/>
      <c r="V632" s="45"/>
      <c r="W632" s="45"/>
      <c r="X632" s="45"/>
      <c r="Y632" s="45"/>
      <c r="Z632" s="45"/>
    </row>
    <row r="633">
      <c r="A633" s="51">
        <v>632.0</v>
      </c>
      <c r="B633" s="47" t="str">
        <f>'Project Stocktaking Template'!B633</f>
        <v>UPGRADING TO BITUMEN BULA MADINA ROAD</v>
      </c>
      <c r="C633" s="47" t="str">
        <f>'Project Stocktaking Template'!H633</f>
        <v>GarissaTownship</v>
      </c>
      <c r="D633" s="47" t="str">
        <f>'Project Stocktaking Template'!I633</f>
        <v>Galbet</v>
      </c>
      <c r="E633" s="48" t="str">
        <f>'Project Stocktaking Template'!O633</f>
        <v>1st aug 2024</v>
      </c>
      <c r="F633" s="48" t="str">
        <f>'Project Stocktaking Template'!P633</f>
        <v>30th june 2025</v>
      </c>
      <c r="G633" s="48" t="str">
        <f>'Project Stocktaking Template'!Q633</f>
        <v>30th june 2025</v>
      </c>
      <c r="H633" s="49">
        <f>'Project Stocktaking Template'!R633</f>
        <v>5500000</v>
      </c>
      <c r="I633" s="50" t="str">
        <f>'Project Stocktaking Template'!AD633</f>
        <v/>
      </c>
      <c r="J633" s="45"/>
      <c r="K633" s="45"/>
      <c r="L633" s="45"/>
      <c r="M633" s="45"/>
      <c r="N633" s="45"/>
      <c r="O633" s="45"/>
      <c r="P633" s="45"/>
      <c r="Q633" s="45"/>
      <c r="R633" s="45"/>
      <c r="S633" s="45"/>
      <c r="T633" s="45"/>
      <c r="U633" s="45"/>
      <c r="V633" s="45"/>
      <c r="W633" s="45"/>
      <c r="X633" s="45"/>
      <c r="Y633" s="45"/>
      <c r="Z633" s="45"/>
    </row>
    <row r="634">
      <c r="A634" s="46">
        <v>633.0</v>
      </c>
      <c r="B634" s="47" t="str">
        <f>'Project Stocktaking Template'!B634</f>
        <v>CONSTRUCTION OF CULVERT </v>
      </c>
      <c r="C634" s="47" t="str">
        <f>'Project Stocktaking Template'!H634</f>
        <v>GarissaTownship</v>
      </c>
      <c r="D634" s="47" t="str">
        <f>'Project Stocktaking Template'!I634</f>
        <v>Township</v>
      </c>
      <c r="E634" s="48" t="str">
        <f>'Project Stocktaking Template'!O634</f>
        <v>1st aug 2024</v>
      </c>
      <c r="F634" s="48" t="str">
        <f>'Project Stocktaking Template'!P634</f>
        <v>30th june 2025</v>
      </c>
      <c r="G634" s="48" t="str">
        <f>'Project Stocktaking Template'!Q634</f>
        <v>30th june 2025</v>
      </c>
      <c r="H634" s="49">
        <f>'Project Stocktaking Template'!R634</f>
        <v>16879159.6</v>
      </c>
      <c r="I634" s="50" t="str">
        <f>'Project Stocktaking Template'!AD634</f>
        <v/>
      </c>
      <c r="J634" s="45"/>
      <c r="K634" s="45"/>
      <c r="L634" s="45"/>
      <c r="M634" s="45"/>
      <c r="N634" s="45"/>
      <c r="O634" s="45"/>
      <c r="P634" s="45"/>
      <c r="Q634" s="45"/>
      <c r="R634" s="45"/>
      <c r="S634" s="45"/>
      <c r="T634" s="45"/>
      <c r="U634" s="45"/>
      <c r="V634" s="45"/>
      <c r="W634" s="45"/>
      <c r="X634" s="45"/>
      <c r="Y634" s="45"/>
      <c r="Z634" s="45"/>
    </row>
    <row r="635">
      <c r="A635" s="51">
        <v>634.0</v>
      </c>
      <c r="B635" s="47" t="str">
        <f>'Project Stocktaking Template'!B635</f>
        <v>MAINTAINANCE OF ROADS</v>
      </c>
      <c r="C635" s="47" t="str">
        <f>'Project Stocktaking Template'!H635</f>
        <v>GarissaTownship</v>
      </c>
      <c r="D635" s="47" t="str">
        <f>'Project Stocktaking Template'!I635</f>
        <v>Township</v>
      </c>
      <c r="E635" s="48" t="str">
        <f>'Project Stocktaking Template'!O635</f>
        <v>1st aug 2024</v>
      </c>
      <c r="F635" s="48" t="str">
        <f>'Project Stocktaking Template'!P635</f>
        <v>30th june 2025</v>
      </c>
      <c r="G635" s="48" t="str">
        <f>'Project Stocktaking Template'!Q635</f>
        <v>30th june 2025</v>
      </c>
      <c r="H635" s="49">
        <f>'Project Stocktaking Template'!R635</f>
        <v>4677554</v>
      </c>
      <c r="I635" s="50" t="str">
        <f>'Project Stocktaking Template'!AD635</f>
        <v/>
      </c>
      <c r="J635" s="45"/>
      <c r="K635" s="45"/>
      <c r="L635" s="45"/>
      <c r="M635" s="45"/>
      <c r="N635" s="45"/>
      <c r="O635" s="45"/>
      <c r="P635" s="45"/>
      <c r="Q635" s="45"/>
      <c r="R635" s="45"/>
      <c r="S635" s="45"/>
      <c r="T635" s="45"/>
      <c r="U635" s="45"/>
      <c r="V635" s="45"/>
      <c r="W635" s="45"/>
      <c r="X635" s="45"/>
      <c r="Y635" s="45"/>
      <c r="Z635" s="45"/>
    </row>
    <row r="636">
      <c r="A636" s="46">
        <v>635.0</v>
      </c>
      <c r="B636" s="47" t="str">
        <f>'Project Stocktaking Template'!B636</f>
        <v>CONSTRUCTION NEW ACCESS ROAD AT SUG MUGDI MARKET CENTRE</v>
      </c>
      <c r="C636" s="47" t="str">
        <f>'Project Stocktaking Template'!H636</f>
        <v>GarissaTownship</v>
      </c>
      <c r="D636" s="47" t="str">
        <f>'Project Stocktaking Template'!I636</f>
        <v>Township</v>
      </c>
      <c r="E636" s="48" t="str">
        <f>'Project Stocktaking Template'!O636</f>
        <v>1st aug 2024</v>
      </c>
      <c r="F636" s="48" t="str">
        <f>'Project Stocktaking Template'!P636</f>
        <v>30th june 2025</v>
      </c>
      <c r="G636" s="48" t="str">
        <f>'Project Stocktaking Template'!Q636</f>
        <v>30th june 2025</v>
      </c>
      <c r="H636" s="49">
        <f>'Project Stocktaking Template'!R636</f>
        <v>9793917.5</v>
      </c>
      <c r="I636" s="50" t="str">
        <f>'Project Stocktaking Template'!AD636</f>
        <v/>
      </c>
      <c r="J636" s="45"/>
      <c r="K636" s="45"/>
      <c r="L636" s="45"/>
      <c r="M636" s="45"/>
      <c r="N636" s="45"/>
      <c r="O636" s="45"/>
      <c r="P636" s="45"/>
      <c r="Q636" s="45"/>
      <c r="R636" s="45"/>
      <c r="S636" s="45"/>
      <c r="T636" s="45"/>
      <c r="U636" s="45"/>
      <c r="V636" s="45"/>
      <c r="W636" s="45"/>
      <c r="X636" s="45"/>
      <c r="Y636" s="45"/>
      <c r="Z636" s="45"/>
    </row>
    <row r="637">
      <c r="A637" s="51">
        <v>636.0</v>
      </c>
      <c r="B637" s="47" t="str">
        <f>'Project Stocktaking Template'!B637</f>
        <v>CONSTRUCTION AND UPGRADING TO BITUME STANDARD OF BULLA MADINA ROAD</v>
      </c>
      <c r="C637" s="47" t="str">
        <f>'Project Stocktaking Template'!H637</f>
        <v>GarissaTownship</v>
      </c>
      <c r="D637" s="47" t="str">
        <f>'Project Stocktaking Template'!I637</f>
        <v>Township</v>
      </c>
      <c r="E637" s="48" t="str">
        <f>'Project Stocktaking Template'!O637</f>
        <v>1st aug 2024</v>
      </c>
      <c r="F637" s="48" t="str">
        <f>'Project Stocktaking Template'!P637</f>
        <v>30th june 2025</v>
      </c>
      <c r="G637" s="48" t="str">
        <f>'Project Stocktaking Template'!Q637</f>
        <v>30th june 2025</v>
      </c>
      <c r="H637" s="49">
        <f>'Project Stocktaking Template'!R637</f>
        <v>6000000</v>
      </c>
      <c r="I637" s="50" t="str">
        <f>'Project Stocktaking Template'!AD637</f>
        <v/>
      </c>
      <c r="J637" s="45"/>
      <c r="K637" s="45"/>
      <c r="L637" s="45"/>
      <c r="M637" s="45"/>
      <c r="N637" s="45"/>
      <c r="O637" s="45"/>
      <c r="P637" s="45"/>
      <c r="Q637" s="45"/>
      <c r="R637" s="45"/>
      <c r="S637" s="45"/>
      <c r="T637" s="45"/>
      <c r="U637" s="45"/>
      <c r="V637" s="45"/>
      <c r="W637" s="45"/>
      <c r="X637" s="45"/>
      <c r="Y637" s="45"/>
      <c r="Z637" s="45"/>
    </row>
    <row r="638">
      <c r="A638" s="46">
        <v>637.0</v>
      </c>
      <c r="B638" s="47" t="str">
        <f>'Project Stocktaking Template'!B638</f>
        <v>INSTALLATION OF MASS FLOOTLIGHT</v>
      </c>
      <c r="C638" s="47" t="str">
        <f>'Project Stocktaking Template'!H638</f>
        <v>GarissaTownship</v>
      </c>
      <c r="D638" s="47" t="str">
        <f>'Project Stocktaking Template'!I638</f>
        <v>Township</v>
      </c>
      <c r="E638" s="48" t="str">
        <f>'Project Stocktaking Template'!O638</f>
        <v>1st aug 2024</v>
      </c>
      <c r="F638" s="48" t="str">
        <f>'Project Stocktaking Template'!P638</f>
        <v>30th june 2025</v>
      </c>
      <c r="G638" s="48" t="str">
        <f>'Project Stocktaking Template'!Q638</f>
        <v>30th june 2025</v>
      </c>
      <c r="H638" s="49">
        <f>'Project Stocktaking Template'!R638</f>
        <v>4000000</v>
      </c>
      <c r="I638" s="50" t="str">
        <f>'Project Stocktaking Template'!AD638</f>
        <v/>
      </c>
      <c r="J638" s="45"/>
      <c r="K638" s="45"/>
      <c r="L638" s="45"/>
      <c r="M638" s="45"/>
      <c r="N638" s="45"/>
      <c r="O638" s="45"/>
      <c r="P638" s="45"/>
      <c r="Q638" s="45"/>
      <c r="R638" s="45"/>
      <c r="S638" s="45"/>
      <c r="T638" s="45"/>
      <c r="U638" s="45"/>
      <c r="V638" s="45"/>
      <c r="W638" s="45"/>
      <c r="X638" s="45"/>
      <c r="Y638" s="45"/>
      <c r="Z638" s="45"/>
    </row>
    <row r="639">
      <c r="A639" s="51">
        <v>638.0</v>
      </c>
      <c r="B639" s="47" t="str">
        <f>'Project Stocktaking Template'!B639</f>
        <v>SUPPLY AND DELIVERY OF VETERNANRY DRUGS</v>
      </c>
      <c r="C639" s="47" t="str">
        <f>'Project Stocktaking Template'!H639</f>
        <v>GarissaTownship</v>
      </c>
      <c r="D639" s="47" t="str">
        <f>'Project Stocktaking Template'!I639</f>
        <v>Township</v>
      </c>
      <c r="E639" s="48" t="str">
        <f>'Project Stocktaking Template'!O639</f>
        <v>1st aug 2024</v>
      </c>
      <c r="F639" s="48" t="str">
        <f>'Project Stocktaking Template'!P639</f>
        <v>30th june 2025</v>
      </c>
      <c r="G639" s="48" t="str">
        <f>'Project Stocktaking Template'!Q639</f>
        <v>30th june 2025</v>
      </c>
      <c r="H639" s="49">
        <f>'Project Stocktaking Template'!R639</f>
        <v>4500000</v>
      </c>
      <c r="I639" s="50" t="str">
        <f>'Project Stocktaking Template'!AD639</f>
        <v/>
      </c>
      <c r="J639" s="45"/>
      <c r="K639" s="45"/>
      <c r="L639" s="45"/>
      <c r="M639" s="45"/>
      <c r="N639" s="45"/>
      <c r="O639" s="45"/>
      <c r="P639" s="45"/>
      <c r="Q639" s="45"/>
      <c r="R639" s="45"/>
      <c r="S639" s="45"/>
      <c r="T639" s="45"/>
      <c r="U639" s="45"/>
      <c r="V639" s="45"/>
      <c r="W639" s="45"/>
      <c r="X639" s="45"/>
      <c r="Y639" s="45"/>
      <c r="Z639" s="45"/>
    </row>
    <row r="640">
      <c r="A640" s="46">
        <v>639.0</v>
      </c>
      <c r="B640" s="47" t="str">
        <f>'Project Stocktaking Template'!B640</f>
        <v>REHABILITATION WORKS AT GAWASCO</v>
      </c>
      <c r="C640" s="47" t="str">
        <f>'Project Stocktaking Template'!H640</f>
        <v>GarissaTownship</v>
      </c>
      <c r="D640" s="47" t="str">
        <f>'Project Stocktaking Template'!I640</f>
        <v>Township</v>
      </c>
      <c r="E640" s="48" t="str">
        <f>'Project Stocktaking Template'!O640</f>
        <v>1st aug 2024</v>
      </c>
      <c r="F640" s="48" t="str">
        <f>'Project Stocktaking Template'!P640</f>
        <v>30th june 2025</v>
      </c>
      <c r="G640" s="48" t="str">
        <f>'Project Stocktaking Template'!Q640</f>
        <v>30th june 2025</v>
      </c>
      <c r="H640" s="49">
        <f>'Project Stocktaking Template'!R640</f>
        <v>1879599</v>
      </c>
      <c r="I640" s="50" t="str">
        <f>'Project Stocktaking Template'!AD640</f>
        <v/>
      </c>
      <c r="J640" s="45"/>
      <c r="K640" s="45"/>
      <c r="L640" s="45"/>
      <c r="M640" s="45"/>
      <c r="N640" s="45"/>
      <c r="O640" s="45"/>
      <c r="P640" s="45"/>
      <c r="Q640" s="45"/>
      <c r="R640" s="45"/>
      <c r="S640" s="45"/>
      <c r="T640" s="45"/>
      <c r="U640" s="45"/>
      <c r="V640" s="45"/>
      <c r="W640" s="45"/>
      <c r="X640" s="45"/>
      <c r="Y640" s="45"/>
      <c r="Z640" s="45"/>
    </row>
    <row r="641">
      <c r="A641" s="51">
        <v>640.0</v>
      </c>
      <c r="B641" s="47" t="str">
        <f>'Project Stocktaking Template'!B641</f>
        <v>MAINTAINANCE OF ROADS</v>
      </c>
      <c r="C641" s="47" t="str">
        <f>'Project Stocktaking Template'!H641</f>
        <v>GarissaTownship</v>
      </c>
      <c r="D641" s="47" t="str">
        <f>'Project Stocktaking Template'!I641</f>
        <v>Township</v>
      </c>
      <c r="E641" s="48" t="str">
        <f>'Project Stocktaking Template'!O641</f>
        <v>1st aug 2024</v>
      </c>
      <c r="F641" s="48" t="str">
        <f>'Project Stocktaking Template'!P641</f>
        <v>30th june 2025</v>
      </c>
      <c r="G641" s="48" t="str">
        <f>'Project Stocktaking Template'!Q641</f>
        <v>30th june 2025</v>
      </c>
      <c r="H641" s="49">
        <f>'Project Stocktaking Template'!R641</f>
        <v>4532102.2</v>
      </c>
      <c r="I641" s="50" t="str">
        <f>'Project Stocktaking Template'!AD641</f>
        <v/>
      </c>
      <c r="J641" s="45"/>
      <c r="K641" s="45"/>
      <c r="L641" s="45"/>
      <c r="M641" s="45"/>
      <c r="N641" s="45"/>
      <c r="O641" s="45"/>
      <c r="P641" s="45"/>
      <c r="Q641" s="45"/>
      <c r="R641" s="45"/>
      <c r="S641" s="45"/>
      <c r="T641" s="45"/>
      <c r="U641" s="45"/>
      <c r="V641" s="45"/>
      <c r="W641" s="45"/>
      <c r="X641" s="45"/>
      <c r="Y641" s="45"/>
      <c r="Z641" s="45"/>
    </row>
    <row r="642">
      <c r="A642" s="46">
        <v>641.0</v>
      </c>
      <c r="B642" s="47" t="str">
        <f>'Project Stocktaking Template'!B642</f>
        <v>EQUIPING OF GARBA GADUD BOREHOLE</v>
      </c>
      <c r="C642" s="47" t="str">
        <f>'Project Stocktaking Template'!H642</f>
        <v>GarissaTownship</v>
      </c>
      <c r="D642" s="47" t="str">
        <f>'Project Stocktaking Template'!I642</f>
        <v>Township</v>
      </c>
      <c r="E642" s="48" t="str">
        <f>'Project Stocktaking Template'!O642</f>
        <v>1st aug 2024</v>
      </c>
      <c r="F642" s="48" t="str">
        <f>'Project Stocktaking Template'!P642</f>
        <v>30th june 2025</v>
      </c>
      <c r="G642" s="48" t="str">
        <f>'Project Stocktaking Template'!Q642</f>
        <v>30th june 2025</v>
      </c>
      <c r="H642" s="49">
        <f>'Project Stocktaking Template'!R642</f>
        <v>5000000</v>
      </c>
      <c r="I642" s="50" t="str">
        <f>'Project Stocktaking Template'!AD642</f>
        <v/>
      </c>
      <c r="J642" s="45"/>
      <c r="K642" s="45"/>
      <c r="L642" s="45"/>
      <c r="M642" s="45"/>
      <c r="N642" s="45"/>
      <c r="O642" s="45"/>
      <c r="P642" s="45"/>
      <c r="Q642" s="45"/>
      <c r="R642" s="45"/>
      <c r="S642" s="45"/>
      <c r="T642" s="45"/>
      <c r="U642" s="45"/>
      <c r="V642" s="45"/>
      <c r="W642" s="45"/>
      <c r="X642" s="45"/>
      <c r="Y642" s="45"/>
      <c r="Z642" s="45"/>
    </row>
    <row r="643">
      <c r="A643" s="51">
        <v>642.0</v>
      </c>
      <c r="B643" s="47" t="str">
        <f>'Project Stocktaking Template'!B643</f>
        <v>ADC WATER PROJECT</v>
      </c>
      <c r="C643" s="47" t="str">
        <f>'Project Stocktaking Template'!H643</f>
        <v>GarissaTownship</v>
      </c>
      <c r="D643" s="47" t="str">
        <f>'Project Stocktaking Template'!I643</f>
        <v>Township</v>
      </c>
      <c r="E643" s="48" t="str">
        <f>'Project Stocktaking Template'!O643</f>
        <v>1st aug 2024</v>
      </c>
      <c r="F643" s="48" t="str">
        <f>'Project Stocktaking Template'!P643</f>
        <v>30th june 2025</v>
      </c>
      <c r="G643" s="48" t="str">
        <f>'Project Stocktaking Template'!Q643</f>
        <v>30th june 2025</v>
      </c>
      <c r="H643" s="49">
        <f>'Project Stocktaking Template'!R643</f>
        <v>4112653</v>
      </c>
      <c r="I643" s="50" t="str">
        <f>'Project Stocktaking Template'!AD643</f>
        <v/>
      </c>
      <c r="J643" s="45"/>
      <c r="K643" s="45"/>
      <c r="L643" s="45"/>
      <c r="M643" s="45"/>
      <c r="N643" s="45"/>
      <c r="O643" s="45"/>
      <c r="P643" s="45"/>
      <c r="Q643" s="45"/>
      <c r="R643" s="45"/>
      <c r="S643" s="45"/>
      <c r="T643" s="45"/>
      <c r="U643" s="45"/>
      <c r="V643" s="45"/>
      <c r="W643" s="45"/>
      <c r="X643" s="45"/>
      <c r="Y643" s="45"/>
      <c r="Z643" s="45"/>
    </row>
    <row r="644">
      <c r="A644" s="46">
        <v>643.0</v>
      </c>
      <c r="B644" s="47" t="str">
        <f>'Project Stocktaking Template'!B644</f>
        <v>RENNOVATION AND IMPROVEMENT OF LIBOI HEALTH CENTRE</v>
      </c>
      <c r="C644" s="47" t="str">
        <f>'Project Stocktaking Template'!H644</f>
        <v>Dadaab</v>
      </c>
      <c r="D644" s="47" t="str">
        <f>'Project Stocktaking Template'!I644</f>
        <v>Liboi</v>
      </c>
      <c r="E644" s="48" t="str">
        <f>'Project Stocktaking Template'!O644</f>
        <v>1st aug 2024</v>
      </c>
      <c r="F644" s="48" t="str">
        <f>'Project Stocktaking Template'!P644</f>
        <v>30th june 2025</v>
      </c>
      <c r="G644" s="48" t="str">
        <f>'Project Stocktaking Template'!Q644</f>
        <v>30th june 2025</v>
      </c>
      <c r="H644" s="49">
        <f>'Project Stocktaking Template'!R644</f>
        <v>7123441</v>
      </c>
      <c r="I644" s="50" t="str">
        <f>'Project Stocktaking Template'!AD644</f>
        <v/>
      </c>
      <c r="J644" s="45"/>
      <c r="K644" s="45"/>
      <c r="L644" s="45"/>
      <c r="M644" s="45"/>
      <c r="N644" s="45"/>
      <c r="O644" s="45"/>
      <c r="P644" s="45"/>
      <c r="Q644" s="45"/>
      <c r="R644" s="45"/>
      <c r="S644" s="45"/>
      <c r="T644" s="45"/>
      <c r="U644" s="45"/>
      <c r="V644" s="45"/>
      <c r="W644" s="45"/>
      <c r="X644" s="45"/>
      <c r="Y644" s="45"/>
      <c r="Z644" s="45"/>
    </row>
    <row r="645">
      <c r="A645" s="51">
        <v>644.0</v>
      </c>
      <c r="B645" s="47" t="str">
        <f>'Project Stocktaking Template'!B645</f>
        <v>MAINTAINACE OF ROADS</v>
      </c>
      <c r="C645" s="47" t="str">
        <f>'Project Stocktaking Template'!H645</f>
        <v>GarissaTownship</v>
      </c>
      <c r="D645" s="47" t="str">
        <f>'Project Stocktaking Template'!I645</f>
        <v>Township</v>
      </c>
      <c r="E645" s="48" t="str">
        <f>'Project Stocktaking Template'!O645</f>
        <v>1st aug 2024</v>
      </c>
      <c r="F645" s="48" t="str">
        <f>'Project Stocktaking Template'!P645</f>
        <v>30th june 2025</v>
      </c>
      <c r="G645" s="48" t="str">
        <f>'Project Stocktaking Template'!Q645</f>
        <v>30th june 2025</v>
      </c>
      <c r="H645" s="49">
        <f>'Project Stocktaking Template'!R645</f>
        <v>4921300</v>
      </c>
      <c r="I645" s="50" t="str">
        <f>'Project Stocktaking Template'!AD645</f>
        <v/>
      </c>
      <c r="J645" s="45"/>
      <c r="K645" s="45"/>
      <c r="L645" s="45"/>
      <c r="M645" s="45"/>
      <c r="N645" s="45"/>
      <c r="O645" s="45"/>
      <c r="P645" s="45"/>
      <c r="Q645" s="45"/>
      <c r="R645" s="45"/>
      <c r="S645" s="45"/>
      <c r="T645" s="45"/>
      <c r="U645" s="45"/>
      <c r="V645" s="45"/>
      <c r="W645" s="45"/>
      <c r="X645" s="45"/>
      <c r="Y645" s="45"/>
      <c r="Z645" s="45"/>
    </row>
    <row r="646">
      <c r="A646" s="46">
        <v>645.0</v>
      </c>
      <c r="B646" s="47" t="str">
        <f>'Project Stocktaking Template'!B646</f>
        <v>UPGRADING OF ADMIN BLOCK AND FACELIFT</v>
      </c>
      <c r="C646" s="47" t="str">
        <f>'Project Stocktaking Template'!H646</f>
        <v>GarissaTownship</v>
      </c>
      <c r="D646" s="47" t="str">
        <f>'Project Stocktaking Template'!I646</f>
        <v>Township</v>
      </c>
      <c r="E646" s="48" t="str">
        <f>'Project Stocktaking Template'!O646</f>
        <v>1st aug 2024</v>
      </c>
      <c r="F646" s="48" t="str">
        <f>'Project Stocktaking Template'!P646</f>
        <v>30th june 2025</v>
      </c>
      <c r="G646" s="48" t="str">
        <f>'Project Stocktaking Template'!Q646</f>
        <v>30th june 2025</v>
      </c>
      <c r="H646" s="49">
        <f>'Project Stocktaking Template'!R646</f>
        <v>2337773</v>
      </c>
      <c r="I646" s="50" t="str">
        <f>'Project Stocktaking Template'!AD646</f>
        <v/>
      </c>
      <c r="J646" s="45"/>
      <c r="K646" s="45"/>
      <c r="L646" s="45"/>
      <c r="M646" s="45"/>
      <c r="N646" s="45"/>
      <c r="O646" s="45"/>
      <c r="P646" s="45"/>
      <c r="Q646" s="45"/>
      <c r="R646" s="45"/>
      <c r="S646" s="45"/>
      <c r="T646" s="45"/>
      <c r="U646" s="45"/>
      <c r="V646" s="45"/>
      <c r="W646" s="45"/>
      <c r="X646" s="45"/>
      <c r="Y646" s="45"/>
      <c r="Z646" s="45"/>
    </row>
    <row r="647">
      <c r="A647" s="51">
        <v>646.0</v>
      </c>
      <c r="B647" s="47" t="str">
        <f>'Project Stocktaking Template'!B647</f>
        <v>UPGRADING OF ADMIN BLOCK AND FACELIFT</v>
      </c>
      <c r="C647" s="47" t="str">
        <f>'Project Stocktaking Template'!H647</f>
        <v>GarissaTownship</v>
      </c>
      <c r="D647" s="47" t="str">
        <f>'Project Stocktaking Template'!I647</f>
        <v>Township</v>
      </c>
      <c r="E647" s="48" t="str">
        <f>'Project Stocktaking Template'!O647</f>
        <v>1st aug 2024</v>
      </c>
      <c r="F647" s="48" t="str">
        <f>'Project Stocktaking Template'!P647</f>
        <v>30th june 2025</v>
      </c>
      <c r="G647" s="48" t="str">
        <f>'Project Stocktaking Template'!Q647</f>
        <v>30th june 2025</v>
      </c>
      <c r="H647" s="49">
        <f>'Project Stocktaking Template'!R647</f>
        <v>2440332</v>
      </c>
      <c r="I647" s="50" t="str">
        <f>'Project Stocktaking Template'!AD647</f>
        <v/>
      </c>
      <c r="J647" s="45"/>
      <c r="K647" s="45"/>
      <c r="L647" s="45"/>
      <c r="M647" s="45"/>
      <c r="N647" s="45"/>
      <c r="O647" s="45"/>
      <c r="P647" s="45"/>
      <c r="Q647" s="45"/>
      <c r="R647" s="45"/>
      <c r="S647" s="45"/>
      <c r="T647" s="45"/>
      <c r="U647" s="45"/>
      <c r="V647" s="45"/>
      <c r="W647" s="45"/>
      <c r="X647" s="45"/>
      <c r="Y647" s="45"/>
      <c r="Z647" s="45"/>
    </row>
    <row r="648">
      <c r="A648" s="46">
        <v>647.0</v>
      </c>
      <c r="B648" s="47" t="str">
        <f>'Project Stocktaking Template'!B648</f>
        <v>DESILTING OF WATER PAN AT BULLA ABASS IN LAGDERA SUB COUNTY</v>
      </c>
      <c r="C648" s="47" t="str">
        <f>'Project Stocktaking Template'!H648</f>
        <v>Lagdera</v>
      </c>
      <c r="D648" s="47" t="str">
        <f>'Project Stocktaking Template'!I648</f>
        <v>Modogashe</v>
      </c>
      <c r="E648" s="48" t="str">
        <f>'Project Stocktaking Template'!O648</f>
        <v>1st aug 2024</v>
      </c>
      <c r="F648" s="48" t="str">
        <f>'Project Stocktaking Template'!P648</f>
        <v>30th june 2025</v>
      </c>
      <c r="G648" s="48" t="str">
        <f>'Project Stocktaking Template'!Q648</f>
        <v>30th june 2025</v>
      </c>
      <c r="H648" s="49">
        <f>'Project Stocktaking Template'!R648</f>
        <v>2133278</v>
      </c>
      <c r="I648" s="50" t="str">
        <f>'Project Stocktaking Template'!AD648</f>
        <v/>
      </c>
      <c r="J648" s="45"/>
      <c r="K648" s="45"/>
      <c r="L648" s="45"/>
      <c r="M648" s="45"/>
      <c r="N648" s="45"/>
      <c r="O648" s="45"/>
      <c r="P648" s="45"/>
      <c r="Q648" s="45"/>
      <c r="R648" s="45"/>
      <c r="S648" s="45"/>
      <c r="T648" s="45"/>
      <c r="U648" s="45"/>
      <c r="V648" s="45"/>
      <c r="W648" s="45"/>
      <c r="X648" s="45"/>
      <c r="Y648" s="45"/>
      <c r="Z648" s="45"/>
    </row>
    <row r="649">
      <c r="A649" s="51">
        <v>648.0</v>
      </c>
      <c r="B649" s="47" t="str">
        <f>'Project Stocktaking Template'!B649</f>
        <v>CHAINLINK FENCE AND RENNOVATION</v>
      </c>
      <c r="C649" s="47" t="str">
        <f>'Project Stocktaking Template'!H649</f>
        <v>GarissaTownship</v>
      </c>
      <c r="D649" s="47" t="str">
        <f>'Project Stocktaking Template'!I649</f>
        <v>Township</v>
      </c>
      <c r="E649" s="48" t="str">
        <f>'Project Stocktaking Template'!O649</f>
        <v>1st aug 2024</v>
      </c>
      <c r="F649" s="48" t="str">
        <f>'Project Stocktaking Template'!P649</f>
        <v>30th june 2025</v>
      </c>
      <c r="G649" s="48" t="str">
        <f>'Project Stocktaking Template'!Q649</f>
        <v>30th june 2025</v>
      </c>
      <c r="H649" s="49">
        <f>'Project Stocktaking Template'!R649</f>
        <v>6942001</v>
      </c>
      <c r="I649" s="50" t="str">
        <f>'Project Stocktaking Template'!AD649</f>
        <v/>
      </c>
      <c r="J649" s="45"/>
      <c r="K649" s="45"/>
      <c r="L649" s="45"/>
      <c r="M649" s="45"/>
      <c r="N649" s="45"/>
      <c r="O649" s="45"/>
      <c r="P649" s="45"/>
      <c r="Q649" s="45"/>
      <c r="R649" s="45"/>
      <c r="S649" s="45"/>
      <c r="T649" s="45"/>
      <c r="U649" s="45"/>
      <c r="V649" s="45"/>
      <c r="W649" s="45"/>
      <c r="X649" s="45"/>
      <c r="Y649" s="45"/>
      <c r="Z649" s="45"/>
    </row>
    <row r="650">
      <c r="A650" s="46">
        <v>649.0</v>
      </c>
      <c r="B650" s="47" t="str">
        <f>'Project Stocktaking Template'!B650</f>
        <v>PIPELINE EXTENSION TO BULA HAGAR RIIG REHABILTATION OF STEEL TANK</v>
      </c>
      <c r="C650" s="47" t="str">
        <f>'Project Stocktaking Template'!H650</f>
        <v>GarissaTownship</v>
      </c>
      <c r="D650" s="47" t="str">
        <f>'Project Stocktaking Template'!I650</f>
        <v>Galbet</v>
      </c>
      <c r="E650" s="48" t="str">
        <f>'Project Stocktaking Template'!O650</f>
        <v>1st aug 2024</v>
      </c>
      <c r="F650" s="48" t="str">
        <f>'Project Stocktaking Template'!P650</f>
        <v>30th june 2025</v>
      </c>
      <c r="G650" s="48" t="str">
        <f>'Project Stocktaking Template'!Q650</f>
        <v>30th june 2025</v>
      </c>
      <c r="H650" s="49">
        <f>'Project Stocktaking Template'!R650</f>
        <v>14395255</v>
      </c>
      <c r="I650" s="50" t="str">
        <f>'Project Stocktaking Template'!AD650</f>
        <v/>
      </c>
      <c r="J650" s="45"/>
      <c r="K650" s="45"/>
      <c r="L650" s="45"/>
      <c r="M650" s="45"/>
      <c r="N650" s="45"/>
      <c r="O650" s="45"/>
      <c r="P650" s="45"/>
      <c r="Q650" s="45"/>
      <c r="R650" s="45"/>
      <c r="S650" s="45"/>
      <c r="T650" s="45"/>
      <c r="U650" s="45"/>
      <c r="V650" s="45"/>
      <c r="W650" s="45"/>
      <c r="X650" s="45"/>
      <c r="Y650" s="45"/>
      <c r="Z650" s="45"/>
    </row>
    <row r="651">
      <c r="A651" s="51">
        <v>650.0</v>
      </c>
      <c r="B651" s="47" t="str">
        <f>'Project Stocktaking Template'!B651</f>
        <v>MAINTANCOF HAGRABUL ROAD</v>
      </c>
      <c r="C651" s="47" t="str">
        <f>'Project Stocktaking Template'!H651</f>
        <v>GarissaTownship</v>
      </c>
      <c r="D651" s="47" t="str">
        <f>'Project Stocktaking Template'!I651</f>
        <v>Township</v>
      </c>
      <c r="E651" s="48" t="str">
        <f>'Project Stocktaking Template'!O651</f>
        <v>1st aug 2024</v>
      </c>
      <c r="F651" s="48" t="str">
        <f>'Project Stocktaking Template'!P651</f>
        <v>30th june 2025</v>
      </c>
      <c r="G651" s="48" t="str">
        <f>'Project Stocktaking Template'!Q651</f>
        <v>30th june 2025</v>
      </c>
      <c r="H651" s="49">
        <f>'Project Stocktaking Template'!R651</f>
        <v>5249916</v>
      </c>
      <c r="I651" s="50" t="str">
        <f>'Project Stocktaking Template'!AD651</f>
        <v/>
      </c>
      <c r="J651" s="45"/>
      <c r="K651" s="45"/>
      <c r="L651" s="45"/>
      <c r="M651" s="45"/>
      <c r="N651" s="45"/>
      <c r="O651" s="45"/>
      <c r="P651" s="45"/>
      <c r="Q651" s="45"/>
      <c r="R651" s="45"/>
      <c r="S651" s="45"/>
      <c r="T651" s="45"/>
      <c r="U651" s="45"/>
      <c r="V651" s="45"/>
      <c r="W651" s="45"/>
      <c r="X651" s="45"/>
      <c r="Y651" s="45"/>
      <c r="Z651" s="45"/>
    </row>
    <row r="652">
      <c r="A652" s="46">
        <v>651.0</v>
      </c>
      <c r="B652" s="47" t="str">
        <f>'Project Stocktaking Template'!B652</f>
        <v>REPAIR OF BULLA MADINA ELEVATED WATER TANKS</v>
      </c>
      <c r="C652" s="47" t="str">
        <f>'Project Stocktaking Template'!H652</f>
        <v>GarissaTownship</v>
      </c>
      <c r="D652" s="47" t="str">
        <f>'Project Stocktaking Template'!I652</f>
        <v>Galbet</v>
      </c>
      <c r="E652" s="48" t="str">
        <f>'Project Stocktaking Template'!O652</f>
        <v>1st aug 2024</v>
      </c>
      <c r="F652" s="48" t="str">
        <f>'Project Stocktaking Template'!P652</f>
        <v>30th june 2025</v>
      </c>
      <c r="G652" s="48" t="str">
        <f>'Project Stocktaking Template'!Q652</f>
        <v>30th june 2025</v>
      </c>
      <c r="H652" s="49">
        <f>'Project Stocktaking Template'!R652</f>
        <v>2533336</v>
      </c>
      <c r="I652" s="50" t="str">
        <f>'Project Stocktaking Template'!AD652</f>
        <v/>
      </c>
      <c r="J652" s="45"/>
      <c r="K652" s="45"/>
      <c r="L652" s="45"/>
      <c r="M652" s="45"/>
      <c r="N652" s="45"/>
      <c r="O652" s="45"/>
      <c r="P652" s="45"/>
      <c r="Q652" s="45"/>
      <c r="R652" s="45"/>
      <c r="S652" s="45"/>
      <c r="T652" s="45"/>
      <c r="U652" s="45"/>
      <c r="V652" s="45"/>
      <c r="W652" s="45"/>
      <c r="X652" s="45"/>
      <c r="Y652" s="45"/>
      <c r="Z652" s="45"/>
    </row>
    <row r="653">
      <c r="A653" s="51">
        <v>652.0</v>
      </c>
      <c r="B653" s="47" t="str">
        <f>'Project Stocktaking Template'!B653</f>
        <v>EQUIPIN AND EXTENSION OF BARAKI MAALIM PIPLELINE</v>
      </c>
      <c r="C653" s="47" t="str">
        <f>'Project Stocktaking Template'!H653</f>
        <v>Lagdera</v>
      </c>
      <c r="D653" s="47" t="str">
        <f>'Project Stocktaking Template'!I653</f>
        <v>Maalimin</v>
      </c>
      <c r="E653" s="48" t="str">
        <f>'Project Stocktaking Template'!O653</f>
        <v>1st aug 2024</v>
      </c>
      <c r="F653" s="48" t="str">
        <f>'Project Stocktaking Template'!P653</f>
        <v>30th june 2025</v>
      </c>
      <c r="G653" s="48" t="str">
        <f>'Project Stocktaking Template'!Q653</f>
        <v>30th june 2025</v>
      </c>
      <c r="H653" s="49">
        <f>'Project Stocktaking Template'!R653</f>
        <v>14700000</v>
      </c>
      <c r="I653" s="50" t="str">
        <f>'Project Stocktaking Template'!AD653</f>
        <v/>
      </c>
      <c r="J653" s="45"/>
      <c r="K653" s="45"/>
      <c r="L653" s="45"/>
      <c r="M653" s="45"/>
      <c r="N653" s="45"/>
      <c r="O653" s="45"/>
      <c r="P653" s="45"/>
      <c r="Q653" s="45"/>
      <c r="R653" s="45"/>
      <c r="S653" s="45"/>
      <c r="T653" s="45"/>
      <c r="U653" s="45"/>
      <c r="V653" s="45"/>
      <c r="W653" s="45"/>
      <c r="X653" s="45"/>
      <c r="Y653" s="45"/>
      <c r="Z653" s="45"/>
    </row>
    <row r="654">
      <c r="A654" s="46">
        <v>653.0</v>
      </c>
      <c r="B654" s="47" t="str">
        <f>'Project Stocktaking Template'!B654</f>
        <v>CONSTRUCTION OF MARKET SHADE AT DADAAB</v>
      </c>
      <c r="C654" s="47" t="str">
        <f>'Project Stocktaking Template'!H654</f>
        <v>Dadaab</v>
      </c>
      <c r="D654" s="47" t="str">
        <f>'Project Stocktaking Template'!I654</f>
        <v>Dadaab</v>
      </c>
      <c r="E654" s="48" t="str">
        <f>'Project Stocktaking Template'!O654</f>
        <v>1st aug 2024</v>
      </c>
      <c r="F654" s="48" t="str">
        <f>'Project Stocktaking Template'!P654</f>
        <v>30th june 2025</v>
      </c>
      <c r="G654" s="48" t="str">
        <f>'Project Stocktaking Template'!Q654</f>
        <v>30th june 2025</v>
      </c>
      <c r="H654" s="49">
        <f>'Project Stocktaking Template'!R654</f>
        <v>5000000</v>
      </c>
      <c r="I654" s="50" t="str">
        <f>'Project Stocktaking Template'!AD654</f>
        <v/>
      </c>
      <c r="J654" s="45"/>
      <c r="K654" s="45"/>
      <c r="L654" s="45"/>
      <c r="M654" s="45"/>
      <c r="N654" s="45"/>
      <c r="O654" s="45"/>
      <c r="P654" s="45"/>
      <c r="Q654" s="45"/>
      <c r="R654" s="45"/>
      <c r="S654" s="45"/>
      <c r="T654" s="45"/>
      <c r="U654" s="45"/>
      <c r="V654" s="45"/>
      <c r="W654" s="45"/>
      <c r="X654" s="45"/>
      <c r="Y654" s="45"/>
      <c r="Z654" s="45"/>
    </row>
    <row r="655">
      <c r="A655" s="51">
        <v>654.0</v>
      </c>
      <c r="B655" s="47" t="str">
        <f>'Project Stocktaking Template'!B655</f>
        <v>STREET LIGHT SUQMUQDI</v>
      </c>
      <c r="C655" s="47" t="str">
        <f>'Project Stocktaking Template'!H655</f>
        <v>GarissaTownship</v>
      </c>
      <c r="D655" s="47" t="str">
        <f>'Project Stocktaking Template'!I655</f>
        <v>Township</v>
      </c>
      <c r="E655" s="48" t="str">
        <f>'Project Stocktaking Template'!O655</f>
        <v>1st aug 2024</v>
      </c>
      <c r="F655" s="48" t="str">
        <f>'Project Stocktaking Template'!P655</f>
        <v>30th june 2025</v>
      </c>
      <c r="G655" s="48" t="str">
        <f>'Project Stocktaking Template'!Q655</f>
        <v>30th june 2025</v>
      </c>
      <c r="H655" s="49">
        <f>'Project Stocktaking Template'!R655</f>
        <v>6394961.4</v>
      </c>
      <c r="I655" s="50" t="str">
        <f>'Project Stocktaking Template'!AD655</f>
        <v/>
      </c>
      <c r="J655" s="45"/>
      <c r="K655" s="45"/>
      <c r="L655" s="45"/>
      <c r="M655" s="45"/>
      <c r="N655" s="45"/>
      <c r="O655" s="45"/>
      <c r="P655" s="45"/>
      <c r="Q655" s="45"/>
      <c r="R655" s="45"/>
      <c r="S655" s="45"/>
      <c r="T655" s="45"/>
      <c r="U655" s="45"/>
      <c r="V655" s="45"/>
      <c r="W655" s="45"/>
      <c r="X655" s="45"/>
      <c r="Y655" s="45"/>
      <c r="Z655" s="45"/>
    </row>
    <row r="656">
      <c r="A656" s="46">
        <v>655.0</v>
      </c>
      <c r="B656" s="47" t="str">
        <f>'Project Stocktaking Template'!B656</f>
        <v>IMPROVEMENT OF ROADS</v>
      </c>
      <c r="C656" s="47" t="str">
        <f>'Project Stocktaking Template'!H656</f>
        <v>GarissaTownship</v>
      </c>
      <c r="D656" s="47" t="str">
        <f>'Project Stocktaking Template'!I656</f>
        <v>Township</v>
      </c>
      <c r="E656" s="48" t="str">
        <f>'Project Stocktaking Template'!O656</f>
        <v>1st aug 2024</v>
      </c>
      <c r="F656" s="48" t="str">
        <f>'Project Stocktaking Template'!P656</f>
        <v>30th june 2025</v>
      </c>
      <c r="G656" s="48" t="str">
        <f>'Project Stocktaking Template'!Q656</f>
        <v>30th june 2025</v>
      </c>
      <c r="H656" s="49">
        <f>'Project Stocktaking Template'!R656</f>
        <v>4719980</v>
      </c>
      <c r="I656" s="50" t="str">
        <f>'Project Stocktaking Template'!AD656</f>
        <v/>
      </c>
      <c r="J656" s="45"/>
      <c r="K656" s="45"/>
      <c r="L656" s="45"/>
      <c r="M656" s="45"/>
      <c r="N656" s="45"/>
      <c r="O656" s="45"/>
      <c r="P656" s="45"/>
      <c r="Q656" s="45"/>
      <c r="R656" s="45"/>
      <c r="S656" s="45"/>
      <c r="T656" s="45"/>
      <c r="U656" s="45"/>
      <c r="V656" s="45"/>
      <c r="W656" s="45"/>
      <c r="X656" s="45"/>
      <c r="Y656" s="45"/>
      <c r="Z656" s="45"/>
    </row>
    <row r="657">
      <c r="A657" s="51">
        <v>656.0</v>
      </c>
      <c r="B657" s="47" t="str">
        <f>'Project Stocktaking Template'!B657</f>
        <v>IMPROVEMENT OF FAFI BURA ROAD</v>
      </c>
      <c r="C657" s="47" t="str">
        <f>'Project Stocktaking Template'!H657</f>
        <v>Fafi</v>
      </c>
      <c r="D657" s="47" t="str">
        <f>'Project Stocktaking Template'!I657</f>
        <v>Bura</v>
      </c>
      <c r="E657" s="48" t="str">
        <f>'Project Stocktaking Template'!O657</f>
        <v>1st aug 2024</v>
      </c>
      <c r="F657" s="48" t="str">
        <f>'Project Stocktaking Template'!P657</f>
        <v>30th june 2025</v>
      </c>
      <c r="G657" s="48" t="str">
        <f>'Project Stocktaking Template'!Q657</f>
        <v>30th june 2025</v>
      </c>
      <c r="H657" s="49">
        <f>'Project Stocktaking Template'!R657</f>
        <v>3952755</v>
      </c>
      <c r="I657" s="50" t="str">
        <f>'Project Stocktaking Template'!AD657</f>
        <v/>
      </c>
      <c r="J657" s="45"/>
      <c r="K657" s="45"/>
      <c r="L657" s="45"/>
      <c r="M657" s="45"/>
      <c r="N657" s="45"/>
      <c r="O657" s="45"/>
      <c r="P657" s="45"/>
      <c r="Q657" s="45"/>
      <c r="R657" s="45"/>
      <c r="S657" s="45"/>
      <c r="T657" s="45"/>
      <c r="U657" s="45"/>
      <c r="V657" s="45"/>
      <c r="W657" s="45"/>
      <c r="X657" s="45"/>
      <c r="Y657" s="45"/>
      <c r="Z657" s="45"/>
    </row>
    <row r="658">
      <c r="A658" s="46">
        <v>657.0</v>
      </c>
      <c r="B658" s="47" t="str">
        <f>'Project Stocktaking Template'!B658</f>
        <v>MAINTAINANCE OF ROADS</v>
      </c>
      <c r="C658" s="47" t="str">
        <f>'Project Stocktaking Template'!H658</f>
        <v>GarissaTownship</v>
      </c>
      <c r="D658" s="47" t="str">
        <f>'Project Stocktaking Template'!I658</f>
        <v>Township</v>
      </c>
      <c r="E658" s="48" t="str">
        <f>'Project Stocktaking Template'!O658</f>
        <v>1st aug 2024</v>
      </c>
      <c r="F658" s="48" t="str">
        <f>'Project Stocktaking Template'!P658</f>
        <v>30th june 2025</v>
      </c>
      <c r="G658" s="48" t="str">
        <f>'Project Stocktaking Template'!Q658</f>
        <v>30th june 2025</v>
      </c>
      <c r="H658" s="49">
        <f>'Project Stocktaking Template'!R658</f>
        <v>4703336</v>
      </c>
      <c r="I658" s="50" t="str">
        <f>'Project Stocktaking Template'!AD658</f>
        <v/>
      </c>
      <c r="J658" s="45"/>
      <c r="K658" s="45"/>
      <c r="L658" s="45"/>
      <c r="M658" s="45"/>
      <c r="N658" s="45"/>
      <c r="O658" s="45"/>
      <c r="P658" s="45"/>
      <c r="Q658" s="45"/>
      <c r="R658" s="45"/>
      <c r="S658" s="45"/>
      <c r="T658" s="45"/>
      <c r="U658" s="45"/>
      <c r="V658" s="45"/>
      <c r="W658" s="45"/>
      <c r="X658" s="45"/>
      <c r="Y658" s="45"/>
      <c r="Z658" s="45"/>
    </row>
    <row r="659">
      <c r="A659" s="51">
        <v>658.0</v>
      </c>
      <c r="B659" s="47" t="str">
        <f>'Project Stocktaking Template'!B659</f>
        <v>SUPPLY OF VETERNARY EQUIPTMENT</v>
      </c>
      <c r="C659" s="47" t="str">
        <f>'Project Stocktaking Template'!H659</f>
        <v>GarissaTownship</v>
      </c>
      <c r="D659" s="47" t="str">
        <f>'Project Stocktaking Template'!I659</f>
        <v>Township</v>
      </c>
      <c r="E659" s="48" t="str">
        <f>'Project Stocktaking Template'!O659</f>
        <v>1st aug 2024</v>
      </c>
      <c r="F659" s="48" t="str">
        <f>'Project Stocktaking Template'!P659</f>
        <v>30th june 2025</v>
      </c>
      <c r="G659" s="48" t="str">
        <f>'Project Stocktaking Template'!Q659</f>
        <v>30th june 2025</v>
      </c>
      <c r="H659" s="49">
        <f>'Project Stocktaking Template'!R659</f>
        <v>6000000</v>
      </c>
      <c r="I659" s="50" t="str">
        <f>'Project Stocktaking Template'!AD659</f>
        <v/>
      </c>
      <c r="J659" s="45"/>
      <c r="K659" s="45"/>
      <c r="L659" s="45"/>
      <c r="M659" s="45"/>
      <c r="N659" s="45"/>
      <c r="O659" s="45"/>
      <c r="P659" s="45"/>
      <c r="Q659" s="45"/>
      <c r="R659" s="45"/>
      <c r="S659" s="45"/>
      <c r="T659" s="45"/>
      <c r="U659" s="45"/>
      <c r="V659" s="45"/>
      <c r="W659" s="45"/>
      <c r="X659" s="45"/>
      <c r="Y659" s="45"/>
      <c r="Z659" s="45"/>
    </row>
    <row r="660">
      <c r="A660" s="46">
        <v>659.0</v>
      </c>
      <c r="B660" s="47" t="str">
        <f>'Project Stocktaking Template'!B660</f>
        <v>ALUMINIUM PARTITION AND POWER UPGRADE AT EYE UNIT</v>
      </c>
      <c r="C660" s="47" t="str">
        <f>'Project Stocktaking Template'!H660</f>
        <v>GarissaTownship</v>
      </c>
      <c r="D660" s="47" t="str">
        <f>'Project Stocktaking Template'!I660</f>
        <v>Township</v>
      </c>
      <c r="E660" s="48" t="str">
        <f>'Project Stocktaking Template'!O660</f>
        <v>1st aug 2024</v>
      </c>
      <c r="F660" s="48" t="str">
        <f>'Project Stocktaking Template'!P660</f>
        <v>30th june 2025</v>
      </c>
      <c r="G660" s="48" t="str">
        <f>'Project Stocktaking Template'!Q660</f>
        <v>30th june 2025</v>
      </c>
      <c r="H660" s="49">
        <f>'Project Stocktaking Template'!R660</f>
        <v>4572255</v>
      </c>
      <c r="I660" s="50" t="str">
        <f>'Project Stocktaking Template'!AD660</f>
        <v/>
      </c>
      <c r="J660" s="45"/>
      <c r="K660" s="45"/>
      <c r="L660" s="45"/>
      <c r="M660" s="45"/>
      <c r="N660" s="45"/>
      <c r="O660" s="45"/>
      <c r="P660" s="45"/>
      <c r="Q660" s="45"/>
      <c r="R660" s="45"/>
      <c r="S660" s="45"/>
      <c r="T660" s="45"/>
      <c r="U660" s="45"/>
      <c r="V660" s="45"/>
      <c r="W660" s="45"/>
      <c r="X660" s="45"/>
      <c r="Y660" s="45"/>
      <c r="Z660" s="45"/>
    </row>
    <row r="661">
      <c r="A661" s="51">
        <v>660.0</v>
      </c>
      <c r="B661" s="47" t="str">
        <f>'Project Stocktaking Template'!B661</f>
        <v>RENOVATION ECD CLASSROOM AT FURQAN PRIMARY IJARA SUB COUNTY</v>
      </c>
      <c r="C661" s="47" t="str">
        <f>'Project Stocktaking Template'!H661</f>
        <v>Ijara</v>
      </c>
      <c r="D661" s="47" t="str">
        <f>'Project Stocktaking Template'!I661</f>
        <v>Ijara</v>
      </c>
      <c r="E661" s="48" t="str">
        <f>'Project Stocktaking Template'!O661</f>
        <v>1st aug 2024</v>
      </c>
      <c r="F661" s="48" t="str">
        <f>'Project Stocktaking Template'!P661</f>
        <v>30th june 2025</v>
      </c>
      <c r="G661" s="48" t="str">
        <f>'Project Stocktaking Template'!Q661</f>
        <v>30th june 2025</v>
      </c>
      <c r="H661" s="49">
        <f>'Project Stocktaking Template'!R661</f>
        <v>2000000</v>
      </c>
      <c r="I661" s="50" t="str">
        <f>'Project Stocktaking Template'!AD661</f>
        <v/>
      </c>
      <c r="J661" s="45"/>
      <c r="K661" s="45"/>
      <c r="L661" s="45"/>
      <c r="M661" s="45"/>
      <c r="N661" s="45"/>
      <c r="O661" s="45"/>
      <c r="P661" s="45"/>
      <c r="Q661" s="45"/>
      <c r="R661" s="45"/>
      <c r="S661" s="45"/>
      <c r="T661" s="45"/>
      <c r="U661" s="45"/>
      <c r="V661" s="45"/>
      <c r="W661" s="45"/>
      <c r="X661" s="45"/>
      <c r="Y661" s="45"/>
      <c r="Z661" s="45"/>
    </row>
    <row r="662">
      <c r="A662" s="46">
        <v>661.0</v>
      </c>
      <c r="B662" s="47" t="str">
        <f>'Project Stocktaking Template'!B662</f>
        <v>CONSTRUCTION NEW ACCESS ROAD AT SUG MUGDI MARKET CENTRE</v>
      </c>
      <c r="C662" s="47" t="str">
        <f>'Project Stocktaking Template'!H662</f>
        <v>GarissaTownship</v>
      </c>
      <c r="D662" s="47" t="str">
        <f>'Project Stocktaking Template'!I662</f>
        <v>Township</v>
      </c>
      <c r="E662" s="48" t="str">
        <f>'Project Stocktaking Template'!O662</f>
        <v>1st aug 2024</v>
      </c>
      <c r="F662" s="48" t="str">
        <f>'Project Stocktaking Template'!P662</f>
        <v>30th june 2025</v>
      </c>
      <c r="G662" s="48" t="str">
        <f>'Project Stocktaking Template'!Q662</f>
        <v>30th june 2025</v>
      </c>
      <c r="H662" s="49">
        <f>'Project Stocktaking Template'!R662</f>
        <v>6500000</v>
      </c>
      <c r="I662" s="50" t="str">
        <f>'Project Stocktaking Template'!AD662</f>
        <v/>
      </c>
      <c r="J662" s="45"/>
      <c r="K662" s="45"/>
      <c r="L662" s="45"/>
      <c r="M662" s="45"/>
      <c r="N662" s="45"/>
      <c r="O662" s="45"/>
      <c r="P662" s="45"/>
      <c r="Q662" s="45"/>
      <c r="R662" s="45"/>
      <c r="S662" s="45"/>
      <c r="T662" s="45"/>
      <c r="U662" s="45"/>
      <c r="V662" s="45"/>
      <c r="W662" s="45"/>
      <c r="X662" s="45"/>
      <c r="Y662" s="45"/>
      <c r="Z662" s="45"/>
    </row>
    <row r="663">
      <c r="A663" s="51">
        <v>662.0</v>
      </c>
      <c r="B663" s="47" t="str">
        <f>'Project Stocktaking Template'!B663</f>
        <v>STREET LIGHT BULLA MADINA</v>
      </c>
      <c r="C663" s="47" t="str">
        <f>'Project Stocktaking Template'!H663</f>
        <v>GarissaTownship</v>
      </c>
      <c r="D663" s="47" t="str">
        <f>'Project Stocktaking Template'!I663</f>
        <v>Galbet</v>
      </c>
      <c r="E663" s="48" t="str">
        <f>'Project Stocktaking Template'!O663</f>
        <v>1st aug 2024</v>
      </c>
      <c r="F663" s="48" t="str">
        <f>'Project Stocktaking Template'!P663</f>
        <v>30th june 2025</v>
      </c>
      <c r="G663" s="48" t="str">
        <f>'Project Stocktaking Template'!Q663</f>
        <v>30th june 2025</v>
      </c>
      <c r="H663" s="49">
        <f>'Project Stocktaking Template'!R663</f>
        <v>9632616</v>
      </c>
      <c r="I663" s="50" t="str">
        <f>'Project Stocktaking Template'!AD663</f>
        <v/>
      </c>
      <c r="J663" s="45"/>
      <c r="K663" s="45"/>
      <c r="L663" s="45"/>
      <c r="M663" s="45"/>
      <c r="N663" s="45"/>
      <c r="O663" s="45"/>
      <c r="P663" s="45"/>
      <c r="Q663" s="45"/>
      <c r="R663" s="45"/>
      <c r="S663" s="45"/>
      <c r="T663" s="45"/>
      <c r="U663" s="45"/>
      <c r="V663" s="45"/>
      <c r="W663" s="45"/>
      <c r="X663" s="45"/>
      <c r="Y663" s="45"/>
      <c r="Z663" s="45"/>
    </row>
    <row r="664">
      <c r="A664" s="46">
        <v>663.0</v>
      </c>
      <c r="B664" s="47" t="str">
        <f>'Project Stocktaking Template'!B664</f>
        <v>CONSTRUCTION AND BACKFILLING OF EATH PITS AND DEMOLITION AT MADAHGISI DADAAB </v>
      </c>
      <c r="C664" s="47" t="str">
        <f>'Project Stocktaking Template'!H664</f>
        <v>Dadaab</v>
      </c>
      <c r="D664" s="47" t="str">
        <f>'Project Stocktaking Template'!I664</f>
        <v>Dadaab</v>
      </c>
      <c r="E664" s="48" t="str">
        <f>'Project Stocktaking Template'!O664</f>
        <v>1st aug 2024</v>
      </c>
      <c r="F664" s="48" t="str">
        <f>'Project Stocktaking Template'!P664</f>
        <v>30th june 2025</v>
      </c>
      <c r="G664" s="48" t="str">
        <f>'Project Stocktaking Template'!Q664</f>
        <v>30th june 2025</v>
      </c>
      <c r="H664" s="49">
        <f>'Project Stocktaking Template'!R664</f>
        <v>1000000</v>
      </c>
      <c r="I664" s="50" t="str">
        <f>'Project Stocktaking Template'!AD664</f>
        <v/>
      </c>
      <c r="J664" s="45"/>
      <c r="K664" s="45"/>
      <c r="L664" s="45"/>
      <c r="M664" s="45"/>
      <c r="N664" s="45"/>
      <c r="O664" s="45"/>
      <c r="P664" s="45"/>
      <c r="Q664" s="45"/>
      <c r="R664" s="45"/>
      <c r="S664" s="45"/>
      <c r="T664" s="45"/>
      <c r="U664" s="45"/>
      <c r="V664" s="45"/>
      <c r="W664" s="45"/>
      <c r="X664" s="45"/>
      <c r="Y664" s="45"/>
      <c r="Z664" s="45"/>
    </row>
    <row r="665">
      <c r="A665" s="51">
        <v>664.0</v>
      </c>
      <c r="B665" s="47" t="str">
        <f>'Project Stocktaking Template'!B665</f>
        <v>DRILLING AND SOLARIZALTION AT ABDISAMAT BOREHOLE</v>
      </c>
      <c r="C665" s="47" t="str">
        <f>'Project Stocktaking Template'!H665</f>
        <v>GarissaTownship</v>
      </c>
      <c r="D665" s="47" t="str">
        <f>'Project Stocktaking Template'!I665</f>
        <v>Township</v>
      </c>
      <c r="E665" s="48" t="str">
        <f>'Project Stocktaking Template'!O665</f>
        <v>1st aug 2024</v>
      </c>
      <c r="F665" s="48" t="str">
        <f>'Project Stocktaking Template'!P665</f>
        <v>30th june 2025</v>
      </c>
      <c r="G665" s="48" t="str">
        <f>'Project Stocktaking Template'!Q665</f>
        <v>30th june 2025</v>
      </c>
      <c r="H665" s="49">
        <f>'Project Stocktaking Template'!R665</f>
        <v>500000</v>
      </c>
      <c r="I665" s="50" t="str">
        <f>'Project Stocktaking Template'!AD665</f>
        <v/>
      </c>
      <c r="J665" s="45"/>
      <c r="K665" s="45"/>
      <c r="L665" s="45"/>
      <c r="M665" s="45"/>
      <c r="N665" s="45"/>
      <c r="O665" s="45"/>
      <c r="P665" s="45"/>
      <c r="Q665" s="45"/>
      <c r="R665" s="45"/>
      <c r="S665" s="45"/>
      <c r="T665" s="45"/>
      <c r="U665" s="45"/>
      <c r="V665" s="45"/>
      <c r="W665" s="45"/>
      <c r="X665" s="45"/>
      <c r="Y665" s="45"/>
      <c r="Z665" s="45"/>
    </row>
    <row r="666">
      <c r="A666" s="46">
        <v>665.0</v>
      </c>
      <c r="B666" s="47" t="str">
        <f>'Project Stocktaking Template'!B666</f>
        <v>PROVISION FOR RADIO ADVERTS</v>
      </c>
      <c r="C666" s="47" t="str">
        <f>'Project Stocktaking Template'!H666</f>
        <v>GarissaTownship</v>
      </c>
      <c r="D666" s="47" t="str">
        <f>'Project Stocktaking Template'!I666</f>
        <v>Township</v>
      </c>
      <c r="E666" s="48" t="str">
        <f>'Project Stocktaking Template'!O666</f>
        <v>1st aug 2024</v>
      </c>
      <c r="F666" s="48" t="str">
        <f>'Project Stocktaking Template'!P666</f>
        <v>30th june 2025</v>
      </c>
      <c r="G666" s="48" t="str">
        <f>'Project Stocktaking Template'!Q666</f>
        <v>30th june 2025</v>
      </c>
      <c r="H666" s="49">
        <f>'Project Stocktaking Template'!R666</f>
        <v>300000</v>
      </c>
      <c r="I666" s="50" t="str">
        <f>'Project Stocktaking Template'!AD666</f>
        <v/>
      </c>
      <c r="J666" s="45"/>
      <c r="K666" s="45"/>
      <c r="L666" s="45"/>
      <c r="M666" s="45"/>
      <c r="N666" s="45"/>
      <c r="O666" s="45"/>
      <c r="P666" s="45"/>
      <c r="Q666" s="45"/>
      <c r="R666" s="45"/>
      <c r="S666" s="45"/>
      <c r="T666" s="45"/>
      <c r="U666" s="45"/>
      <c r="V666" s="45"/>
      <c r="W666" s="45"/>
      <c r="X666" s="45"/>
      <c r="Y666" s="45"/>
      <c r="Z666" s="45"/>
    </row>
    <row r="667">
      <c r="A667" s="51">
        <v>666.0</v>
      </c>
      <c r="B667" s="47" t="str">
        <f>'Project Stocktaking Template'!B667</f>
        <v>CONSTRUCTION OF CHAINLINK FENCE AT TAGDUB PRIMARY</v>
      </c>
      <c r="C667" s="47" t="str">
        <f>'Project Stocktaking Template'!H667</f>
        <v>GarissaTownship</v>
      </c>
      <c r="D667" s="47" t="str">
        <f>'Project Stocktaking Template'!I667</f>
        <v>Township</v>
      </c>
      <c r="E667" s="48" t="str">
        <f>'Project Stocktaking Template'!O667</f>
        <v>1st aug 2024</v>
      </c>
      <c r="F667" s="48" t="str">
        <f>'Project Stocktaking Template'!P667</f>
        <v>30th june 2025</v>
      </c>
      <c r="G667" s="48" t="str">
        <f>'Project Stocktaking Template'!Q667</f>
        <v>30th june 2025</v>
      </c>
      <c r="H667" s="49">
        <f>'Project Stocktaking Template'!R667</f>
        <v>300000</v>
      </c>
      <c r="I667" s="50" t="str">
        <f>'Project Stocktaking Template'!AD667</f>
        <v/>
      </c>
      <c r="J667" s="45"/>
      <c r="K667" s="45"/>
      <c r="L667" s="45"/>
      <c r="M667" s="45"/>
      <c r="N667" s="45"/>
      <c r="O667" s="45"/>
      <c r="P667" s="45"/>
      <c r="Q667" s="45"/>
      <c r="R667" s="45"/>
      <c r="S667" s="45"/>
      <c r="T667" s="45"/>
      <c r="U667" s="45"/>
      <c r="V667" s="45"/>
      <c r="W667" s="45"/>
      <c r="X667" s="45"/>
      <c r="Y667" s="45"/>
      <c r="Z667" s="45"/>
    </row>
    <row r="668">
      <c r="A668" s="46">
        <v>667.0</v>
      </c>
      <c r="B668" s="47" t="str">
        <f>'Project Stocktaking Template'!B668</f>
        <v>CONSTRUCTION OF CHAINLINK FENCE AT AFWEIN  PRIMARY</v>
      </c>
      <c r="C668" s="47" t="str">
        <f>'Project Stocktaking Template'!H668</f>
        <v>GarissaTownship</v>
      </c>
      <c r="D668" s="47" t="str">
        <f>'Project Stocktaking Template'!I668</f>
        <v>Township</v>
      </c>
      <c r="E668" s="48" t="str">
        <f>'Project Stocktaking Template'!O668</f>
        <v>1st aug 2024</v>
      </c>
      <c r="F668" s="48" t="str">
        <f>'Project Stocktaking Template'!P668</f>
        <v>30th june 2025</v>
      </c>
      <c r="G668" s="48" t="str">
        <f>'Project Stocktaking Template'!Q668</f>
        <v>30th june 2025</v>
      </c>
      <c r="H668" s="49">
        <f>'Project Stocktaking Template'!R668</f>
        <v>300000</v>
      </c>
      <c r="I668" s="50" t="str">
        <f>'Project Stocktaking Template'!AD668</f>
        <v/>
      </c>
      <c r="J668" s="45"/>
      <c r="K668" s="45"/>
      <c r="L668" s="45"/>
      <c r="M668" s="45"/>
      <c r="N668" s="45"/>
      <c r="O668" s="45"/>
      <c r="P668" s="45"/>
      <c r="Q668" s="45"/>
      <c r="R668" s="45"/>
      <c r="S668" s="45"/>
      <c r="T668" s="45"/>
      <c r="U668" s="45"/>
      <c r="V668" s="45"/>
      <c r="W668" s="45"/>
      <c r="X668" s="45"/>
      <c r="Y668" s="45"/>
      <c r="Z668" s="45"/>
    </row>
    <row r="669">
      <c r="A669" s="51">
        <v>668.0</v>
      </c>
      <c r="B669" s="47" t="str">
        <f>'Project Stocktaking Template'!B669</f>
        <v>CONSTRUCTION OF CHAINLINK FENCE AT DUJIS DISPENSARY</v>
      </c>
      <c r="C669" s="47" t="str">
        <f>'Project Stocktaking Template'!H669</f>
        <v>GarissaTownship</v>
      </c>
      <c r="D669" s="47" t="str">
        <f>'Project Stocktaking Template'!I669</f>
        <v>Township</v>
      </c>
      <c r="E669" s="48" t="str">
        <f>'Project Stocktaking Template'!O669</f>
        <v>1st aug 2024</v>
      </c>
      <c r="F669" s="48" t="str">
        <f>'Project Stocktaking Template'!P669</f>
        <v>30th june 2025</v>
      </c>
      <c r="G669" s="48" t="str">
        <f>'Project Stocktaking Template'!Q669</f>
        <v>30th june 2025</v>
      </c>
      <c r="H669" s="49">
        <f>'Project Stocktaking Template'!R669</f>
        <v>500000</v>
      </c>
      <c r="I669" s="50" t="str">
        <f>'Project Stocktaking Template'!AD669</f>
        <v/>
      </c>
      <c r="J669" s="45"/>
      <c r="K669" s="45"/>
      <c r="L669" s="45"/>
      <c r="M669" s="45"/>
      <c r="N669" s="45"/>
      <c r="O669" s="45"/>
      <c r="P669" s="45"/>
      <c r="Q669" s="45"/>
      <c r="R669" s="45"/>
      <c r="S669" s="45"/>
      <c r="T669" s="45"/>
      <c r="U669" s="45"/>
      <c r="V669" s="45"/>
      <c r="W669" s="45"/>
      <c r="X669" s="45"/>
      <c r="Y669" s="45"/>
      <c r="Z669" s="45"/>
    </row>
    <row r="670">
      <c r="A670" s="46">
        <v>669.0</v>
      </c>
      <c r="B670" s="47" t="str">
        <f>'Project Stocktaking Template'!B670</f>
        <v>CONSTRUCTION OF CHAINLINK FENCE AT DUJIS DISPENSARY</v>
      </c>
      <c r="C670" s="47" t="str">
        <f>'Project Stocktaking Template'!H670</f>
        <v>GarissaTownship</v>
      </c>
      <c r="D670" s="47" t="str">
        <f>'Project Stocktaking Template'!I670</f>
        <v>Township</v>
      </c>
      <c r="E670" s="48" t="str">
        <f>'Project Stocktaking Template'!O670</f>
        <v>1st aug 2024</v>
      </c>
      <c r="F670" s="48" t="str">
        <f>'Project Stocktaking Template'!P670</f>
        <v>30th june 2025</v>
      </c>
      <c r="G670" s="48" t="str">
        <f>'Project Stocktaking Template'!Q670</f>
        <v>30th june 2025</v>
      </c>
      <c r="H670" s="49">
        <f>'Project Stocktaking Template'!R670</f>
        <v>500000</v>
      </c>
      <c r="I670" s="50" t="str">
        <f>'Project Stocktaking Template'!AD670</f>
        <v/>
      </c>
      <c r="J670" s="45"/>
      <c r="K670" s="45"/>
      <c r="L670" s="45"/>
      <c r="M670" s="45"/>
      <c r="N670" s="45"/>
      <c r="O670" s="45"/>
      <c r="P670" s="45"/>
      <c r="Q670" s="45"/>
      <c r="R670" s="45"/>
      <c r="S670" s="45"/>
      <c r="T670" s="45"/>
      <c r="U670" s="45"/>
      <c r="V670" s="45"/>
      <c r="W670" s="45"/>
      <c r="X670" s="45"/>
      <c r="Y670" s="45"/>
      <c r="Z670" s="45"/>
    </row>
    <row r="671">
      <c r="A671" s="51">
        <v>670.0</v>
      </c>
      <c r="B671" s="47" t="str">
        <f>'Project Stocktaking Template'!B671</f>
        <v>RENNOVATION AND IMPROVEMENT OF LIBOI HEALTH CENTRE</v>
      </c>
      <c r="C671" s="47" t="str">
        <f>'Project Stocktaking Template'!H671</f>
        <v>Dadaab</v>
      </c>
      <c r="D671" s="47" t="str">
        <f>'Project Stocktaking Template'!I671</f>
        <v>Liboi</v>
      </c>
      <c r="E671" s="48" t="str">
        <f>'Project Stocktaking Template'!O671</f>
        <v>1st aug 2024</v>
      </c>
      <c r="F671" s="48" t="str">
        <f>'Project Stocktaking Template'!P671</f>
        <v>30th june 2025</v>
      </c>
      <c r="G671" s="48" t="str">
        <f>'Project Stocktaking Template'!Q671</f>
        <v>30th june 2025</v>
      </c>
      <c r="H671" s="49">
        <f>'Project Stocktaking Template'!R671</f>
        <v>550000</v>
      </c>
      <c r="I671" s="50" t="str">
        <f>'Project Stocktaking Template'!AD671</f>
        <v/>
      </c>
      <c r="J671" s="45"/>
      <c r="K671" s="45"/>
      <c r="L671" s="45"/>
      <c r="M671" s="45"/>
      <c r="N671" s="45"/>
      <c r="O671" s="45"/>
      <c r="P671" s="45"/>
      <c r="Q671" s="45"/>
      <c r="R671" s="45"/>
      <c r="S671" s="45"/>
      <c r="T671" s="45"/>
      <c r="U671" s="45"/>
      <c r="V671" s="45"/>
      <c r="W671" s="45"/>
      <c r="X671" s="45"/>
      <c r="Y671" s="45"/>
      <c r="Z671" s="45"/>
    </row>
    <row r="672">
      <c r="A672" s="46">
        <v>671.0</v>
      </c>
      <c r="B672" s="47" t="str">
        <f>'Project Stocktaking Template'!B672</f>
        <v>CONSTRUCTION OF CHAINLINK FENCE AT BANANE AP CAMP</v>
      </c>
      <c r="C672" s="47" t="str">
        <f>'Project Stocktaking Template'!H672</f>
        <v>GarissaTownship</v>
      </c>
      <c r="D672" s="47" t="str">
        <f>'Project Stocktaking Template'!I672</f>
        <v>Galbet</v>
      </c>
      <c r="E672" s="48" t="str">
        <f>'Project Stocktaking Template'!O672</f>
        <v>1st aug 2024</v>
      </c>
      <c r="F672" s="48" t="str">
        <f>'Project Stocktaking Template'!P672</f>
        <v>30th june 2025</v>
      </c>
      <c r="G672" s="48" t="str">
        <f>'Project Stocktaking Template'!Q672</f>
        <v>30th june 2025</v>
      </c>
      <c r="H672" s="49">
        <f>'Project Stocktaking Template'!R672</f>
        <v>500000</v>
      </c>
      <c r="I672" s="50" t="str">
        <f>'Project Stocktaking Template'!AD672</f>
        <v/>
      </c>
      <c r="J672" s="45"/>
      <c r="K672" s="45"/>
      <c r="L672" s="45"/>
      <c r="M672" s="45"/>
      <c r="N672" s="45"/>
      <c r="O672" s="45"/>
      <c r="P672" s="45"/>
      <c r="Q672" s="45"/>
      <c r="R672" s="45"/>
      <c r="S672" s="45"/>
      <c r="T672" s="45"/>
      <c r="U672" s="45"/>
      <c r="V672" s="45"/>
      <c r="W672" s="45"/>
      <c r="X672" s="45"/>
      <c r="Y672" s="45"/>
      <c r="Z672" s="45"/>
    </row>
    <row r="673">
      <c r="A673" s="51">
        <v>672.0</v>
      </c>
      <c r="B673" s="47" t="str">
        <f>'Project Stocktaking Template'!B673</f>
        <v>CONSTRUCTION OF NEW WILDLIFE WATER PAN RIIG RICHO FAFI</v>
      </c>
      <c r="C673" s="47" t="str">
        <f>'Project Stocktaking Template'!H673</f>
        <v>GarissaTownship</v>
      </c>
      <c r="D673" s="47" t="str">
        <f>'Project Stocktaking Template'!I673</f>
        <v>Galbet</v>
      </c>
      <c r="E673" s="48" t="str">
        <f>'Project Stocktaking Template'!O673</f>
        <v>1st aug 2024</v>
      </c>
      <c r="F673" s="48" t="str">
        <f>'Project Stocktaking Template'!P673</f>
        <v>30th june 2025</v>
      </c>
      <c r="G673" s="48" t="str">
        <f>'Project Stocktaking Template'!Q673</f>
        <v>30th june 2025</v>
      </c>
      <c r="H673" s="49">
        <f>'Project Stocktaking Template'!R673</f>
        <v>500000</v>
      </c>
      <c r="I673" s="50" t="str">
        <f>'Project Stocktaking Template'!AD673</f>
        <v/>
      </c>
      <c r="J673" s="45"/>
      <c r="K673" s="45"/>
      <c r="L673" s="45"/>
      <c r="M673" s="45"/>
      <c r="N673" s="45"/>
      <c r="O673" s="45"/>
      <c r="P673" s="45"/>
      <c r="Q673" s="45"/>
      <c r="R673" s="45"/>
      <c r="S673" s="45"/>
      <c r="T673" s="45"/>
      <c r="U673" s="45"/>
      <c r="V673" s="45"/>
      <c r="W673" s="45"/>
      <c r="X673" s="45"/>
      <c r="Y673" s="45"/>
      <c r="Z673" s="45"/>
    </row>
    <row r="674">
      <c r="A674" s="46">
        <v>673.0</v>
      </c>
      <c r="B674" s="47" t="str">
        <f>'Project Stocktaking Template'!B674</f>
        <v>CONSTRUCTION OF WILD LIFE CHAILINK FENCE AT SABENA</v>
      </c>
      <c r="C674" s="47" t="str">
        <f>'Project Stocktaking Template'!H674</f>
        <v>GarissaTownship</v>
      </c>
      <c r="D674" s="47" t="str">
        <f>'Project Stocktaking Template'!I674</f>
        <v>Township</v>
      </c>
      <c r="E674" s="48" t="str">
        <f>'Project Stocktaking Template'!O674</f>
        <v>1st aug 2024</v>
      </c>
      <c r="F674" s="48" t="str">
        <f>'Project Stocktaking Template'!P674</f>
        <v>30th june 2025</v>
      </c>
      <c r="G674" s="48" t="str">
        <f>'Project Stocktaking Template'!Q674</f>
        <v>30th june 2025</v>
      </c>
      <c r="H674" s="49">
        <f>'Project Stocktaking Template'!R674</f>
        <v>400000</v>
      </c>
      <c r="I674" s="50" t="str">
        <f>'Project Stocktaking Template'!AD674</f>
        <v/>
      </c>
      <c r="J674" s="45"/>
      <c r="K674" s="45"/>
      <c r="L674" s="45"/>
      <c r="M674" s="45"/>
      <c r="N674" s="45"/>
      <c r="O674" s="45"/>
      <c r="P674" s="45"/>
      <c r="Q674" s="45"/>
      <c r="R674" s="45"/>
      <c r="S674" s="45"/>
      <c r="T674" s="45"/>
      <c r="U674" s="45"/>
      <c r="V674" s="45"/>
      <c r="W674" s="45"/>
      <c r="X674" s="45"/>
      <c r="Y674" s="45"/>
      <c r="Z674" s="45"/>
    </row>
    <row r="675">
      <c r="A675" s="51">
        <v>674.0</v>
      </c>
      <c r="B675" s="47" t="str">
        <f>'Project Stocktaking Template'!B675</f>
        <v>CONSTRUCTION OF WILD LIFE CHAILINK FENCE AT SABENA</v>
      </c>
      <c r="C675" s="47" t="str">
        <f>'Project Stocktaking Template'!H675</f>
        <v>GarissaTownship</v>
      </c>
      <c r="D675" s="47" t="str">
        <f>'Project Stocktaking Template'!I675</f>
        <v>Township</v>
      </c>
      <c r="E675" s="48" t="str">
        <f>'Project Stocktaking Template'!O675</f>
        <v>1st aug 2024</v>
      </c>
      <c r="F675" s="48" t="str">
        <f>'Project Stocktaking Template'!P675</f>
        <v>30th june 2025</v>
      </c>
      <c r="G675" s="48" t="str">
        <f>'Project Stocktaking Template'!Q675</f>
        <v>30th june 2025</v>
      </c>
      <c r="H675" s="49">
        <f>'Project Stocktaking Template'!R675</f>
        <v>1000000</v>
      </c>
      <c r="I675" s="50" t="str">
        <f>'Project Stocktaking Template'!AD675</f>
        <v/>
      </c>
      <c r="J675" s="45"/>
      <c r="K675" s="45"/>
      <c r="L675" s="45"/>
      <c r="M675" s="45"/>
      <c r="N675" s="45"/>
      <c r="O675" s="45"/>
      <c r="P675" s="45"/>
      <c r="Q675" s="45"/>
      <c r="R675" s="45"/>
      <c r="S675" s="45"/>
      <c r="T675" s="45"/>
      <c r="U675" s="45"/>
      <c r="V675" s="45"/>
      <c r="W675" s="45"/>
      <c r="X675" s="45"/>
      <c r="Y675" s="45"/>
      <c r="Z675" s="45"/>
    </row>
    <row r="676">
      <c r="A676" s="46">
        <v>675.0</v>
      </c>
      <c r="B676" s="47" t="str">
        <f>'Project Stocktaking Template'!B676</f>
        <v>DESILTING AND FENCING OF AHMED QALOW WATER PAN IN DADAAB</v>
      </c>
      <c r="C676" s="47" t="str">
        <f>'Project Stocktaking Template'!H676</f>
        <v>Dadaab</v>
      </c>
      <c r="D676" s="47" t="str">
        <f>'Project Stocktaking Template'!I676</f>
        <v>Dadaab</v>
      </c>
      <c r="E676" s="48" t="str">
        <f>'Project Stocktaking Template'!O676</f>
        <v>1st aug 2024</v>
      </c>
      <c r="F676" s="48" t="str">
        <f>'Project Stocktaking Template'!P676</f>
        <v>30th june 2025</v>
      </c>
      <c r="G676" s="48" t="str">
        <f>'Project Stocktaking Template'!Q676</f>
        <v>30th june 2025</v>
      </c>
      <c r="H676" s="49">
        <f>'Project Stocktaking Template'!R676</f>
        <v>500000</v>
      </c>
      <c r="I676" s="50" t="str">
        <f>'Project Stocktaking Template'!AD676</f>
        <v/>
      </c>
      <c r="J676" s="45"/>
      <c r="K676" s="45"/>
      <c r="L676" s="45"/>
      <c r="M676" s="45"/>
      <c r="N676" s="45"/>
      <c r="O676" s="45"/>
      <c r="P676" s="45"/>
      <c r="Q676" s="45"/>
      <c r="R676" s="45"/>
      <c r="S676" s="45"/>
      <c r="T676" s="45"/>
      <c r="U676" s="45"/>
      <c r="V676" s="45"/>
      <c r="W676" s="45"/>
      <c r="X676" s="45"/>
      <c r="Y676" s="45"/>
      <c r="Z676" s="45"/>
    </row>
    <row r="677">
      <c r="A677" s="51">
        <v>676.0</v>
      </c>
      <c r="B677" s="47" t="str">
        <f>'Project Stocktaking Template'!B677</f>
        <v>DESILTING AND FENCING OF AHMED QALOW WATER PAN IN DADAAB</v>
      </c>
      <c r="C677" s="47" t="str">
        <f>'Project Stocktaking Template'!H677</f>
        <v>Dadaab</v>
      </c>
      <c r="D677" s="47" t="str">
        <f>'Project Stocktaking Template'!I677</f>
        <v>Dadaab</v>
      </c>
      <c r="E677" s="48" t="str">
        <f>'Project Stocktaking Template'!O677</f>
        <v>1st aug 2024</v>
      </c>
      <c r="F677" s="48" t="str">
        <f>'Project Stocktaking Template'!P677</f>
        <v>30th june 2025</v>
      </c>
      <c r="G677" s="48" t="str">
        <f>'Project Stocktaking Template'!Q677</f>
        <v>30th june 2025</v>
      </c>
      <c r="H677" s="49">
        <f>'Project Stocktaking Template'!R677</f>
        <v>600000</v>
      </c>
      <c r="I677" s="50" t="str">
        <f>'Project Stocktaking Template'!AD677</f>
        <v/>
      </c>
      <c r="J677" s="45"/>
      <c r="K677" s="45"/>
      <c r="L677" s="45"/>
      <c r="M677" s="45"/>
      <c r="N677" s="45"/>
      <c r="O677" s="45"/>
      <c r="P677" s="45"/>
      <c r="Q677" s="45"/>
      <c r="R677" s="45"/>
      <c r="S677" s="45"/>
      <c r="T677" s="45"/>
      <c r="U677" s="45"/>
      <c r="V677" s="45"/>
      <c r="W677" s="45"/>
      <c r="X677" s="45"/>
      <c r="Y677" s="45"/>
      <c r="Z677" s="45"/>
    </row>
    <row r="678">
      <c r="A678" s="46">
        <v>677.0</v>
      </c>
      <c r="B678" s="47" t="str">
        <f>'Project Stocktaking Template'!B678</f>
        <v>CONSTRUCTION OF SHALLOW WELL AT KUNO BALAMBALA</v>
      </c>
      <c r="C678" s="47" t="str">
        <f>'Project Stocktaking Template'!H678</f>
        <v>Balambala</v>
      </c>
      <c r="D678" s="47" t="str">
        <f>'Project Stocktaking Template'!I678</f>
        <v>Balambala</v>
      </c>
      <c r="E678" s="48" t="str">
        <f>'Project Stocktaking Template'!O678</f>
        <v>1st aug 2024</v>
      </c>
      <c r="F678" s="48" t="str">
        <f>'Project Stocktaking Template'!P678</f>
        <v>30th june 2025</v>
      </c>
      <c r="G678" s="48" t="str">
        <f>'Project Stocktaking Template'!Q678</f>
        <v>30th june 2025</v>
      </c>
      <c r="H678" s="49">
        <f>'Project Stocktaking Template'!R678</f>
        <v>500000</v>
      </c>
      <c r="I678" s="50" t="str">
        <f>'Project Stocktaking Template'!AD678</f>
        <v/>
      </c>
      <c r="J678" s="45"/>
      <c r="K678" s="45"/>
      <c r="L678" s="45"/>
      <c r="M678" s="45"/>
      <c r="N678" s="45"/>
      <c r="O678" s="45"/>
      <c r="P678" s="45"/>
      <c r="Q678" s="45"/>
      <c r="R678" s="45"/>
      <c r="S678" s="45"/>
      <c r="T678" s="45"/>
      <c r="U678" s="45"/>
      <c r="V678" s="45"/>
      <c r="W678" s="45"/>
      <c r="X678" s="45"/>
      <c r="Y678" s="45"/>
      <c r="Z678" s="45"/>
    </row>
    <row r="679">
      <c r="A679" s="51">
        <v>678.0</v>
      </c>
      <c r="B679" s="47" t="str">
        <f>'Project Stocktaking Template'!B679</f>
        <v>CONSTRUCTION OF DINING HALL AT DAIDADI PRIMARY</v>
      </c>
      <c r="C679" s="47" t="str">
        <f>'Project Stocktaking Template'!H679</f>
        <v>GarissaTownship</v>
      </c>
      <c r="D679" s="47" t="str">
        <f>'Project Stocktaking Template'!I679</f>
        <v>Township</v>
      </c>
      <c r="E679" s="48" t="str">
        <f>'Project Stocktaking Template'!O679</f>
        <v>1st aug 2024</v>
      </c>
      <c r="F679" s="48" t="str">
        <f>'Project Stocktaking Template'!P679</f>
        <v>30th june 2025</v>
      </c>
      <c r="G679" s="48" t="str">
        <f>'Project Stocktaking Template'!Q679</f>
        <v>30th june 2025</v>
      </c>
      <c r="H679" s="49">
        <f>'Project Stocktaking Template'!R679</f>
        <v>1300000</v>
      </c>
      <c r="I679" s="50" t="str">
        <f>'Project Stocktaking Template'!AD679</f>
        <v/>
      </c>
      <c r="J679" s="45"/>
      <c r="K679" s="45"/>
      <c r="L679" s="45"/>
      <c r="M679" s="45"/>
      <c r="N679" s="45"/>
      <c r="O679" s="45"/>
      <c r="P679" s="45"/>
      <c r="Q679" s="45"/>
      <c r="R679" s="45"/>
      <c r="S679" s="45"/>
      <c r="T679" s="45"/>
      <c r="U679" s="45"/>
      <c r="V679" s="45"/>
      <c r="W679" s="45"/>
      <c r="X679" s="45"/>
      <c r="Y679" s="45"/>
      <c r="Z679" s="45"/>
    </row>
    <row r="680">
      <c r="A680" s="46">
        <v>679.0</v>
      </c>
      <c r="B680" s="47" t="str">
        <f>'Project Stocktaking Template'!B680</f>
        <v>CONSTRUCTION OF NEW WATER AT MADAH GISI</v>
      </c>
      <c r="C680" s="47" t="str">
        <f>'Project Stocktaking Template'!H680</f>
        <v>GarissaTownship</v>
      </c>
      <c r="D680" s="47" t="str">
        <f>'Project Stocktaking Template'!I680</f>
        <v>Township</v>
      </c>
      <c r="E680" s="48" t="str">
        <f>'Project Stocktaking Template'!O680</f>
        <v>1st aug 2024</v>
      </c>
      <c r="F680" s="48" t="str">
        <f>'Project Stocktaking Template'!P680</f>
        <v>30th june 2025</v>
      </c>
      <c r="G680" s="48" t="str">
        <f>'Project Stocktaking Template'!Q680</f>
        <v>30th june 2025</v>
      </c>
      <c r="H680" s="49">
        <f>'Project Stocktaking Template'!R680</f>
        <v>1200000</v>
      </c>
      <c r="I680" s="50" t="str">
        <f>'Project Stocktaking Template'!AD680</f>
        <v/>
      </c>
      <c r="J680" s="45"/>
      <c r="K680" s="45"/>
      <c r="L680" s="45"/>
      <c r="M680" s="45"/>
      <c r="N680" s="45"/>
      <c r="O680" s="45"/>
      <c r="P680" s="45"/>
      <c r="Q680" s="45"/>
      <c r="R680" s="45"/>
      <c r="S680" s="45"/>
      <c r="T680" s="45"/>
      <c r="U680" s="45"/>
      <c r="V680" s="45"/>
      <c r="W680" s="45"/>
      <c r="X680" s="45"/>
      <c r="Y680" s="45"/>
      <c r="Z680" s="45"/>
    </row>
    <row r="681">
      <c r="A681" s="51">
        <v>680.0</v>
      </c>
      <c r="B681" s="47" t="str">
        <f>'Project Stocktaking Template'!B681</f>
        <v>CONSTRUCTION OF NEW WILDLIFE WATER PAN ATSARAKA GULL CENTRE\</v>
      </c>
      <c r="C681" s="47" t="str">
        <f>'Project Stocktaking Template'!H681</f>
        <v>GarissaTownship</v>
      </c>
      <c r="D681" s="47" t="str">
        <f>'Project Stocktaking Template'!I681</f>
        <v>Township</v>
      </c>
      <c r="E681" s="48" t="str">
        <f>'Project Stocktaking Template'!O681</f>
        <v>1st aug 2024</v>
      </c>
      <c r="F681" s="48" t="str">
        <f>'Project Stocktaking Template'!P681</f>
        <v>30th june 2025</v>
      </c>
      <c r="G681" s="48" t="str">
        <f>'Project Stocktaking Template'!Q681</f>
        <v>30th june 2025</v>
      </c>
      <c r="H681" s="49">
        <f>'Project Stocktaking Template'!R681</f>
        <v>1500000</v>
      </c>
      <c r="I681" s="50" t="str">
        <f>'Project Stocktaking Template'!AD681</f>
        <v/>
      </c>
      <c r="J681" s="45"/>
      <c r="K681" s="45"/>
      <c r="L681" s="45"/>
      <c r="M681" s="45"/>
      <c r="N681" s="45"/>
      <c r="O681" s="45"/>
      <c r="P681" s="45"/>
      <c r="Q681" s="45"/>
      <c r="R681" s="45"/>
      <c r="S681" s="45"/>
      <c r="T681" s="45"/>
      <c r="U681" s="45"/>
      <c r="V681" s="45"/>
      <c r="W681" s="45"/>
      <c r="X681" s="45"/>
      <c r="Y681" s="45"/>
      <c r="Z681" s="45"/>
    </row>
    <row r="682">
      <c r="A682" s="46">
        <v>681.0</v>
      </c>
      <c r="B682" s="47" t="str">
        <f>'Project Stocktaking Template'!B682</f>
        <v>RENNOVATION OF WORKS AT BULLA MZURI</v>
      </c>
      <c r="C682" s="47" t="str">
        <f>'Project Stocktaking Template'!H682</f>
        <v>GarissaTownship</v>
      </c>
      <c r="D682" s="47" t="str">
        <f>'Project Stocktaking Template'!I682</f>
        <v>Waberi</v>
      </c>
      <c r="E682" s="48" t="str">
        <f>'Project Stocktaking Template'!O682</f>
        <v>1st aug 2024</v>
      </c>
      <c r="F682" s="48" t="str">
        <f>'Project Stocktaking Template'!P682</f>
        <v>30th june 2025</v>
      </c>
      <c r="G682" s="48" t="str">
        <f>'Project Stocktaking Template'!Q682</f>
        <v>30th june 2025</v>
      </c>
      <c r="H682" s="49">
        <f>'Project Stocktaking Template'!R682</f>
        <v>500000</v>
      </c>
      <c r="I682" s="50" t="str">
        <f>'Project Stocktaking Template'!AD682</f>
        <v/>
      </c>
      <c r="J682" s="45"/>
      <c r="K682" s="45"/>
      <c r="L682" s="45"/>
      <c r="M682" s="45"/>
      <c r="N682" s="45"/>
      <c r="O682" s="45"/>
      <c r="P682" s="45"/>
      <c r="Q682" s="45"/>
      <c r="R682" s="45"/>
      <c r="S682" s="45"/>
      <c r="T682" s="45"/>
      <c r="U682" s="45"/>
      <c r="V682" s="45"/>
      <c r="W682" s="45"/>
      <c r="X682" s="45"/>
      <c r="Y682" s="45"/>
      <c r="Z682" s="45"/>
    </row>
    <row r="683">
      <c r="A683" s="51">
        <v>682.0</v>
      </c>
      <c r="B683" s="47" t="str">
        <f>'Project Stocktaking Template'!B683</f>
        <v>CHAINLINK FENCE AT BURA SECONDARY</v>
      </c>
      <c r="C683" s="47" t="str">
        <f>'Project Stocktaking Template'!H683</f>
        <v>Fafi</v>
      </c>
      <c r="D683" s="47" t="str">
        <f>'Project Stocktaking Template'!I683</f>
        <v>Bura</v>
      </c>
      <c r="E683" s="48" t="str">
        <f>'Project Stocktaking Template'!O683</f>
        <v>1st aug 2024</v>
      </c>
      <c r="F683" s="48" t="str">
        <f>'Project Stocktaking Template'!P683</f>
        <v>30th june 2025</v>
      </c>
      <c r="G683" s="48" t="str">
        <f>'Project Stocktaking Template'!Q683</f>
        <v>30th june 2025</v>
      </c>
      <c r="H683" s="49">
        <f>'Project Stocktaking Template'!R683</f>
        <v>500000</v>
      </c>
      <c r="I683" s="50" t="str">
        <f>'Project Stocktaking Template'!AD683</f>
        <v/>
      </c>
      <c r="J683" s="45"/>
      <c r="K683" s="45"/>
      <c r="L683" s="45"/>
      <c r="M683" s="45"/>
      <c r="N683" s="45"/>
      <c r="O683" s="45"/>
      <c r="P683" s="45"/>
      <c r="Q683" s="45"/>
      <c r="R683" s="45"/>
      <c r="S683" s="45"/>
      <c r="T683" s="45"/>
      <c r="U683" s="45"/>
      <c r="V683" s="45"/>
      <c r="W683" s="45"/>
      <c r="X683" s="45"/>
      <c r="Y683" s="45"/>
      <c r="Z683" s="45"/>
    </row>
    <row r="684">
      <c r="A684" s="46">
        <v>683.0</v>
      </c>
      <c r="B684" s="47" t="str">
        <f>'Project Stocktaking Template'!B684</f>
        <v>CONSTRUCTION OF MASONANRY PERIMETER WALL</v>
      </c>
      <c r="C684" s="47" t="str">
        <f>'Project Stocktaking Template'!H684</f>
        <v>GarissaTownship</v>
      </c>
      <c r="D684" s="47" t="str">
        <f>'Project Stocktaking Template'!I684</f>
        <v>Township</v>
      </c>
      <c r="E684" s="48" t="str">
        <f>'Project Stocktaking Template'!O684</f>
        <v>1st aug 2024</v>
      </c>
      <c r="F684" s="48" t="str">
        <f>'Project Stocktaking Template'!P684</f>
        <v>30th june 2025</v>
      </c>
      <c r="G684" s="48" t="str">
        <f>'Project Stocktaking Template'!Q684</f>
        <v>30th june 2025</v>
      </c>
      <c r="H684" s="49">
        <f>'Project Stocktaking Template'!R684</f>
        <v>1000000</v>
      </c>
      <c r="I684" s="50" t="str">
        <f>'Project Stocktaking Template'!AD684</f>
        <v/>
      </c>
      <c r="J684" s="45"/>
      <c r="K684" s="45"/>
      <c r="L684" s="45"/>
      <c r="M684" s="45"/>
      <c r="N684" s="45"/>
      <c r="O684" s="45"/>
      <c r="P684" s="45"/>
      <c r="Q684" s="45"/>
      <c r="R684" s="45"/>
      <c r="S684" s="45"/>
      <c r="T684" s="45"/>
      <c r="U684" s="45"/>
      <c r="V684" s="45"/>
      <c r="W684" s="45"/>
      <c r="X684" s="45"/>
      <c r="Y684" s="45"/>
      <c r="Z684" s="45"/>
    </row>
    <row r="685">
      <c r="A685" s="51">
        <v>684.0</v>
      </c>
      <c r="B685" s="47" t="str">
        <f>'Project Stocktaking Template'!B685</f>
        <v>CONSTRUCTION OF MORTUARY AT GCRH</v>
      </c>
      <c r="C685" s="47" t="str">
        <f>'Project Stocktaking Template'!H685</f>
        <v>GarissaTownship</v>
      </c>
      <c r="D685" s="47" t="str">
        <f>'Project Stocktaking Template'!I685</f>
        <v>Township</v>
      </c>
      <c r="E685" s="48" t="str">
        <f>'Project Stocktaking Template'!O685</f>
        <v>1st aug 2024</v>
      </c>
      <c r="F685" s="48" t="str">
        <f>'Project Stocktaking Template'!P685</f>
        <v>30th june 2025</v>
      </c>
      <c r="G685" s="48" t="str">
        <f>'Project Stocktaking Template'!Q685</f>
        <v>30th june 2025</v>
      </c>
      <c r="H685" s="49">
        <f>'Project Stocktaking Template'!R685</f>
        <v>500000</v>
      </c>
      <c r="I685" s="50" t="str">
        <f>'Project Stocktaking Template'!AD685</f>
        <v/>
      </c>
      <c r="J685" s="45"/>
      <c r="K685" s="45"/>
      <c r="L685" s="45"/>
      <c r="M685" s="45"/>
      <c r="N685" s="45"/>
      <c r="O685" s="45"/>
      <c r="P685" s="45"/>
      <c r="Q685" s="45"/>
      <c r="R685" s="45"/>
      <c r="S685" s="45"/>
      <c r="T685" s="45"/>
      <c r="U685" s="45"/>
      <c r="V685" s="45"/>
      <c r="W685" s="45"/>
      <c r="X685" s="45"/>
      <c r="Y685" s="45"/>
      <c r="Z685" s="45"/>
    </row>
    <row r="686">
      <c r="A686" s="46">
        <v>685.0</v>
      </c>
      <c r="B686" s="47" t="str">
        <f>'Project Stocktaking Template'!B686</f>
        <v>SUPPLY AND DELIVERY OF ALUMINIUM SULPHATE</v>
      </c>
      <c r="C686" s="47" t="str">
        <f>'Project Stocktaking Template'!H686</f>
        <v>GarissaTownship</v>
      </c>
      <c r="D686" s="47" t="str">
        <f>'Project Stocktaking Template'!I686</f>
        <v>Township</v>
      </c>
      <c r="E686" s="48" t="str">
        <f>'Project Stocktaking Template'!O686</f>
        <v>1st aug 2024</v>
      </c>
      <c r="F686" s="48" t="str">
        <f>'Project Stocktaking Template'!P686</f>
        <v>30th june 2025</v>
      </c>
      <c r="G686" s="48" t="str">
        <f>'Project Stocktaking Template'!Q686</f>
        <v>30th june 2025</v>
      </c>
      <c r="H686" s="49">
        <f>'Project Stocktaking Template'!R686</f>
        <v>500000</v>
      </c>
      <c r="I686" s="50" t="str">
        <f>'Project Stocktaking Template'!AD686</f>
        <v/>
      </c>
      <c r="J686" s="45"/>
      <c r="K686" s="45"/>
      <c r="L686" s="45"/>
      <c r="M686" s="45"/>
      <c r="N686" s="45"/>
      <c r="O686" s="45"/>
      <c r="P686" s="45"/>
      <c r="Q686" s="45"/>
      <c r="R686" s="45"/>
      <c r="S686" s="45"/>
      <c r="T686" s="45"/>
      <c r="U686" s="45"/>
      <c r="V686" s="45"/>
      <c r="W686" s="45"/>
      <c r="X686" s="45"/>
      <c r="Y686" s="45"/>
      <c r="Z686" s="45"/>
    </row>
    <row r="687">
      <c r="A687" s="51">
        <v>686.0</v>
      </c>
      <c r="B687" s="47" t="str">
        <f>'Project Stocktaking Template'!B687</f>
        <v>CLEARING AND UPGRADING OF MARE DAROW</v>
      </c>
      <c r="C687" s="47" t="str">
        <f>'Project Stocktaking Template'!H687</f>
        <v>GarissaTownship</v>
      </c>
      <c r="D687" s="47" t="str">
        <f>'Project Stocktaking Template'!I687</f>
        <v>Township</v>
      </c>
      <c r="E687" s="48" t="str">
        <f>'Project Stocktaking Template'!O687</f>
        <v>1st aug 2024</v>
      </c>
      <c r="F687" s="48" t="str">
        <f>'Project Stocktaking Template'!P687</f>
        <v>30th june 2025</v>
      </c>
      <c r="G687" s="48" t="str">
        <f>'Project Stocktaking Template'!Q687</f>
        <v>30th june 2025</v>
      </c>
      <c r="H687" s="49">
        <f>'Project Stocktaking Template'!R687</f>
        <v>500000</v>
      </c>
      <c r="I687" s="50" t="str">
        <f>'Project Stocktaking Template'!AD687</f>
        <v/>
      </c>
      <c r="J687" s="45"/>
      <c r="K687" s="45"/>
      <c r="L687" s="45"/>
      <c r="M687" s="45"/>
      <c r="N687" s="45"/>
      <c r="O687" s="45"/>
      <c r="P687" s="45"/>
      <c r="Q687" s="45"/>
      <c r="R687" s="45"/>
      <c r="S687" s="45"/>
      <c r="T687" s="45"/>
      <c r="U687" s="45"/>
      <c r="V687" s="45"/>
      <c r="W687" s="45"/>
      <c r="X687" s="45"/>
      <c r="Y687" s="45"/>
      <c r="Z687" s="45"/>
    </row>
    <row r="688">
      <c r="A688" s="46">
        <v>687.0</v>
      </c>
      <c r="B688" s="47" t="str">
        <f>'Project Stocktaking Template'!B688</f>
        <v>CONSTRUCTION OF NEW WATER AT RUQA FAFI SUB COUNTY</v>
      </c>
      <c r="C688" s="47" t="str">
        <f>'Project Stocktaking Template'!H688</f>
        <v>Fafi</v>
      </c>
      <c r="D688" s="47" t="str">
        <f>'Project Stocktaking Template'!I688</f>
        <v>Fafi</v>
      </c>
      <c r="E688" s="48" t="str">
        <f>'Project Stocktaking Template'!O688</f>
        <v>1st aug 2024</v>
      </c>
      <c r="F688" s="48" t="str">
        <f>'Project Stocktaking Template'!P688</f>
        <v>30th june 2025</v>
      </c>
      <c r="G688" s="48" t="str">
        <f>'Project Stocktaking Template'!Q688</f>
        <v>30th june 2025</v>
      </c>
      <c r="H688" s="49">
        <f>'Project Stocktaking Template'!R688</f>
        <v>660000</v>
      </c>
      <c r="I688" s="50" t="str">
        <f>'Project Stocktaking Template'!AD688</f>
        <v/>
      </c>
      <c r="J688" s="45"/>
      <c r="K688" s="45"/>
      <c r="L688" s="45"/>
      <c r="M688" s="45"/>
      <c r="N688" s="45"/>
      <c r="O688" s="45"/>
      <c r="P688" s="45"/>
      <c r="Q688" s="45"/>
      <c r="R688" s="45"/>
      <c r="S688" s="45"/>
      <c r="T688" s="45"/>
      <c r="U688" s="45"/>
      <c r="V688" s="45"/>
      <c r="W688" s="45"/>
      <c r="X688" s="45"/>
      <c r="Y688" s="45"/>
      <c r="Z688" s="45"/>
    </row>
    <row r="689">
      <c r="A689" s="51">
        <v>688.0</v>
      </c>
      <c r="B689" s="47" t="str">
        <f>'Project Stocktaking Template'!B689</f>
        <v>CONSTRUCCTION OF NEW WATER PAN</v>
      </c>
      <c r="C689" s="47" t="str">
        <f>'Project Stocktaking Template'!H689</f>
        <v>GarissaTownship</v>
      </c>
      <c r="D689" s="47" t="str">
        <f>'Project Stocktaking Template'!I689</f>
        <v>Township</v>
      </c>
      <c r="E689" s="48" t="str">
        <f>'Project Stocktaking Template'!O689</f>
        <v>1st aug 2024</v>
      </c>
      <c r="F689" s="48" t="str">
        <f>'Project Stocktaking Template'!P689</f>
        <v>30th june 2025</v>
      </c>
      <c r="G689" s="48" t="str">
        <f>'Project Stocktaking Template'!Q689</f>
        <v>30th june 2025</v>
      </c>
      <c r="H689" s="49">
        <f>'Project Stocktaking Template'!R689</f>
        <v>500000</v>
      </c>
      <c r="I689" s="50" t="str">
        <f>'Project Stocktaking Template'!AD689</f>
        <v/>
      </c>
      <c r="J689" s="45"/>
      <c r="K689" s="45"/>
      <c r="L689" s="45"/>
      <c r="M689" s="45"/>
      <c r="N689" s="45"/>
      <c r="O689" s="45"/>
      <c r="P689" s="45"/>
      <c r="Q689" s="45"/>
      <c r="R689" s="45"/>
      <c r="S689" s="45"/>
      <c r="T689" s="45"/>
      <c r="U689" s="45"/>
      <c r="V689" s="45"/>
      <c r="W689" s="45"/>
      <c r="X689" s="45"/>
      <c r="Y689" s="45"/>
      <c r="Z689" s="45"/>
    </row>
    <row r="690">
      <c r="A690" s="46">
        <v>689.0</v>
      </c>
      <c r="B690" s="47" t="str">
        <f>'Project Stocktaking Template'!B690</f>
        <v>MAINTAINANCE OF DOGOB RAHOLE ROAD</v>
      </c>
      <c r="C690" s="47" t="str">
        <f>'Project Stocktaking Template'!H690</f>
        <v>GarissaTownship</v>
      </c>
      <c r="D690" s="47" t="str">
        <f>'Project Stocktaking Template'!I690</f>
        <v>Balambala</v>
      </c>
      <c r="E690" s="48" t="str">
        <f>'Project Stocktaking Template'!O690</f>
        <v>1st aug 2024</v>
      </c>
      <c r="F690" s="48" t="str">
        <f>'Project Stocktaking Template'!P690</f>
        <v>30th june 2025</v>
      </c>
      <c r="G690" s="48" t="str">
        <f>'Project Stocktaking Template'!Q690</f>
        <v>30th june 2025</v>
      </c>
      <c r="H690" s="49">
        <f>'Project Stocktaking Template'!R690</f>
        <v>800000</v>
      </c>
      <c r="I690" s="50" t="str">
        <f>'Project Stocktaking Template'!AD690</f>
        <v/>
      </c>
      <c r="J690" s="45"/>
      <c r="K690" s="45"/>
      <c r="L690" s="45"/>
      <c r="M690" s="45"/>
      <c r="N690" s="45"/>
      <c r="O690" s="45"/>
      <c r="P690" s="45"/>
      <c r="Q690" s="45"/>
      <c r="R690" s="45"/>
      <c r="S690" s="45"/>
      <c r="T690" s="45"/>
      <c r="U690" s="45"/>
      <c r="V690" s="45"/>
      <c r="W690" s="45"/>
      <c r="X690" s="45"/>
      <c r="Y690" s="45"/>
      <c r="Z690" s="45"/>
    </row>
    <row r="691">
      <c r="A691" s="51">
        <v>690.0</v>
      </c>
      <c r="B691" s="47" t="str">
        <f>'Project Stocktaking Template'!B691</f>
        <v>CONSTRUCTION ECD CLASSROOM AT HAMEY PRIMARY</v>
      </c>
      <c r="C691" s="47" t="str">
        <f>'Project Stocktaking Template'!H691</f>
        <v>Fafi</v>
      </c>
      <c r="D691" s="47" t="str">
        <f>'Project Stocktaking Template'!I691</f>
        <v>Bura</v>
      </c>
      <c r="E691" s="48" t="str">
        <f>'Project Stocktaking Template'!O691</f>
        <v>1st aug 2024</v>
      </c>
      <c r="F691" s="48" t="str">
        <f>'Project Stocktaking Template'!P691</f>
        <v>30th june 2025</v>
      </c>
      <c r="G691" s="48" t="str">
        <f>'Project Stocktaking Template'!Q691</f>
        <v>30th june 2025</v>
      </c>
      <c r="H691" s="49">
        <f>'Project Stocktaking Template'!R691</f>
        <v>300000</v>
      </c>
      <c r="I691" s="50" t="str">
        <f>'Project Stocktaking Template'!AD691</f>
        <v/>
      </c>
      <c r="J691" s="45"/>
      <c r="K691" s="45"/>
      <c r="L691" s="45"/>
      <c r="M691" s="45"/>
      <c r="N691" s="45"/>
      <c r="O691" s="45"/>
      <c r="P691" s="45"/>
      <c r="Q691" s="45"/>
      <c r="R691" s="45"/>
      <c r="S691" s="45"/>
      <c r="T691" s="45"/>
      <c r="U691" s="45"/>
      <c r="V691" s="45"/>
      <c r="W691" s="45"/>
      <c r="X691" s="45"/>
      <c r="Y691" s="45"/>
      <c r="Z691" s="45"/>
    </row>
    <row r="692">
      <c r="A692" s="46">
        <v>691.0</v>
      </c>
      <c r="B692" s="47" t="str">
        <f>'Project Stocktaking Template'!B692</f>
        <v>EQUIPING OF AL QARSADE BOREHOLE IN DADAAB SUB COUNTY</v>
      </c>
      <c r="C692" s="47" t="str">
        <f>'Project Stocktaking Template'!H692</f>
        <v>Dadaab</v>
      </c>
      <c r="D692" s="47" t="str">
        <f>'Project Stocktaking Template'!I692</f>
        <v>Dadaab</v>
      </c>
      <c r="E692" s="48" t="str">
        <f>'Project Stocktaking Template'!O692</f>
        <v>1st aug 2024</v>
      </c>
      <c r="F692" s="48" t="str">
        <f>'Project Stocktaking Template'!P692</f>
        <v>30th june 2025</v>
      </c>
      <c r="G692" s="48" t="str">
        <f>'Project Stocktaking Template'!Q692</f>
        <v>30th june 2025</v>
      </c>
      <c r="H692" s="49">
        <f>'Project Stocktaking Template'!R692</f>
        <v>500000</v>
      </c>
      <c r="I692" s="50" t="str">
        <f>'Project Stocktaking Template'!AD692</f>
        <v/>
      </c>
      <c r="J692" s="45"/>
      <c r="K692" s="45"/>
      <c r="L692" s="45"/>
      <c r="M692" s="45"/>
      <c r="N692" s="45"/>
      <c r="O692" s="45"/>
      <c r="P692" s="45"/>
      <c r="Q692" s="45"/>
      <c r="R692" s="45"/>
      <c r="S692" s="45"/>
      <c r="T692" s="45"/>
      <c r="U692" s="45"/>
      <c r="V692" s="45"/>
      <c r="W692" s="45"/>
      <c r="X692" s="45"/>
      <c r="Y692" s="45"/>
      <c r="Z692" s="45"/>
    </row>
    <row r="693">
      <c r="A693" s="51">
        <v>692.0</v>
      </c>
      <c r="B693" s="47" t="str">
        <f>'Project Stocktaking Template'!B693</f>
        <v>EQUIPING OF AL QARSADE BOREHOLE IN DADAAB SUB COUNTY</v>
      </c>
      <c r="C693" s="47" t="str">
        <f>'Project Stocktaking Template'!H693</f>
        <v>Dadaab</v>
      </c>
      <c r="D693" s="47" t="str">
        <f>'Project Stocktaking Template'!I693</f>
        <v>Dadaab</v>
      </c>
      <c r="E693" s="48" t="str">
        <f>'Project Stocktaking Template'!O693</f>
        <v>1st aug 2024</v>
      </c>
      <c r="F693" s="48" t="str">
        <f>'Project Stocktaking Template'!P693</f>
        <v>30th june 2025</v>
      </c>
      <c r="G693" s="48" t="str">
        <f>'Project Stocktaking Template'!Q693</f>
        <v>30th june 2025</v>
      </c>
      <c r="H693" s="49">
        <f>'Project Stocktaking Template'!R693</f>
        <v>1000000</v>
      </c>
      <c r="I693" s="50" t="str">
        <f>'Project Stocktaking Template'!AD693</f>
        <v/>
      </c>
      <c r="J693" s="45"/>
      <c r="K693" s="45"/>
      <c r="L693" s="45"/>
      <c r="M693" s="45"/>
      <c r="N693" s="45"/>
      <c r="O693" s="45"/>
      <c r="P693" s="45"/>
      <c r="Q693" s="45"/>
      <c r="R693" s="45"/>
      <c r="S693" s="45"/>
      <c r="T693" s="45"/>
      <c r="U693" s="45"/>
      <c r="V693" s="45"/>
      <c r="W693" s="45"/>
      <c r="X693" s="45"/>
      <c r="Y693" s="45"/>
      <c r="Z693" s="45"/>
    </row>
    <row r="694">
      <c r="A694" s="46">
        <v>693.0</v>
      </c>
      <c r="B694" s="47" t="str">
        <f>'Project Stocktaking Template'!B694</f>
        <v>CONSTRUCTION OF CHAINLINK FENCE AT MAALIM DISPENSARY</v>
      </c>
      <c r="C694" s="47" t="str">
        <f>'Project Stocktaking Template'!H694</f>
        <v>Lagdera</v>
      </c>
      <c r="D694" s="47" t="str">
        <f>'Project Stocktaking Template'!I694</f>
        <v>Maalimin</v>
      </c>
      <c r="E694" s="48" t="str">
        <f>'Project Stocktaking Template'!O694</f>
        <v>1st aug 2024</v>
      </c>
      <c r="F694" s="48" t="str">
        <f>'Project Stocktaking Template'!P694</f>
        <v>30th june 2025</v>
      </c>
      <c r="G694" s="48" t="str">
        <f>'Project Stocktaking Template'!Q694</f>
        <v>30th june 2025</v>
      </c>
      <c r="H694" s="49">
        <f>'Project Stocktaking Template'!R694</f>
        <v>500000</v>
      </c>
      <c r="I694" s="50" t="str">
        <f>'Project Stocktaking Template'!AD694</f>
        <v/>
      </c>
      <c r="J694" s="45"/>
      <c r="K694" s="45"/>
      <c r="L694" s="45"/>
      <c r="M694" s="45"/>
      <c r="N694" s="45"/>
      <c r="O694" s="45"/>
      <c r="P694" s="45"/>
      <c r="Q694" s="45"/>
      <c r="R694" s="45"/>
      <c r="S694" s="45"/>
      <c r="T694" s="45"/>
      <c r="U694" s="45"/>
      <c r="V694" s="45"/>
      <c r="W694" s="45"/>
      <c r="X694" s="45"/>
      <c r="Y694" s="45"/>
      <c r="Z694" s="45"/>
    </row>
    <row r="695">
      <c r="A695" s="51">
        <v>694.0</v>
      </c>
      <c r="B695" s="47" t="str">
        <f>'Project Stocktaking Template'!B695</f>
        <v>CONSTRUCTION OF DISPENSARY ANS STAFF HOUSE BARAKI</v>
      </c>
      <c r="C695" s="47" t="str">
        <f>'Project Stocktaking Template'!H695</f>
        <v>Lagdera</v>
      </c>
      <c r="D695" s="47" t="str">
        <f>'Project Stocktaking Template'!I695</f>
        <v>Baraki</v>
      </c>
      <c r="E695" s="48" t="str">
        <f>'Project Stocktaking Template'!O695</f>
        <v>1st aug 2024</v>
      </c>
      <c r="F695" s="48" t="str">
        <f>'Project Stocktaking Template'!P695</f>
        <v>30th june 2025</v>
      </c>
      <c r="G695" s="48" t="str">
        <f>'Project Stocktaking Template'!Q695</f>
        <v>30th june 2025</v>
      </c>
      <c r="H695" s="49">
        <f>'Project Stocktaking Template'!R695</f>
        <v>550000</v>
      </c>
      <c r="I695" s="50" t="str">
        <f>'Project Stocktaking Template'!AD695</f>
        <v/>
      </c>
      <c r="J695" s="45"/>
      <c r="K695" s="45"/>
      <c r="L695" s="45"/>
      <c r="M695" s="45"/>
      <c r="N695" s="45"/>
      <c r="O695" s="45"/>
      <c r="P695" s="45"/>
      <c r="Q695" s="45"/>
      <c r="R695" s="45"/>
      <c r="S695" s="45"/>
      <c r="T695" s="45"/>
      <c r="U695" s="45"/>
      <c r="V695" s="45"/>
      <c r="W695" s="45"/>
      <c r="X695" s="45"/>
      <c r="Y695" s="45"/>
      <c r="Z695" s="45"/>
    </row>
    <row r="696">
      <c r="A696" s="46">
        <v>695.0</v>
      </c>
      <c r="B696" s="47" t="str">
        <f>'Project Stocktaking Template'!B696</f>
        <v>CONSTRUCTION OF NEW WATER PAN AT SABENA CENTRE HULUGHO SUB COUNTY</v>
      </c>
      <c r="C696" s="47" t="str">
        <f>'Project Stocktaking Template'!H696</f>
        <v>Lagdera</v>
      </c>
      <c r="D696" s="47" t="str">
        <f>'Project Stocktaking Template'!I696</f>
        <v>Sabena</v>
      </c>
      <c r="E696" s="48" t="str">
        <f>'Project Stocktaking Template'!O696</f>
        <v>1st aug 2024</v>
      </c>
      <c r="F696" s="48" t="str">
        <f>'Project Stocktaking Template'!P696</f>
        <v>30th june 2025</v>
      </c>
      <c r="G696" s="48" t="str">
        <f>'Project Stocktaking Template'!Q696</f>
        <v>30th june 2025</v>
      </c>
      <c r="H696" s="49">
        <f>'Project Stocktaking Template'!R696</f>
        <v>500000</v>
      </c>
      <c r="I696" s="50" t="str">
        <f>'Project Stocktaking Template'!AD696</f>
        <v/>
      </c>
      <c r="J696" s="45"/>
      <c r="K696" s="45"/>
      <c r="L696" s="45"/>
      <c r="M696" s="45"/>
      <c r="N696" s="45"/>
      <c r="O696" s="45"/>
      <c r="P696" s="45"/>
      <c r="Q696" s="45"/>
      <c r="R696" s="45"/>
      <c r="S696" s="45"/>
      <c r="T696" s="45"/>
      <c r="U696" s="45"/>
      <c r="V696" s="45"/>
      <c r="W696" s="45"/>
      <c r="X696" s="45"/>
      <c r="Y696" s="45"/>
      <c r="Z696" s="45"/>
    </row>
    <row r="697">
      <c r="A697" s="51">
        <v>696.0</v>
      </c>
      <c r="B697" s="47" t="str">
        <f>'Project Stocktaking Template'!B697</f>
        <v>CONSTRUCTION WATER PAN AT HALUKA </v>
      </c>
      <c r="C697" s="47" t="str">
        <f>'Project Stocktaking Template'!H697</f>
        <v>GarissaTownship</v>
      </c>
      <c r="D697" s="47" t="str">
        <f>'Project Stocktaking Template'!I697</f>
        <v>Township</v>
      </c>
      <c r="E697" s="48" t="str">
        <f>'Project Stocktaking Template'!O697</f>
        <v>1st aug 2024</v>
      </c>
      <c r="F697" s="48" t="str">
        <f>'Project Stocktaking Template'!P697</f>
        <v>30th june 2025</v>
      </c>
      <c r="G697" s="48" t="str">
        <f>'Project Stocktaking Template'!Q697</f>
        <v>30th june 2025</v>
      </c>
      <c r="H697" s="49">
        <f>'Project Stocktaking Template'!R697</f>
        <v>660000</v>
      </c>
      <c r="I697" s="50" t="str">
        <f>'Project Stocktaking Template'!AD697</f>
        <v/>
      </c>
      <c r="J697" s="45"/>
      <c r="K697" s="45"/>
      <c r="L697" s="45"/>
      <c r="M697" s="45"/>
      <c r="N697" s="45"/>
      <c r="O697" s="45"/>
      <c r="P697" s="45"/>
      <c r="Q697" s="45"/>
      <c r="R697" s="45"/>
      <c r="S697" s="45"/>
      <c r="T697" s="45"/>
      <c r="U697" s="45"/>
      <c r="V697" s="45"/>
      <c r="W697" s="45"/>
      <c r="X697" s="45"/>
      <c r="Y697" s="45"/>
      <c r="Z697" s="45"/>
    </row>
    <row r="698">
      <c r="A698" s="46">
        <v>697.0</v>
      </c>
      <c r="B698" s="47" t="str">
        <f>'Project Stocktaking Template'!B698</f>
        <v>CONSTRUCTION OF NEW WATER PAN</v>
      </c>
      <c r="C698" s="47" t="str">
        <f>'Project Stocktaking Template'!H698</f>
        <v>GarissaTownship</v>
      </c>
      <c r="D698" s="47" t="str">
        <f>'Project Stocktaking Template'!I698</f>
        <v>Township</v>
      </c>
      <c r="E698" s="48" t="str">
        <f>'Project Stocktaking Template'!O698</f>
        <v>1st aug 2024</v>
      </c>
      <c r="F698" s="48" t="str">
        <f>'Project Stocktaking Template'!P698</f>
        <v>30th june 2025</v>
      </c>
      <c r="G698" s="48" t="str">
        <f>'Project Stocktaking Template'!Q698</f>
        <v>30th june 2025</v>
      </c>
      <c r="H698" s="49">
        <f>'Project Stocktaking Template'!R698</f>
        <v>1300000</v>
      </c>
      <c r="I698" s="50" t="str">
        <f>'Project Stocktaking Template'!AD698</f>
        <v/>
      </c>
      <c r="J698" s="45"/>
      <c r="K698" s="45"/>
      <c r="L698" s="45"/>
      <c r="M698" s="45"/>
      <c r="N698" s="45"/>
      <c r="O698" s="45"/>
      <c r="P698" s="45"/>
      <c r="Q698" s="45"/>
      <c r="R698" s="45"/>
      <c r="S698" s="45"/>
      <c r="T698" s="45"/>
      <c r="U698" s="45"/>
      <c r="V698" s="45"/>
      <c r="W698" s="45"/>
      <c r="X698" s="45"/>
      <c r="Y698" s="45"/>
      <c r="Z698" s="45"/>
    </row>
    <row r="699">
      <c r="A699" s="51">
        <v>698.0</v>
      </c>
      <c r="B699" s="47" t="str">
        <f>'Project Stocktaking Template'!B699</f>
        <v>CONSTRUCTION EQUIPING OF BOREHOLE AT KONE 1 CENTRE</v>
      </c>
      <c r="C699" s="47" t="str">
        <f>'Project Stocktaking Template'!H699</f>
        <v>GarissaTownship</v>
      </c>
      <c r="D699" s="47" t="str">
        <f>'Project Stocktaking Template'!I699</f>
        <v>Township</v>
      </c>
      <c r="E699" s="48" t="str">
        <f>'Project Stocktaking Template'!O699</f>
        <v>1st aug 2024</v>
      </c>
      <c r="F699" s="48" t="str">
        <f>'Project Stocktaking Template'!P699</f>
        <v>30th june 2025</v>
      </c>
      <c r="G699" s="48" t="str">
        <f>'Project Stocktaking Template'!Q699</f>
        <v>30th june 2025</v>
      </c>
      <c r="H699" s="49">
        <f>'Project Stocktaking Template'!R699</f>
        <v>500000</v>
      </c>
      <c r="I699" s="50" t="str">
        <f>'Project Stocktaking Template'!AD699</f>
        <v/>
      </c>
      <c r="J699" s="45"/>
      <c r="K699" s="45"/>
      <c r="L699" s="45"/>
      <c r="M699" s="45"/>
      <c r="N699" s="45"/>
      <c r="O699" s="45"/>
      <c r="P699" s="45"/>
      <c r="Q699" s="45"/>
      <c r="R699" s="45"/>
      <c r="S699" s="45"/>
      <c r="T699" s="45"/>
      <c r="U699" s="45"/>
      <c r="V699" s="45"/>
      <c r="W699" s="45"/>
      <c r="X699" s="45"/>
      <c r="Y699" s="45"/>
      <c r="Z699" s="45"/>
    </row>
    <row r="700">
      <c r="A700" s="46">
        <v>699.0</v>
      </c>
      <c r="B700" s="47" t="str">
        <f>'Project Stocktaking Template'!B700</f>
        <v>DESILTING OF TUMTISH WATER PAN</v>
      </c>
      <c r="C700" s="47" t="str">
        <f>'Project Stocktaking Template'!H700</f>
        <v>GarissaTownship</v>
      </c>
      <c r="D700" s="47" t="str">
        <f>'Project Stocktaking Template'!I700</f>
        <v>Township</v>
      </c>
      <c r="E700" s="48" t="str">
        <f>'Project Stocktaking Template'!O700</f>
        <v>1st aug 2024</v>
      </c>
      <c r="F700" s="48" t="str">
        <f>'Project Stocktaking Template'!P700</f>
        <v>30th june 2025</v>
      </c>
      <c r="G700" s="48" t="str">
        <f>'Project Stocktaking Template'!Q700</f>
        <v>30th june 2025</v>
      </c>
      <c r="H700" s="49">
        <f>'Project Stocktaking Template'!R700</f>
        <v>500000</v>
      </c>
      <c r="I700" s="50" t="str">
        <f>'Project Stocktaking Template'!AD700</f>
        <v/>
      </c>
      <c r="J700" s="45"/>
      <c r="K700" s="45"/>
      <c r="L700" s="45"/>
      <c r="M700" s="45"/>
      <c r="N700" s="45"/>
      <c r="O700" s="45"/>
      <c r="P700" s="45"/>
      <c r="Q700" s="45"/>
      <c r="R700" s="45"/>
      <c r="S700" s="45"/>
      <c r="T700" s="45"/>
      <c r="U700" s="45"/>
      <c r="V700" s="45"/>
      <c r="W700" s="45"/>
      <c r="X700" s="45"/>
      <c r="Y700" s="45"/>
      <c r="Z700" s="45"/>
    </row>
    <row r="701">
      <c r="A701" s="51">
        <v>700.0</v>
      </c>
      <c r="B701" s="47" t="str">
        <f>'Project Stocktaking Template'!B701</f>
        <v>CHAINLINK FENCE AT JARIBU PRIMARY</v>
      </c>
      <c r="C701" s="47" t="str">
        <f>'Project Stocktaking Template'!H701</f>
        <v>GarissaTownship</v>
      </c>
      <c r="D701" s="47" t="str">
        <f>'Project Stocktaking Template'!I701</f>
        <v>Galbet</v>
      </c>
      <c r="E701" s="48" t="str">
        <f>'Project Stocktaking Template'!O701</f>
        <v>1st aug 2024</v>
      </c>
      <c r="F701" s="48" t="str">
        <f>'Project Stocktaking Template'!P701</f>
        <v>30th june 2025</v>
      </c>
      <c r="G701" s="48" t="str">
        <f>'Project Stocktaking Template'!Q701</f>
        <v>30th june 2025</v>
      </c>
      <c r="H701" s="49">
        <f>'Project Stocktaking Template'!R701</f>
        <v>500000</v>
      </c>
      <c r="I701" s="50" t="str">
        <f>'Project Stocktaking Template'!AD701</f>
        <v/>
      </c>
      <c r="J701" s="45"/>
      <c r="K701" s="45"/>
      <c r="L701" s="45"/>
      <c r="M701" s="45"/>
      <c r="N701" s="45"/>
      <c r="O701" s="45"/>
      <c r="P701" s="45"/>
      <c r="Q701" s="45"/>
      <c r="R701" s="45"/>
      <c r="S701" s="45"/>
      <c r="T701" s="45"/>
      <c r="U701" s="45"/>
      <c r="V701" s="45"/>
      <c r="W701" s="45"/>
      <c r="X701" s="45"/>
      <c r="Y701" s="45"/>
      <c r="Z701" s="45"/>
    </row>
    <row r="702">
      <c r="A702" s="46">
        <v>701.0</v>
      </c>
      <c r="B702" s="47" t="str">
        <f>'Project Stocktaking Template'!B702</f>
        <v>DEVELOPMENT SPATIAL PLAN</v>
      </c>
      <c r="C702" s="47" t="str">
        <f>'Project Stocktaking Template'!H702</f>
        <v>GarissaTownship</v>
      </c>
      <c r="D702" s="47" t="str">
        <f>'Project Stocktaking Template'!I702</f>
        <v>Township</v>
      </c>
      <c r="E702" s="48" t="str">
        <f>'Project Stocktaking Template'!O702</f>
        <v>1st aug 2024</v>
      </c>
      <c r="F702" s="48" t="str">
        <f>'Project Stocktaking Template'!P702</f>
        <v>30th june 2025</v>
      </c>
      <c r="G702" s="48" t="str">
        <f>'Project Stocktaking Template'!Q702</f>
        <v>30th june 2025</v>
      </c>
      <c r="H702" s="49">
        <f>'Project Stocktaking Template'!R702</f>
        <v>500000</v>
      </c>
      <c r="I702" s="50" t="str">
        <f>'Project Stocktaking Template'!AD702</f>
        <v/>
      </c>
      <c r="J702" s="45"/>
      <c r="K702" s="45"/>
      <c r="L702" s="45"/>
      <c r="M702" s="45"/>
      <c r="N702" s="45"/>
      <c r="O702" s="45"/>
      <c r="P702" s="45"/>
      <c r="Q702" s="45"/>
      <c r="R702" s="45"/>
      <c r="S702" s="45"/>
      <c r="T702" s="45"/>
      <c r="U702" s="45"/>
      <c r="V702" s="45"/>
      <c r="W702" s="45"/>
      <c r="X702" s="45"/>
      <c r="Y702" s="45"/>
      <c r="Z702" s="45"/>
    </row>
    <row r="703">
      <c r="A703" s="51">
        <v>702.0</v>
      </c>
      <c r="B703" s="47" t="str">
        <f>'Project Stocktaking Template'!B703</f>
        <v>INSTALLATION AND COMMISION INTERNET CABLE AT COUNTY AFFAIRS</v>
      </c>
      <c r="C703" s="47" t="str">
        <f>'Project Stocktaking Template'!H703</f>
        <v>GarissaTownship</v>
      </c>
      <c r="D703" s="47" t="str">
        <f>'Project Stocktaking Template'!I703</f>
        <v>Township</v>
      </c>
      <c r="E703" s="48" t="str">
        <f>'Project Stocktaking Template'!O703</f>
        <v>1st aug 2024</v>
      </c>
      <c r="F703" s="48" t="str">
        <f>'Project Stocktaking Template'!P703</f>
        <v>30th june 2025</v>
      </c>
      <c r="G703" s="48" t="str">
        <f>'Project Stocktaking Template'!Q703</f>
        <v>30th june 2025</v>
      </c>
      <c r="H703" s="49">
        <f>'Project Stocktaking Template'!R703</f>
        <v>500000</v>
      </c>
      <c r="I703" s="50" t="str">
        <f>'Project Stocktaking Template'!AD703</f>
        <v/>
      </c>
      <c r="J703" s="45"/>
      <c r="K703" s="45"/>
      <c r="L703" s="45"/>
      <c r="M703" s="45"/>
      <c r="N703" s="45"/>
      <c r="O703" s="45"/>
      <c r="P703" s="45"/>
      <c r="Q703" s="45"/>
      <c r="R703" s="45"/>
      <c r="S703" s="45"/>
      <c r="T703" s="45"/>
      <c r="U703" s="45"/>
      <c r="V703" s="45"/>
      <c r="W703" s="45"/>
      <c r="X703" s="45"/>
      <c r="Y703" s="45"/>
      <c r="Z703" s="45"/>
    </row>
    <row r="704">
      <c r="A704" s="46">
        <v>703.0</v>
      </c>
      <c r="B704" s="47" t="str">
        <f>'Project Stocktaking Template'!B704</f>
        <v>RENNOVATION OF GOVERNMENT HOUSE</v>
      </c>
      <c r="C704" s="47" t="str">
        <f>'Project Stocktaking Template'!H704</f>
        <v>GarissaTownship</v>
      </c>
      <c r="D704" s="47" t="str">
        <f>'Project Stocktaking Template'!I704</f>
        <v>Township</v>
      </c>
      <c r="E704" s="48" t="str">
        <f>'Project Stocktaking Template'!O704</f>
        <v>1st aug 2024</v>
      </c>
      <c r="F704" s="48" t="str">
        <f>'Project Stocktaking Template'!P704</f>
        <v>30th june 2025</v>
      </c>
      <c r="G704" s="48" t="str">
        <f>'Project Stocktaking Template'!Q704</f>
        <v>30th june 2025</v>
      </c>
      <c r="H704" s="49">
        <f>'Project Stocktaking Template'!R704</f>
        <v>1500000</v>
      </c>
      <c r="I704" s="50" t="str">
        <f>'Project Stocktaking Template'!AD704</f>
        <v/>
      </c>
      <c r="J704" s="45"/>
      <c r="K704" s="45"/>
      <c r="L704" s="45"/>
      <c r="M704" s="45"/>
      <c r="N704" s="45"/>
      <c r="O704" s="45"/>
      <c r="P704" s="45"/>
      <c r="Q704" s="45"/>
      <c r="R704" s="45"/>
      <c r="S704" s="45"/>
      <c r="T704" s="45"/>
      <c r="U704" s="45"/>
      <c r="V704" s="45"/>
      <c r="W704" s="45"/>
      <c r="X704" s="45"/>
      <c r="Y704" s="45"/>
      <c r="Z704" s="45"/>
    </row>
    <row r="705">
      <c r="A705" s="51">
        <v>704.0</v>
      </c>
      <c r="B705" s="47" t="str">
        <f>'Project Stocktaking Template'!B705</f>
        <v>REFURBISHMENT OF PUBLIC WORKS OFFICE</v>
      </c>
      <c r="C705" s="47" t="str">
        <f>'Project Stocktaking Template'!H705</f>
        <v>GarissaTownship</v>
      </c>
      <c r="D705" s="47" t="str">
        <f>'Project Stocktaking Template'!I705</f>
        <v>Township</v>
      </c>
      <c r="E705" s="48" t="str">
        <f>'Project Stocktaking Template'!O705</f>
        <v>1st aug 2024</v>
      </c>
      <c r="F705" s="48" t="str">
        <f>'Project Stocktaking Template'!P705</f>
        <v>30th june 2025</v>
      </c>
      <c r="G705" s="48" t="str">
        <f>'Project Stocktaking Template'!Q705</f>
        <v>30th june 2025</v>
      </c>
      <c r="H705" s="49">
        <f>'Project Stocktaking Template'!R705</f>
        <v>1500000</v>
      </c>
      <c r="I705" s="50" t="str">
        <f>'Project Stocktaking Template'!AD705</f>
        <v/>
      </c>
      <c r="J705" s="45"/>
      <c r="K705" s="45"/>
      <c r="L705" s="45"/>
      <c r="M705" s="45"/>
      <c r="N705" s="45"/>
      <c r="O705" s="45"/>
      <c r="P705" s="45"/>
      <c r="Q705" s="45"/>
      <c r="R705" s="45"/>
      <c r="S705" s="45"/>
      <c r="T705" s="45"/>
      <c r="U705" s="45"/>
      <c r="V705" s="45"/>
      <c r="W705" s="45"/>
      <c r="X705" s="45"/>
      <c r="Y705" s="45"/>
      <c r="Z705" s="45"/>
    </row>
    <row r="706">
      <c r="A706" s="46">
        <v>705.0</v>
      </c>
      <c r="B706" s="47" t="str">
        <f>'Project Stocktaking Template'!B706</f>
        <v>REFURBISHMENT OF AND RENNOVATION </v>
      </c>
      <c r="C706" s="47" t="str">
        <f>'Project Stocktaking Template'!H706</f>
        <v>GarissaTownship</v>
      </c>
      <c r="D706" s="47" t="str">
        <f>'Project Stocktaking Template'!I706</f>
        <v>Township</v>
      </c>
      <c r="E706" s="48" t="str">
        <f>'Project Stocktaking Template'!O706</f>
        <v>1st aug 2024</v>
      </c>
      <c r="F706" s="48" t="str">
        <f>'Project Stocktaking Template'!P706</f>
        <v>30th june 2025</v>
      </c>
      <c r="G706" s="48" t="str">
        <f>'Project Stocktaking Template'!Q706</f>
        <v>30th june 2025</v>
      </c>
      <c r="H706" s="49">
        <f>'Project Stocktaking Template'!R706</f>
        <v>500000</v>
      </c>
      <c r="I706" s="50" t="str">
        <f>'Project Stocktaking Template'!AD706</f>
        <v/>
      </c>
      <c r="J706" s="45"/>
      <c r="K706" s="45"/>
      <c r="L706" s="45"/>
      <c r="M706" s="45"/>
      <c r="N706" s="45"/>
      <c r="O706" s="45"/>
      <c r="P706" s="45"/>
      <c r="Q706" s="45"/>
      <c r="R706" s="45"/>
      <c r="S706" s="45"/>
      <c r="T706" s="45"/>
      <c r="U706" s="45"/>
      <c r="V706" s="45"/>
      <c r="W706" s="45"/>
      <c r="X706" s="45"/>
      <c r="Y706" s="45"/>
      <c r="Z706" s="45"/>
    </row>
    <row r="707">
      <c r="A707" s="51">
        <v>706.0</v>
      </c>
      <c r="B707" s="47" t="str">
        <f>'Project Stocktaking Template'!B707</f>
        <v>CONSTRUCTION OF NEW WILDLIFE DRINKING WATER AT IJARA</v>
      </c>
      <c r="C707" s="47" t="str">
        <f>'Project Stocktaking Template'!H707</f>
        <v>Ijara</v>
      </c>
      <c r="D707" s="47" t="str">
        <f>'Project Stocktaking Template'!I707</f>
        <v>Ijara</v>
      </c>
      <c r="E707" s="48" t="str">
        <f>'Project Stocktaking Template'!O707</f>
        <v>1st aug 2024</v>
      </c>
      <c r="F707" s="48" t="str">
        <f>'Project Stocktaking Template'!P707</f>
        <v>30th june 2025</v>
      </c>
      <c r="G707" s="48" t="str">
        <f>'Project Stocktaking Template'!Q707</f>
        <v>30th june 2025</v>
      </c>
      <c r="H707" s="49">
        <f>'Project Stocktaking Template'!R707</f>
        <v>500000</v>
      </c>
      <c r="I707" s="50" t="str">
        <f>'Project Stocktaking Template'!AD707</f>
        <v/>
      </c>
      <c r="J707" s="45"/>
      <c r="K707" s="45"/>
      <c r="L707" s="45"/>
      <c r="M707" s="45"/>
      <c r="N707" s="45"/>
      <c r="O707" s="45"/>
      <c r="P707" s="45"/>
      <c r="Q707" s="45"/>
      <c r="R707" s="45"/>
      <c r="S707" s="45"/>
      <c r="T707" s="45"/>
      <c r="U707" s="45"/>
      <c r="V707" s="45"/>
      <c r="W707" s="45"/>
      <c r="X707" s="45"/>
      <c r="Y707" s="45"/>
      <c r="Z707" s="45"/>
    </row>
    <row r="708">
      <c r="A708" s="46">
        <v>707.0</v>
      </c>
      <c r="B708" s="47" t="str">
        <f>'Project Stocktaking Template'!B708</f>
        <v>CONSTRUCTION OF MASONARY PERIMETER FENCE AT SHANTABAQ GRAVEYARD</v>
      </c>
      <c r="C708" s="47" t="str">
        <f>'Project Stocktaking Template'!H708</f>
        <v>GarissaTownship</v>
      </c>
      <c r="D708" s="47" t="str">
        <f>'Project Stocktaking Template'!I708</f>
        <v>Township</v>
      </c>
      <c r="E708" s="48" t="str">
        <f>'Project Stocktaking Template'!O708</f>
        <v>1st aug 2024</v>
      </c>
      <c r="F708" s="48" t="str">
        <f>'Project Stocktaking Template'!P708</f>
        <v>30th june 2025</v>
      </c>
      <c r="G708" s="48" t="str">
        <f>'Project Stocktaking Template'!Q708</f>
        <v>30th june 2025</v>
      </c>
      <c r="H708" s="49">
        <f>'Project Stocktaking Template'!R708</f>
        <v>500000</v>
      </c>
      <c r="I708" s="50" t="str">
        <f>'Project Stocktaking Template'!AD708</f>
        <v/>
      </c>
      <c r="J708" s="45"/>
      <c r="K708" s="45"/>
      <c r="L708" s="45"/>
      <c r="M708" s="45"/>
      <c r="N708" s="45"/>
      <c r="O708" s="45"/>
      <c r="P708" s="45"/>
      <c r="Q708" s="45"/>
      <c r="R708" s="45"/>
      <c r="S708" s="45"/>
      <c r="T708" s="45"/>
      <c r="U708" s="45"/>
      <c r="V708" s="45"/>
      <c r="W708" s="45"/>
      <c r="X708" s="45"/>
      <c r="Y708" s="45"/>
      <c r="Z708" s="45"/>
    </row>
    <row r="709">
      <c r="A709" s="51">
        <v>708.0</v>
      </c>
      <c r="B709" s="47" t="str">
        <f>'Project Stocktaking Template'!B709</f>
        <v>CONSTRUCTION OF MASONARY PERIMETER FENCE AT SHANTABAQ GRAVEYARD</v>
      </c>
      <c r="C709" s="47" t="str">
        <f>'Project Stocktaking Template'!H709</f>
        <v>GarissaTownship</v>
      </c>
      <c r="D709" s="47" t="str">
        <f>'Project Stocktaking Template'!I709</f>
        <v>Township</v>
      </c>
      <c r="E709" s="48" t="str">
        <f>'Project Stocktaking Template'!O709</f>
        <v>1st aug 2024</v>
      </c>
      <c r="F709" s="48" t="str">
        <f>'Project Stocktaking Template'!P709</f>
        <v>30th june 2025</v>
      </c>
      <c r="G709" s="48" t="str">
        <f>'Project Stocktaking Template'!Q709</f>
        <v>30th june 2025</v>
      </c>
      <c r="H709" s="49">
        <f>'Project Stocktaking Template'!R709</f>
        <v>500000</v>
      </c>
      <c r="I709" s="50" t="str">
        <f>'Project Stocktaking Template'!AD709</f>
        <v/>
      </c>
      <c r="J709" s="45"/>
      <c r="K709" s="45"/>
      <c r="L709" s="45"/>
      <c r="M709" s="45"/>
      <c r="N709" s="45"/>
      <c r="O709" s="45"/>
      <c r="P709" s="45"/>
      <c r="Q709" s="45"/>
      <c r="R709" s="45"/>
      <c r="S709" s="45"/>
      <c r="T709" s="45"/>
      <c r="U709" s="45"/>
      <c r="V709" s="45"/>
      <c r="W709" s="45"/>
      <c r="X709" s="45"/>
      <c r="Y709" s="45"/>
      <c r="Z709" s="45"/>
    </row>
    <row r="710">
      <c r="A710" s="46">
        <v>709.0</v>
      </c>
      <c r="B710" s="47" t="str">
        <f>'Project Stocktaking Template'!B710</f>
        <v>DESILTING AND FENCING OF BRAFIN WATER PAN </v>
      </c>
      <c r="C710" s="47" t="str">
        <f>'Project Stocktaking Template'!H710</f>
        <v>GarissaTownship</v>
      </c>
      <c r="D710" s="47" t="str">
        <f>'Project Stocktaking Template'!I710</f>
        <v>Township</v>
      </c>
      <c r="E710" s="48" t="str">
        <f>'Project Stocktaking Template'!O710</f>
        <v>1st aug 2024</v>
      </c>
      <c r="F710" s="48" t="str">
        <f>'Project Stocktaking Template'!P710</f>
        <v>30th june 2025</v>
      </c>
      <c r="G710" s="48" t="str">
        <f>'Project Stocktaking Template'!Q710</f>
        <v>30th june 2025</v>
      </c>
      <c r="H710" s="49">
        <f>'Project Stocktaking Template'!R710</f>
        <v>800000</v>
      </c>
      <c r="I710" s="50" t="str">
        <f>'Project Stocktaking Template'!AD710</f>
        <v/>
      </c>
      <c r="J710" s="45"/>
      <c r="K710" s="45"/>
      <c r="L710" s="45"/>
      <c r="M710" s="45"/>
      <c r="N710" s="45"/>
      <c r="O710" s="45"/>
      <c r="P710" s="45"/>
      <c r="Q710" s="45"/>
      <c r="R710" s="45"/>
      <c r="S710" s="45"/>
      <c r="T710" s="45"/>
      <c r="U710" s="45"/>
      <c r="V710" s="45"/>
      <c r="W710" s="45"/>
      <c r="X710" s="45"/>
      <c r="Y710" s="45"/>
      <c r="Z710" s="45"/>
    </row>
    <row r="711">
      <c r="A711" s="51">
        <v>710.0</v>
      </c>
      <c r="B711" s="47" t="str">
        <f>'Project Stocktaking Template'!B711</f>
        <v>CONSTRUCTION OF CHAINLINK FENCE AT MASLAH PRIMARY SCHOOL</v>
      </c>
      <c r="C711" s="47" t="str">
        <f>'Project Stocktaking Template'!H711</f>
        <v>Ijara</v>
      </c>
      <c r="D711" s="47" t="str">
        <f>'Project Stocktaking Template'!I711</f>
        <v>Masalani</v>
      </c>
      <c r="E711" s="48" t="str">
        <f>'Project Stocktaking Template'!O711</f>
        <v>1st aug 2024</v>
      </c>
      <c r="F711" s="48" t="str">
        <f>'Project Stocktaking Template'!P711</f>
        <v>30th june 2025</v>
      </c>
      <c r="G711" s="48" t="str">
        <f>'Project Stocktaking Template'!Q711</f>
        <v>30th june 2025</v>
      </c>
      <c r="H711" s="49">
        <f>'Project Stocktaking Template'!R711</f>
        <v>300000</v>
      </c>
      <c r="I711" s="50" t="str">
        <f>'Project Stocktaking Template'!AD711</f>
        <v/>
      </c>
      <c r="J711" s="45"/>
      <c r="K711" s="45"/>
      <c r="L711" s="45"/>
      <c r="M711" s="45"/>
      <c r="N711" s="45"/>
      <c r="O711" s="45"/>
      <c r="P711" s="45"/>
      <c r="Q711" s="45"/>
      <c r="R711" s="45"/>
      <c r="S711" s="45"/>
      <c r="T711" s="45"/>
      <c r="U711" s="45"/>
      <c r="V711" s="45"/>
      <c r="W711" s="45"/>
      <c r="X711" s="45"/>
      <c r="Y711" s="45"/>
      <c r="Z711" s="45"/>
    </row>
    <row r="712">
      <c r="A712" s="46">
        <v>711.0</v>
      </c>
      <c r="B712" s="47" t="str">
        <f>'Project Stocktaking Template'!B712</f>
        <v>CONSTRUCTION OF WAREHOUSE AT GARISSA REFERAL HOSPITAL</v>
      </c>
      <c r="C712" s="47" t="str">
        <f>'Project Stocktaking Template'!H712</f>
        <v>GarissaTownship</v>
      </c>
      <c r="D712" s="47" t="str">
        <f>'Project Stocktaking Template'!I712</f>
        <v>Township</v>
      </c>
      <c r="E712" s="48" t="str">
        <f>'Project Stocktaking Template'!O712</f>
        <v>1st aug 2024</v>
      </c>
      <c r="F712" s="48" t="str">
        <f>'Project Stocktaking Template'!P712</f>
        <v>30th june 2025</v>
      </c>
      <c r="G712" s="48" t="str">
        <f>'Project Stocktaking Template'!Q712</f>
        <v>30th june 2025</v>
      </c>
      <c r="H712" s="49">
        <f>'Project Stocktaking Template'!R712</f>
        <v>2000000</v>
      </c>
      <c r="I712" s="50" t="str">
        <f>'Project Stocktaking Template'!AD712</f>
        <v/>
      </c>
      <c r="J712" s="45"/>
      <c r="K712" s="45"/>
      <c r="L712" s="45"/>
      <c r="M712" s="45"/>
      <c r="N712" s="45"/>
      <c r="O712" s="45"/>
      <c r="P712" s="45"/>
      <c r="Q712" s="45"/>
      <c r="R712" s="45"/>
      <c r="S712" s="45"/>
      <c r="T712" s="45"/>
      <c r="U712" s="45"/>
      <c r="V712" s="45"/>
      <c r="W712" s="45"/>
      <c r="X712" s="45"/>
      <c r="Y712" s="45"/>
      <c r="Z712" s="45"/>
    </row>
    <row r="713">
      <c r="A713" s="51">
        <v>712.0</v>
      </c>
      <c r="B713" s="47" t="str">
        <f>'Project Stocktaking Template'!B713</f>
        <v>CHAINLINK FENCE</v>
      </c>
      <c r="C713" s="47" t="str">
        <f>'Project Stocktaking Template'!H713</f>
        <v>GarissaTownship</v>
      </c>
      <c r="D713" s="47" t="str">
        <f>'Project Stocktaking Template'!I713</f>
        <v>Township</v>
      </c>
      <c r="E713" s="48" t="str">
        <f>'Project Stocktaking Template'!O713</f>
        <v>1st aug 2024</v>
      </c>
      <c r="F713" s="48" t="str">
        <f>'Project Stocktaking Template'!P713</f>
        <v>30th june 2025</v>
      </c>
      <c r="G713" s="48" t="str">
        <f>'Project Stocktaking Template'!Q713</f>
        <v>30th june 2025</v>
      </c>
      <c r="H713" s="49">
        <f>'Project Stocktaking Template'!R713</f>
        <v>1000000</v>
      </c>
      <c r="I713" s="50" t="str">
        <f>'Project Stocktaking Template'!AD713</f>
        <v/>
      </c>
      <c r="J713" s="45"/>
      <c r="K713" s="45"/>
      <c r="L713" s="45"/>
      <c r="M713" s="45"/>
      <c r="N713" s="45"/>
      <c r="O713" s="45"/>
      <c r="P713" s="45"/>
      <c r="Q713" s="45"/>
      <c r="R713" s="45"/>
      <c r="S713" s="45"/>
      <c r="T713" s="45"/>
      <c r="U713" s="45"/>
      <c r="V713" s="45"/>
      <c r="W713" s="45"/>
      <c r="X713" s="45"/>
      <c r="Y713" s="45"/>
      <c r="Z713" s="45"/>
    </row>
    <row r="714">
      <c r="A714" s="46">
        <v>713.0</v>
      </c>
      <c r="B714" s="47" t="str">
        <f>'Project Stocktaking Template'!B714</f>
        <v>CONSTRUCTION OF 6 BED MATERNITY ELAN DISPENSARY</v>
      </c>
      <c r="C714" s="47" t="str">
        <f>'Project Stocktaking Template'!H714</f>
        <v>GarissaTownship</v>
      </c>
      <c r="D714" s="47" t="str">
        <f>'Project Stocktaking Template'!I714</f>
        <v>Township</v>
      </c>
      <c r="E714" s="48" t="str">
        <f>'Project Stocktaking Template'!O714</f>
        <v>1st aug 2024</v>
      </c>
      <c r="F714" s="48" t="str">
        <f>'Project Stocktaking Template'!P714</f>
        <v>30th june 2025</v>
      </c>
      <c r="G714" s="48" t="str">
        <f>'Project Stocktaking Template'!Q714</f>
        <v>30th june 2025</v>
      </c>
      <c r="H714" s="49">
        <f>'Project Stocktaking Template'!R714</f>
        <v>500000</v>
      </c>
      <c r="I714" s="50" t="str">
        <f>'Project Stocktaking Template'!AD714</f>
        <v/>
      </c>
      <c r="J714" s="45"/>
      <c r="K714" s="45"/>
      <c r="L714" s="45"/>
      <c r="M714" s="45"/>
      <c r="N714" s="45"/>
      <c r="O714" s="45"/>
      <c r="P714" s="45"/>
      <c r="Q714" s="45"/>
      <c r="R714" s="45"/>
      <c r="S714" s="45"/>
      <c r="T714" s="45"/>
      <c r="U714" s="45"/>
      <c r="V714" s="45"/>
      <c r="W714" s="45"/>
      <c r="X714" s="45"/>
      <c r="Y714" s="45"/>
      <c r="Z714" s="45"/>
    </row>
    <row r="715">
      <c r="A715" s="51">
        <v>714.0</v>
      </c>
      <c r="B715" s="47" t="str">
        <f>'Project Stocktaking Template'!B715</f>
        <v>EQUPING OF BOREHOLE AT ABDI SUGOW DADAAB </v>
      </c>
      <c r="C715" s="47" t="str">
        <f>'Project Stocktaking Template'!H715</f>
        <v>Dadaab</v>
      </c>
      <c r="D715" s="47" t="str">
        <f>'Project Stocktaking Template'!I715</f>
        <v>Liboi</v>
      </c>
      <c r="E715" s="48" t="str">
        <f>'Project Stocktaking Template'!O715</f>
        <v>1st aug 2024</v>
      </c>
      <c r="F715" s="48" t="str">
        <f>'Project Stocktaking Template'!P715</f>
        <v>30th june 2025</v>
      </c>
      <c r="G715" s="48" t="str">
        <f>'Project Stocktaking Template'!Q715</f>
        <v>30th june 2025</v>
      </c>
      <c r="H715" s="49">
        <f>'Project Stocktaking Template'!R715</f>
        <v>300000</v>
      </c>
      <c r="I715" s="50" t="str">
        <f>'Project Stocktaking Template'!AD715</f>
        <v/>
      </c>
      <c r="J715" s="45"/>
      <c r="K715" s="45"/>
      <c r="L715" s="45"/>
      <c r="M715" s="45"/>
      <c r="N715" s="45"/>
      <c r="O715" s="45"/>
      <c r="P715" s="45"/>
      <c r="Q715" s="45"/>
      <c r="R715" s="45"/>
      <c r="S715" s="45"/>
      <c r="T715" s="45"/>
      <c r="U715" s="45"/>
      <c r="V715" s="45"/>
      <c r="W715" s="45"/>
      <c r="X715" s="45"/>
      <c r="Y715" s="45"/>
      <c r="Z715" s="45"/>
    </row>
    <row r="716">
      <c r="A716" s="46">
        <v>715.0</v>
      </c>
      <c r="B716" s="47" t="str">
        <f>'Project Stocktaking Template'!B716</f>
        <v>CHAINLINK FENCE AND RENNOVATION OF CIVILI WORKS</v>
      </c>
      <c r="C716" s="47" t="str">
        <f>'Project Stocktaking Template'!H716</f>
        <v>GarissaTownship</v>
      </c>
      <c r="D716" s="47" t="str">
        <f>'Project Stocktaking Template'!I716</f>
        <v>Township</v>
      </c>
      <c r="E716" s="48" t="str">
        <f>'Project Stocktaking Template'!O716</f>
        <v>1st aug 2024</v>
      </c>
      <c r="F716" s="48" t="str">
        <f>'Project Stocktaking Template'!P716</f>
        <v>30th june 2025</v>
      </c>
      <c r="G716" s="48" t="str">
        <f>'Project Stocktaking Template'!Q716</f>
        <v>30th june 2025</v>
      </c>
      <c r="H716" s="49">
        <f>'Project Stocktaking Template'!R716</f>
        <v>300000</v>
      </c>
      <c r="I716" s="50" t="str">
        <f>'Project Stocktaking Template'!AD716</f>
        <v/>
      </c>
      <c r="J716" s="45"/>
      <c r="K716" s="45"/>
      <c r="L716" s="45"/>
      <c r="M716" s="45"/>
      <c r="N716" s="45"/>
      <c r="O716" s="45"/>
      <c r="P716" s="45"/>
      <c r="Q716" s="45"/>
      <c r="R716" s="45"/>
      <c r="S716" s="45"/>
      <c r="T716" s="45"/>
      <c r="U716" s="45"/>
      <c r="V716" s="45"/>
      <c r="W716" s="45"/>
      <c r="X716" s="45"/>
      <c r="Y716" s="45"/>
      <c r="Z716" s="45"/>
    </row>
    <row r="717">
      <c r="A717" s="51">
        <v>716.0</v>
      </c>
      <c r="B717" s="47" t="str">
        <f>'Project Stocktaking Template'!B717</f>
        <v>CONSTRUCTION OF CHAINLINK FENCE AT HAGAR JAREER HEALTH CENTRE</v>
      </c>
      <c r="C717" s="47" t="str">
        <f>'Project Stocktaking Template'!H717</f>
        <v>Lagdera</v>
      </c>
      <c r="D717" s="47" t="str">
        <f>'Project Stocktaking Template'!I717</f>
        <v>Maalimin</v>
      </c>
      <c r="E717" s="48" t="str">
        <f>'Project Stocktaking Template'!O717</f>
        <v>1st aug 2024</v>
      </c>
      <c r="F717" s="48" t="str">
        <f>'Project Stocktaking Template'!P717</f>
        <v>30th june 2025</v>
      </c>
      <c r="G717" s="48" t="str">
        <f>'Project Stocktaking Template'!Q717</f>
        <v>30th june 2025</v>
      </c>
      <c r="H717" s="49">
        <f>'Project Stocktaking Template'!R717</f>
        <v>300000</v>
      </c>
      <c r="I717" s="50" t="str">
        <f>'Project Stocktaking Template'!AD717</f>
        <v/>
      </c>
      <c r="J717" s="45"/>
      <c r="K717" s="45"/>
      <c r="L717" s="45"/>
      <c r="M717" s="45"/>
      <c r="N717" s="45"/>
      <c r="O717" s="45"/>
      <c r="P717" s="45"/>
      <c r="Q717" s="45"/>
      <c r="R717" s="45"/>
      <c r="S717" s="45"/>
      <c r="T717" s="45"/>
      <c r="U717" s="45"/>
      <c r="V717" s="45"/>
      <c r="W717" s="45"/>
      <c r="X717" s="45"/>
      <c r="Y717" s="45"/>
      <c r="Z717" s="45"/>
    </row>
    <row r="718">
      <c r="A718" s="46">
        <v>717.0</v>
      </c>
      <c r="B718" s="47" t="str">
        <f>'Project Stocktaking Template'!B718</f>
        <v>CONSTRUCTION OF CHAINLINK FENCE AT HAGAR JAREER HEALTH CENTRE</v>
      </c>
      <c r="C718" s="47" t="str">
        <f>'Project Stocktaking Template'!H718</f>
        <v>Lagdera</v>
      </c>
      <c r="D718" s="47" t="str">
        <f>'Project Stocktaking Template'!I718</f>
        <v>Maalimin</v>
      </c>
      <c r="E718" s="48" t="str">
        <f>'Project Stocktaking Template'!O718</f>
        <v>1st aug 2024</v>
      </c>
      <c r="F718" s="48" t="str">
        <f>'Project Stocktaking Template'!P718</f>
        <v>30th june 2025</v>
      </c>
      <c r="G718" s="48" t="str">
        <f>'Project Stocktaking Template'!Q718</f>
        <v>30th june 2025</v>
      </c>
      <c r="H718" s="49">
        <f>'Project Stocktaking Template'!R718</f>
        <v>400000</v>
      </c>
      <c r="I718" s="50" t="str">
        <f>'Project Stocktaking Template'!AD718</f>
        <v/>
      </c>
      <c r="J718" s="45"/>
      <c r="K718" s="45"/>
      <c r="L718" s="45"/>
      <c r="M718" s="45"/>
      <c r="N718" s="45"/>
      <c r="O718" s="45"/>
      <c r="P718" s="45"/>
      <c r="Q718" s="45"/>
      <c r="R718" s="45"/>
      <c r="S718" s="45"/>
      <c r="T718" s="45"/>
      <c r="U718" s="45"/>
      <c r="V718" s="45"/>
      <c r="W718" s="45"/>
      <c r="X718" s="45"/>
      <c r="Y718" s="45"/>
      <c r="Z718" s="45"/>
    </row>
    <row r="719">
      <c r="A719" s="51">
        <v>718.0</v>
      </c>
      <c r="B719" s="47" t="str">
        <f>'Project Stocktaking Template'!B719</f>
        <v>CONSTRUCTION AND CHAINLINK FENCE AT ALINJUUKUR HOSPITAL FAFI SUB COUNTY</v>
      </c>
      <c r="C719" s="47" t="str">
        <f>'Project Stocktaking Template'!H719</f>
        <v>Fafi</v>
      </c>
      <c r="D719" s="47" t="str">
        <f>'Project Stocktaking Template'!I719</f>
        <v>Fafi</v>
      </c>
      <c r="E719" s="48" t="str">
        <f>'Project Stocktaking Template'!O719</f>
        <v>1st aug 2024</v>
      </c>
      <c r="F719" s="48" t="str">
        <f>'Project Stocktaking Template'!P719</f>
        <v>30th june 2025</v>
      </c>
      <c r="G719" s="48" t="str">
        <f>'Project Stocktaking Template'!Q719</f>
        <v>30th june 2025</v>
      </c>
      <c r="H719" s="49">
        <f>'Project Stocktaking Template'!R719</f>
        <v>500000</v>
      </c>
      <c r="I719" s="50" t="str">
        <f>'Project Stocktaking Template'!AD719</f>
        <v/>
      </c>
      <c r="J719" s="45"/>
      <c r="K719" s="45"/>
      <c r="L719" s="45"/>
      <c r="M719" s="45"/>
      <c r="N719" s="45"/>
      <c r="O719" s="45"/>
      <c r="P719" s="45"/>
      <c r="Q719" s="45"/>
      <c r="R719" s="45"/>
      <c r="S719" s="45"/>
      <c r="T719" s="45"/>
      <c r="U719" s="45"/>
      <c r="V719" s="45"/>
      <c r="W719" s="45"/>
      <c r="X719" s="45"/>
      <c r="Y719" s="45"/>
      <c r="Z719" s="45"/>
    </row>
    <row r="720">
      <c r="A720" s="46">
        <v>719.0</v>
      </c>
      <c r="B720" s="47" t="str">
        <f>'Project Stocktaking Template'!B720</f>
        <v>RENOVATION TO GK HOUSES</v>
      </c>
      <c r="C720" s="47" t="str">
        <f>'Project Stocktaking Template'!H720</f>
        <v>GarissaTownship</v>
      </c>
      <c r="D720" s="47" t="str">
        <f>'Project Stocktaking Template'!I720</f>
        <v>Township</v>
      </c>
      <c r="E720" s="48" t="str">
        <f>'Project Stocktaking Template'!O720</f>
        <v>1st aug 2024</v>
      </c>
      <c r="F720" s="48" t="str">
        <f>'Project Stocktaking Template'!P720</f>
        <v>30th june 2025</v>
      </c>
      <c r="G720" s="48" t="str">
        <f>'Project Stocktaking Template'!Q720</f>
        <v>30th june 2025</v>
      </c>
      <c r="H720" s="49">
        <f>'Project Stocktaking Template'!R720</f>
        <v>300000</v>
      </c>
      <c r="I720" s="50" t="str">
        <f>'Project Stocktaking Template'!AD720</f>
        <v/>
      </c>
      <c r="J720" s="45"/>
      <c r="K720" s="45"/>
      <c r="L720" s="45"/>
      <c r="M720" s="45"/>
      <c r="N720" s="45"/>
      <c r="O720" s="45"/>
      <c r="P720" s="45"/>
      <c r="Q720" s="45"/>
      <c r="R720" s="45"/>
      <c r="S720" s="45"/>
      <c r="T720" s="45"/>
      <c r="U720" s="45"/>
      <c r="V720" s="45"/>
      <c r="W720" s="45"/>
      <c r="X720" s="45"/>
      <c r="Y720" s="45"/>
      <c r="Z720" s="45"/>
    </row>
    <row r="721">
      <c r="A721" s="51">
        <v>720.0</v>
      </c>
      <c r="B721" s="47" t="str">
        <f>'Project Stocktaking Template'!B721</f>
        <v>CONSTRUCTION OF WABERI DRIFT GARISSA TOWNSHIP</v>
      </c>
      <c r="C721" s="47" t="str">
        <f>'Project Stocktaking Template'!H721</f>
        <v>GarissaTownship</v>
      </c>
      <c r="D721" s="47" t="str">
        <f>'Project Stocktaking Template'!I721</f>
        <v>Waberi</v>
      </c>
      <c r="E721" s="48" t="str">
        <f>'Project Stocktaking Template'!O721</f>
        <v>1st aug 2024</v>
      </c>
      <c r="F721" s="48" t="str">
        <f>'Project Stocktaking Template'!P721</f>
        <v>30th june 2025</v>
      </c>
      <c r="G721" s="48" t="str">
        <f>'Project Stocktaking Template'!Q721</f>
        <v>30th june 2025</v>
      </c>
      <c r="H721" s="49">
        <f>'Project Stocktaking Template'!R721</f>
        <v>500000</v>
      </c>
      <c r="I721" s="50" t="str">
        <f>'Project Stocktaking Template'!AD721</f>
        <v/>
      </c>
      <c r="J721" s="45"/>
      <c r="K721" s="45"/>
      <c r="L721" s="45"/>
      <c r="M721" s="45"/>
      <c r="N721" s="45"/>
      <c r="O721" s="45"/>
      <c r="P721" s="45"/>
      <c r="Q721" s="45"/>
      <c r="R721" s="45"/>
      <c r="S721" s="45"/>
      <c r="T721" s="45"/>
      <c r="U721" s="45"/>
      <c r="V721" s="45"/>
      <c r="W721" s="45"/>
      <c r="X721" s="45"/>
      <c r="Y721" s="45"/>
      <c r="Z721" s="45"/>
    </row>
    <row r="722">
      <c r="A722" s="46">
        <v>721.0</v>
      </c>
      <c r="B722" s="47" t="str">
        <f>'Project Stocktaking Template'!B722</f>
        <v>REHABILTATION OF MASALANI WATER SUPPLY</v>
      </c>
      <c r="C722" s="47" t="str">
        <f>'Project Stocktaking Template'!H722</f>
        <v>Ijara</v>
      </c>
      <c r="D722" s="47" t="str">
        <f>'Project Stocktaking Template'!I722</f>
        <v>Masalani</v>
      </c>
      <c r="E722" s="48" t="str">
        <f>'Project Stocktaking Template'!O722</f>
        <v>1st aug 2024</v>
      </c>
      <c r="F722" s="48" t="str">
        <f>'Project Stocktaking Template'!P722</f>
        <v>30th june 2025</v>
      </c>
      <c r="G722" s="48" t="str">
        <f>'Project Stocktaking Template'!Q722</f>
        <v>30th june 2025</v>
      </c>
      <c r="H722" s="49">
        <f>'Project Stocktaking Template'!R722</f>
        <v>500000</v>
      </c>
      <c r="I722" s="50" t="str">
        <f>'Project Stocktaking Template'!AD722</f>
        <v/>
      </c>
      <c r="J722" s="45"/>
      <c r="K722" s="45"/>
      <c r="L722" s="45"/>
      <c r="M722" s="45"/>
      <c r="N722" s="45"/>
      <c r="O722" s="45"/>
      <c r="P722" s="45"/>
      <c r="Q722" s="45"/>
      <c r="R722" s="45"/>
      <c r="S722" s="45"/>
      <c r="T722" s="45"/>
      <c r="U722" s="45"/>
      <c r="V722" s="45"/>
      <c r="W722" s="45"/>
      <c r="X722" s="45"/>
      <c r="Y722" s="45"/>
      <c r="Z722" s="45"/>
    </row>
    <row r="723">
      <c r="A723" s="51">
        <v>722.0</v>
      </c>
      <c r="B723" s="47" t="str">
        <f>'Project Stocktaking Template'!B723</f>
        <v>IMPROVEMENT OF QURAN HINDI HULUGHO ROAD</v>
      </c>
      <c r="C723" s="47" t="str">
        <f>'Project Stocktaking Template'!H723</f>
        <v>Dadaab</v>
      </c>
      <c r="D723" s="47" t="str">
        <f>'Project Stocktaking Template'!I723</f>
        <v>Hulugho</v>
      </c>
      <c r="E723" s="48" t="str">
        <f>'Project Stocktaking Template'!O723</f>
        <v>1st aug 2024</v>
      </c>
      <c r="F723" s="48" t="str">
        <f>'Project Stocktaking Template'!P723</f>
        <v>30th june 2025</v>
      </c>
      <c r="G723" s="48" t="str">
        <f>'Project Stocktaking Template'!Q723</f>
        <v>30th june 2025</v>
      </c>
      <c r="H723" s="49">
        <f>'Project Stocktaking Template'!R723</f>
        <v>500000</v>
      </c>
      <c r="I723" s="50" t="str">
        <f>'Project Stocktaking Template'!AD723</f>
        <v/>
      </c>
      <c r="J723" s="45"/>
      <c r="K723" s="45"/>
      <c r="L723" s="45"/>
      <c r="M723" s="45"/>
      <c r="N723" s="45"/>
      <c r="O723" s="45"/>
      <c r="P723" s="45"/>
      <c r="Q723" s="45"/>
      <c r="R723" s="45"/>
      <c r="S723" s="45"/>
      <c r="T723" s="45"/>
      <c r="U723" s="45"/>
      <c r="V723" s="45"/>
      <c r="W723" s="45"/>
      <c r="X723" s="45"/>
      <c r="Y723" s="45"/>
      <c r="Z723" s="45"/>
    </row>
    <row r="724">
      <c r="A724" s="46">
        <v>723.0</v>
      </c>
      <c r="B724" s="47" t="str">
        <f>'Project Stocktaking Template'!B724</f>
        <v>IMPROVEMENT OF GURUFA SHANTABAQ ROAD</v>
      </c>
      <c r="C724" s="47" t="str">
        <f>'Project Stocktaking Template'!H724</f>
        <v>Dadaab</v>
      </c>
      <c r="D724" s="47" t="str">
        <f>'Project Stocktaking Template'!I724</f>
        <v>Baraki</v>
      </c>
      <c r="E724" s="48" t="str">
        <f>'Project Stocktaking Template'!O724</f>
        <v>1st aug 2024</v>
      </c>
      <c r="F724" s="48" t="str">
        <f>'Project Stocktaking Template'!P724</f>
        <v>30th june 2025</v>
      </c>
      <c r="G724" s="48" t="str">
        <f>'Project Stocktaking Template'!Q724</f>
        <v>30th june 2025</v>
      </c>
      <c r="H724" s="49">
        <f>'Project Stocktaking Template'!R724</f>
        <v>1000000</v>
      </c>
      <c r="I724" s="50" t="str">
        <f>'Project Stocktaking Template'!AD724</f>
        <v/>
      </c>
      <c r="J724" s="45"/>
      <c r="K724" s="45"/>
      <c r="L724" s="45"/>
      <c r="M724" s="45"/>
      <c r="N724" s="45"/>
      <c r="O724" s="45"/>
      <c r="P724" s="45"/>
      <c r="Q724" s="45"/>
      <c r="R724" s="45"/>
      <c r="S724" s="45"/>
      <c r="T724" s="45"/>
      <c r="U724" s="45"/>
      <c r="V724" s="45"/>
      <c r="W724" s="45"/>
      <c r="X724" s="45"/>
      <c r="Y724" s="45"/>
      <c r="Z724" s="45"/>
    </row>
    <row r="725">
      <c r="A725" s="51">
        <v>724.0</v>
      </c>
      <c r="B725" s="47" t="str">
        <f>'Project Stocktaking Template'!B725</f>
        <v>AUGUMENTATION OF DADERE WATER PAN FAFI</v>
      </c>
      <c r="C725" s="47" t="str">
        <f>'Project Stocktaking Template'!H725</f>
        <v>Dadaab</v>
      </c>
      <c r="D725" s="47" t="str">
        <f>'Project Stocktaking Template'!I725</f>
        <v>Fafi</v>
      </c>
      <c r="E725" s="48" t="str">
        <f>'Project Stocktaking Template'!O725</f>
        <v>1st aug 2024</v>
      </c>
      <c r="F725" s="48" t="str">
        <f>'Project Stocktaking Template'!P725</f>
        <v>30th june 2025</v>
      </c>
      <c r="G725" s="48" t="str">
        <f>'Project Stocktaking Template'!Q725</f>
        <v>30th june 2025</v>
      </c>
      <c r="H725" s="49">
        <f>'Project Stocktaking Template'!R725</f>
        <v>1500000</v>
      </c>
      <c r="I725" s="50" t="str">
        <f>'Project Stocktaking Template'!AD725</f>
        <v/>
      </c>
      <c r="J725" s="45"/>
      <c r="K725" s="45"/>
      <c r="L725" s="45"/>
      <c r="M725" s="45"/>
      <c r="N725" s="45"/>
      <c r="O725" s="45"/>
      <c r="P725" s="45"/>
      <c r="Q725" s="45"/>
      <c r="R725" s="45"/>
      <c r="S725" s="45"/>
      <c r="T725" s="45"/>
      <c r="U725" s="45"/>
      <c r="V725" s="45"/>
      <c r="W725" s="45"/>
      <c r="X725" s="45"/>
      <c r="Y725" s="45"/>
      <c r="Z725" s="45"/>
    </row>
    <row r="726">
      <c r="A726" s="46">
        <v>725.0</v>
      </c>
      <c r="B726" s="47" t="str">
        <f>'Project Stocktaking Template'!B726</f>
        <v>CONSTRUCTION OF CHAINLINK FENCE BUSH CLEARING AFWEIN HOSPITAL</v>
      </c>
      <c r="C726" s="47" t="str">
        <f>'Project Stocktaking Template'!H726</f>
        <v>Dadaab</v>
      </c>
      <c r="D726" s="47" t="str">
        <f>'Project Stocktaking Template'!I726</f>
        <v>Baraki</v>
      </c>
      <c r="E726" s="48" t="str">
        <f>'Project Stocktaking Template'!O726</f>
        <v>1st aug 2024</v>
      </c>
      <c r="F726" s="48" t="str">
        <f>'Project Stocktaking Template'!P726</f>
        <v>30th june 2025</v>
      </c>
      <c r="G726" s="48" t="str">
        <f>'Project Stocktaking Template'!Q726</f>
        <v>30th june 2025</v>
      </c>
      <c r="H726" s="49">
        <f>'Project Stocktaking Template'!R726</f>
        <v>300000</v>
      </c>
      <c r="I726" s="50" t="str">
        <f>'Project Stocktaking Template'!AD726</f>
        <v/>
      </c>
      <c r="J726" s="45"/>
      <c r="K726" s="45"/>
      <c r="L726" s="45"/>
      <c r="M726" s="45"/>
      <c r="N726" s="45"/>
      <c r="O726" s="45"/>
      <c r="P726" s="45"/>
      <c r="Q726" s="45"/>
      <c r="R726" s="45"/>
      <c r="S726" s="45"/>
      <c r="T726" s="45"/>
      <c r="U726" s="45"/>
      <c r="V726" s="45"/>
      <c r="W726" s="45"/>
      <c r="X726" s="45"/>
      <c r="Y726" s="45"/>
      <c r="Z726" s="45"/>
    </row>
    <row r="727">
      <c r="A727" s="51">
        <v>726.0</v>
      </c>
      <c r="B727" s="47" t="str">
        <f>'Project Stocktaking Template'!B727</f>
        <v>CONSTRUCTION OF NEW WATER PAN AT DAGAHLEY</v>
      </c>
      <c r="C727" s="47" t="str">
        <f>'Project Stocktaking Template'!H727</f>
        <v>Dadaab</v>
      </c>
      <c r="D727" s="47" t="str">
        <f>'Project Stocktaking Template'!I727</f>
        <v>Labasigale</v>
      </c>
      <c r="E727" s="48" t="str">
        <f>'Project Stocktaking Template'!O727</f>
        <v>1st aug 2024</v>
      </c>
      <c r="F727" s="48" t="str">
        <f>'Project Stocktaking Template'!P727</f>
        <v>30th june 2025</v>
      </c>
      <c r="G727" s="48" t="str">
        <f>'Project Stocktaking Template'!Q727</f>
        <v>30th june 2025</v>
      </c>
      <c r="H727" s="49">
        <f>'Project Stocktaking Template'!R727</f>
        <v>500000</v>
      </c>
      <c r="I727" s="50" t="str">
        <f>'Project Stocktaking Template'!AD727</f>
        <v/>
      </c>
      <c r="J727" s="45"/>
      <c r="K727" s="45"/>
      <c r="L727" s="45"/>
      <c r="M727" s="45"/>
      <c r="N727" s="45"/>
      <c r="O727" s="45"/>
      <c r="P727" s="45"/>
      <c r="Q727" s="45"/>
      <c r="R727" s="45"/>
      <c r="S727" s="45"/>
      <c r="T727" s="45"/>
      <c r="U727" s="45"/>
      <c r="V727" s="45"/>
      <c r="W727" s="45"/>
      <c r="X727" s="45"/>
      <c r="Y727" s="45"/>
      <c r="Z727" s="45"/>
    </row>
    <row r="728">
      <c r="A728" s="46">
        <v>727.0</v>
      </c>
      <c r="B728" s="47" t="str">
        <f>'Project Stocktaking Template'!B728</f>
        <v>CONTRUCTION OF WATER PAN</v>
      </c>
      <c r="C728" s="47" t="str">
        <f>'Project Stocktaking Template'!H728</f>
        <v>Dadaab</v>
      </c>
      <c r="D728" s="47" t="str">
        <f>'Project Stocktaking Template'!I728</f>
        <v>Township</v>
      </c>
      <c r="E728" s="48" t="str">
        <f>'Project Stocktaking Template'!O728</f>
        <v>1st aug 2024</v>
      </c>
      <c r="F728" s="48" t="str">
        <f>'Project Stocktaking Template'!P728</f>
        <v>30th june 2025</v>
      </c>
      <c r="G728" s="48" t="str">
        <f>'Project Stocktaking Template'!Q728</f>
        <v>30th june 2025</v>
      </c>
      <c r="H728" s="49">
        <f>'Project Stocktaking Template'!R728</f>
        <v>300000</v>
      </c>
      <c r="I728" s="50" t="str">
        <f>'Project Stocktaking Template'!AD728</f>
        <v/>
      </c>
      <c r="J728" s="45"/>
      <c r="K728" s="45"/>
      <c r="L728" s="45"/>
      <c r="M728" s="45"/>
      <c r="N728" s="45"/>
      <c r="O728" s="45"/>
      <c r="P728" s="45"/>
      <c r="Q728" s="45"/>
      <c r="R728" s="45"/>
      <c r="S728" s="45"/>
      <c r="T728" s="45"/>
      <c r="U728" s="45"/>
      <c r="V728" s="45"/>
      <c r="W728" s="45"/>
      <c r="X728" s="45"/>
      <c r="Y728" s="45"/>
      <c r="Z728" s="45"/>
    </row>
    <row r="729">
      <c r="A729" s="51">
        <v>728.0</v>
      </c>
      <c r="B729" s="47" t="str">
        <f>'Project Stocktaking Template'!B729</f>
        <v>RENOVATION OF GARSE PRIMARY</v>
      </c>
      <c r="C729" s="47" t="str">
        <f>'Project Stocktaking Template'!H729</f>
        <v>GarissaTownship</v>
      </c>
      <c r="D729" s="47" t="str">
        <f>'Project Stocktaking Template'!I729</f>
        <v>Township</v>
      </c>
      <c r="E729" s="48" t="str">
        <f>'Project Stocktaking Template'!O729</f>
        <v>1st aug 2024</v>
      </c>
      <c r="F729" s="48" t="str">
        <f>'Project Stocktaking Template'!P729</f>
        <v>30th june 2025</v>
      </c>
      <c r="G729" s="48" t="str">
        <f>'Project Stocktaking Template'!Q729</f>
        <v>30th june 2025</v>
      </c>
      <c r="H729" s="49">
        <f>'Project Stocktaking Template'!R729</f>
        <v>300000</v>
      </c>
      <c r="I729" s="50" t="str">
        <f>'Project Stocktaking Template'!AD729</f>
        <v/>
      </c>
      <c r="J729" s="45"/>
      <c r="K729" s="45"/>
      <c r="L729" s="45"/>
      <c r="M729" s="45"/>
      <c r="N729" s="45"/>
      <c r="O729" s="45"/>
      <c r="P729" s="45"/>
      <c r="Q729" s="45"/>
      <c r="R729" s="45"/>
      <c r="S729" s="45"/>
      <c r="T729" s="45"/>
      <c r="U729" s="45"/>
      <c r="V729" s="45"/>
      <c r="W729" s="45"/>
      <c r="X729" s="45"/>
      <c r="Y729" s="45"/>
      <c r="Z729" s="45"/>
    </row>
    <row r="730">
      <c r="A730" s="46">
        <v>729.0</v>
      </c>
      <c r="B730" s="47" t="str">
        <f>'Project Stocktaking Template'!B730</f>
        <v>CONSTRUCTION AND CHAINLINK FENCE AT GARSE PRIMARY</v>
      </c>
      <c r="C730" s="47" t="str">
        <f>'Project Stocktaking Template'!H730</f>
        <v>GarissaTownship</v>
      </c>
      <c r="D730" s="47" t="str">
        <f>'Project Stocktaking Template'!I730</f>
        <v>Township</v>
      </c>
      <c r="E730" s="48" t="str">
        <f>'Project Stocktaking Template'!O730</f>
        <v>1st aug 2024</v>
      </c>
      <c r="F730" s="48" t="str">
        <f>'Project Stocktaking Template'!P730</f>
        <v>30th june 2025</v>
      </c>
      <c r="G730" s="48" t="str">
        <f>'Project Stocktaking Template'!Q730</f>
        <v>30th june 2025</v>
      </c>
      <c r="H730" s="49">
        <f>'Project Stocktaking Template'!R730</f>
        <v>800000</v>
      </c>
      <c r="I730" s="50" t="str">
        <f>'Project Stocktaking Template'!AD730</f>
        <v/>
      </c>
      <c r="J730" s="45"/>
      <c r="K730" s="45"/>
      <c r="L730" s="45"/>
      <c r="M730" s="45"/>
      <c r="N730" s="45"/>
      <c r="O730" s="45"/>
      <c r="P730" s="45"/>
      <c r="Q730" s="45"/>
      <c r="R730" s="45"/>
      <c r="S730" s="45"/>
      <c r="T730" s="45"/>
      <c r="U730" s="45"/>
      <c r="V730" s="45"/>
      <c r="W730" s="45"/>
      <c r="X730" s="45"/>
      <c r="Y730" s="45"/>
      <c r="Z730" s="45"/>
    </row>
    <row r="731">
      <c r="A731" s="51">
        <v>730.0</v>
      </c>
      <c r="B731" s="47" t="str">
        <f>'Project Stocktaking Template'!B731</f>
        <v>CHAINLINK FENCE AT BORANSIS PRIMARY</v>
      </c>
      <c r="C731" s="47" t="str">
        <f>'Project Stocktaking Template'!H731</f>
        <v>Dadaab</v>
      </c>
      <c r="D731" s="47" t="str">
        <f>'Project Stocktaking Template'!I731</f>
        <v>Dertu</v>
      </c>
      <c r="E731" s="48" t="str">
        <f>'Project Stocktaking Template'!O731</f>
        <v>1st aug 2024</v>
      </c>
      <c r="F731" s="48" t="str">
        <f>'Project Stocktaking Template'!P731</f>
        <v>30th june 2025</v>
      </c>
      <c r="G731" s="48" t="str">
        <f>'Project Stocktaking Template'!Q731</f>
        <v>30th june 2025</v>
      </c>
      <c r="H731" s="49">
        <f>'Project Stocktaking Template'!R731</f>
        <v>500000</v>
      </c>
      <c r="I731" s="50" t="str">
        <f>'Project Stocktaking Template'!AD731</f>
        <v/>
      </c>
      <c r="J731" s="45"/>
      <c r="K731" s="45"/>
      <c r="L731" s="45"/>
      <c r="M731" s="45"/>
      <c r="N731" s="45"/>
      <c r="O731" s="45"/>
      <c r="P731" s="45"/>
      <c r="Q731" s="45"/>
      <c r="R731" s="45"/>
      <c r="S731" s="45"/>
      <c r="T731" s="45"/>
      <c r="U731" s="45"/>
      <c r="V731" s="45"/>
      <c r="W731" s="45"/>
      <c r="X731" s="45"/>
      <c r="Y731" s="45"/>
      <c r="Z731" s="45"/>
    </row>
    <row r="732">
      <c r="A732" s="46">
        <v>731.0</v>
      </c>
      <c r="B732" s="47" t="str">
        <f>'Project Stocktaking Template'!B732</f>
        <v>CONSTRUCTION OF PERIMETER FENCE AT DADAAB SOCIAL GROUND</v>
      </c>
      <c r="C732" s="47" t="str">
        <f>'Project Stocktaking Template'!H732</f>
        <v>Dadaab</v>
      </c>
      <c r="D732" s="47" t="str">
        <f>'Project Stocktaking Template'!I732</f>
        <v>Dadaab</v>
      </c>
      <c r="E732" s="48" t="str">
        <f>'Project Stocktaking Template'!O732</f>
        <v>1st aug 2024</v>
      </c>
      <c r="F732" s="48" t="str">
        <f>'Project Stocktaking Template'!P732</f>
        <v>30th june 2025</v>
      </c>
      <c r="G732" s="48" t="str">
        <f>'Project Stocktaking Template'!Q732</f>
        <v>30th june 2025</v>
      </c>
      <c r="H732" s="49">
        <f>'Project Stocktaking Template'!R732</f>
        <v>500000</v>
      </c>
      <c r="I732" s="50" t="str">
        <f>'Project Stocktaking Template'!AD732</f>
        <v/>
      </c>
      <c r="J732" s="45"/>
      <c r="K732" s="45"/>
      <c r="L732" s="45"/>
      <c r="M732" s="45"/>
      <c r="N732" s="45"/>
      <c r="O732" s="45"/>
      <c r="P732" s="45"/>
      <c r="Q732" s="45"/>
      <c r="R732" s="45"/>
      <c r="S732" s="45"/>
      <c r="T732" s="45"/>
      <c r="U732" s="45"/>
      <c r="V732" s="45"/>
      <c r="W732" s="45"/>
      <c r="X732" s="45"/>
      <c r="Y732" s="45"/>
      <c r="Z732" s="45"/>
    </row>
    <row r="733">
      <c r="A733" s="51">
        <v>732.0</v>
      </c>
      <c r="B733" s="47" t="str">
        <f>'Project Stocktaking Template'!B733</f>
        <v>CONSTRUCTION OF PERIMETER FENCE AT DADAAB SOCIAL GROUND</v>
      </c>
      <c r="C733" s="47" t="str">
        <f>'Project Stocktaking Template'!H733</f>
        <v>Dadaab</v>
      </c>
      <c r="D733" s="47" t="str">
        <f>'Project Stocktaking Template'!I733</f>
        <v>Dadaab</v>
      </c>
      <c r="E733" s="48" t="str">
        <f>'Project Stocktaking Template'!O733</f>
        <v>1st aug 2024</v>
      </c>
      <c r="F733" s="48" t="str">
        <f>'Project Stocktaking Template'!P733</f>
        <v>30th june 2025</v>
      </c>
      <c r="G733" s="48" t="str">
        <f>'Project Stocktaking Template'!Q733</f>
        <v>30th june 2025</v>
      </c>
      <c r="H733" s="49">
        <f>'Project Stocktaking Template'!R733</f>
        <v>1000000</v>
      </c>
      <c r="I733" s="50" t="str">
        <f>'Project Stocktaking Template'!AD733</f>
        <v/>
      </c>
      <c r="J733" s="45"/>
      <c r="K733" s="45"/>
      <c r="L733" s="45"/>
      <c r="M733" s="45"/>
      <c r="N733" s="45"/>
      <c r="O733" s="45"/>
      <c r="P733" s="45"/>
      <c r="Q733" s="45"/>
      <c r="R733" s="45"/>
      <c r="S733" s="45"/>
      <c r="T733" s="45"/>
      <c r="U733" s="45"/>
      <c r="V733" s="45"/>
      <c r="W733" s="45"/>
      <c r="X733" s="45"/>
      <c r="Y733" s="45"/>
      <c r="Z733" s="45"/>
    </row>
    <row r="734">
      <c r="A734" s="46">
        <v>733.0</v>
      </c>
      <c r="B734" s="47" t="str">
        <f>'Project Stocktaking Template'!B734</f>
        <v>MASONARY FENCING AT BULLA TAWAKAL</v>
      </c>
      <c r="C734" s="47" t="str">
        <f>'Project Stocktaking Template'!H734</f>
        <v>GarissaTownship</v>
      </c>
      <c r="D734" s="47" t="str">
        <f>'Project Stocktaking Template'!I734</f>
        <v>Township</v>
      </c>
      <c r="E734" s="48" t="str">
        <f>'Project Stocktaking Template'!O734</f>
        <v>1st aug 2024</v>
      </c>
      <c r="F734" s="48" t="str">
        <f>'Project Stocktaking Template'!P734</f>
        <v>30th june 2025</v>
      </c>
      <c r="G734" s="48" t="str">
        <f>'Project Stocktaking Template'!Q734</f>
        <v>30th june 2025</v>
      </c>
      <c r="H734" s="49">
        <f>'Project Stocktaking Template'!R734</f>
        <v>500000</v>
      </c>
      <c r="I734" s="50" t="str">
        <f>'Project Stocktaking Template'!AD734</f>
        <v/>
      </c>
      <c r="J734" s="45"/>
      <c r="K734" s="45"/>
      <c r="L734" s="45"/>
      <c r="M734" s="45"/>
      <c r="N734" s="45"/>
      <c r="O734" s="45"/>
      <c r="P734" s="45"/>
      <c r="Q734" s="45"/>
      <c r="R734" s="45"/>
      <c r="S734" s="45"/>
      <c r="T734" s="45"/>
      <c r="U734" s="45"/>
      <c r="V734" s="45"/>
      <c r="W734" s="45"/>
      <c r="X734" s="45"/>
      <c r="Y734" s="45"/>
      <c r="Z734" s="45"/>
    </row>
    <row r="735">
      <c r="A735" s="51">
        <v>734.0</v>
      </c>
      <c r="B735" s="47" t="str">
        <f>'Project Stocktaking Template'!B735</f>
        <v>GRADING AND IMPROVEMENT OF ABDI SUGOW ROAD</v>
      </c>
      <c r="C735" s="47" t="str">
        <f>'Project Stocktaking Template'!H735</f>
        <v>GarissaTownship</v>
      </c>
      <c r="D735" s="47" t="str">
        <f>'Project Stocktaking Template'!I735</f>
        <v>Township</v>
      </c>
      <c r="E735" s="48" t="str">
        <f>'Project Stocktaking Template'!O735</f>
        <v>1st aug 2024</v>
      </c>
      <c r="F735" s="48" t="str">
        <f>'Project Stocktaking Template'!P735</f>
        <v>30th june 2025</v>
      </c>
      <c r="G735" s="48" t="str">
        <f>'Project Stocktaking Template'!Q735</f>
        <v>30th june 2025</v>
      </c>
      <c r="H735" s="49">
        <f>'Project Stocktaking Template'!R735</f>
        <v>300000</v>
      </c>
      <c r="I735" s="50" t="str">
        <f>'Project Stocktaking Template'!AD735</f>
        <v/>
      </c>
      <c r="J735" s="45"/>
      <c r="K735" s="45"/>
      <c r="L735" s="45"/>
      <c r="M735" s="45"/>
      <c r="N735" s="45"/>
      <c r="O735" s="45"/>
      <c r="P735" s="45"/>
      <c r="Q735" s="45"/>
      <c r="R735" s="45"/>
      <c r="S735" s="45"/>
      <c r="T735" s="45"/>
      <c r="U735" s="45"/>
      <c r="V735" s="45"/>
      <c r="W735" s="45"/>
      <c r="X735" s="45"/>
      <c r="Y735" s="45"/>
      <c r="Z735" s="45"/>
    </row>
    <row r="736">
      <c r="A736" s="46">
        <v>735.0</v>
      </c>
      <c r="B736" s="47" t="str">
        <f>'Project Stocktaking Template'!B736</f>
        <v>GRADING AND IMPROVEMENT OF ABDI SUGOW ROAD</v>
      </c>
      <c r="C736" s="47" t="str">
        <f>'Project Stocktaking Template'!H736</f>
        <v>GarissaTownship</v>
      </c>
      <c r="D736" s="47" t="str">
        <f>'Project Stocktaking Template'!I736</f>
        <v>Township</v>
      </c>
      <c r="E736" s="48" t="str">
        <f>'Project Stocktaking Template'!O736</f>
        <v>1st aug 2024</v>
      </c>
      <c r="F736" s="48" t="str">
        <f>'Project Stocktaking Template'!P736</f>
        <v>30th june 2025</v>
      </c>
      <c r="G736" s="48" t="str">
        <f>'Project Stocktaking Template'!Q736</f>
        <v>30th june 2025</v>
      </c>
      <c r="H736" s="49">
        <f>'Project Stocktaking Template'!R736</f>
        <v>500000</v>
      </c>
      <c r="I736" s="50" t="str">
        <f>'Project Stocktaking Template'!AD736</f>
        <v/>
      </c>
      <c r="J736" s="45"/>
      <c r="K736" s="45"/>
      <c r="L736" s="45"/>
      <c r="M736" s="45"/>
      <c r="N736" s="45"/>
      <c r="O736" s="45"/>
      <c r="P736" s="45"/>
      <c r="Q736" s="45"/>
      <c r="R736" s="45"/>
      <c r="S736" s="45"/>
      <c r="T736" s="45"/>
      <c r="U736" s="45"/>
      <c r="V736" s="45"/>
      <c r="W736" s="45"/>
      <c r="X736" s="45"/>
      <c r="Y736" s="45"/>
      <c r="Z736" s="45"/>
    </row>
    <row r="737">
      <c r="A737" s="51">
        <v>736.0</v>
      </c>
      <c r="B737" s="47" t="str">
        <f>'Project Stocktaking Template'!B737</f>
        <v>CONSTRUCTION OF BED MATERNITY BARKUKE HOSPITAL</v>
      </c>
      <c r="C737" s="47" t="str">
        <f>'Project Stocktaking Template'!H737</f>
        <v>Lagdera</v>
      </c>
      <c r="D737" s="47" t="str">
        <f>'Project Stocktaking Template'!I737</f>
        <v>Benane</v>
      </c>
      <c r="E737" s="48" t="str">
        <f>'Project Stocktaking Template'!O737</f>
        <v>1st aug 2024</v>
      </c>
      <c r="F737" s="48" t="str">
        <f>'Project Stocktaking Template'!P737</f>
        <v>30th june 2025</v>
      </c>
      <c r="G737" s="48" t="str">
        <f>'Project Stocktaking Template'!Q737</f>
        <v>30th june 2025</v>
      </c>
      <c r="H737" s="49">
        <f>'Project Stocktaking Template'!R737</f>
        <v>500000</v>
      </c>
      <c r="I737" s="50" t="str">
        <f>'Project Stocktaking Template'!AD737</f>
        <v/>
      </c>
      <c r="J737" s="45"/>
      <c r="K737" s="45"/>
      <c r="L737" s="45"/>
      <c r="M737" s="45"/>
      <c r="N737" s="45"/>
      <c r="O737" s="45"/>
      <c r="P737" s="45"/>
      <c r="Q737" s="45"/>
      <c r="R737" s="45"/>
      <c r="S737" s="45"/>
      <c r="T737" s="45"/>
      <c r="U737" s="45"/>
      <c r="V737" s="45"/>
      <c r="W737" s="45"/>
      <c r="X737" s="45"/>
      <c r="Y737" s="45"/>
      <c r="Z737" s="45"/>
    </row>
    <row r="738">
      <c r="A738" s="46">
        <v>737.0</v>
      </c>
      <c r="B738" s="47" t="str">
        <f>'Project Stocktaking Template'!B738</f>
        <v>CONSTRUCTION OF NEW WATER AT BILIF</v>
      </c>
      <c r="C738" s="47" t="str">
        <f>'Project Stocktaking Template'!H738</f>
        <v>Dadaab</v>
      </c>
      <c r="D738" s="47" t="str">
        <f>'Project Stocktaking Template'!I738</f>
        <v>Dertu</v>
      </c>
      <c r="E738" s="48" t="str">
        <f>'Project Stocktaking Template'!O738</f>
        <v>1st aug 2024</v>
      </c>
      <c r="F738" s="48" t="str">
        <f>'Project Stocktaking Template'!P738</f>
        <v>30th june 2025</v>
      </c>
      <c r="G738" s="48" t="str">
        <f>'Project Stocktaking Template'!Q738</f>
        <v>30th june 2025</v>
      </c>
      <c r="H738" s="49">
        <f>'Project Stocktaking Template'!R738</f>
        <v>1300000</v>
      </c>
      <c r="I738" s="50" t="str">
        <f>'Project Stocktaking Template'!AD738</f>
        <v/>
      </c>
      <c r="J738" s="45"/>
      <c r="K738" s="45"/>
      <c r="L738" s="45"/>
      <c r="M738" s="45"/>
      <c r="N738" s="45"/>
      <c r="O738" s="45"/>
      <c r="P738" s="45"/>
      <c r="Q738" s="45"/>
      <c r="R738" s="45"/>
      <c r="S738" s="45"/>
      <c r="T738" s="45"/>
      <c r="U738" s="45"/>
      <c r="V738" s="45"/>
      <c r="W738" s="45"/>
      <c r="X738" s="45"/>
      <c r="Y738" s="45"/>
      <c r="Z738" s="45"/>
    </row>
    <row r="739">
      <c r="A739" s="51">
        <v>738.0</v>
      </c>
      <c r="B739" s="47" t="str">
        <f>'Project Stocktaking Template'!B739</f>
        <v>CONSTRUCTION OF ADMIN BLOCK AT DAMAJALEY PRIMARY</v>
      </c>
      <c r="C739" s="47" t="str">
        <f>'Project Stocktaking Template'!H739</f>
        <v>Dadaab</v>
      </c>
      <c r="D739" s="47" t="str">
        <f>'Project Stocktaking Template'!I739</f>
        <v>Damajale</v>
      </c>
      <c r="E739" s="48" t="str">
        <f>'Project Stocktaking Template'!O739</f>
        <v>1st aug 2024</v>
      </c>
      <c r="F739" s="48" t="str">
        <f>'Project Stocktaking Template'!P739</f>
        <v>30th june 2025</v>
      </c>
      <c r="G739" s="48" t="str">
        <f>'Project Stocktaking Template'!Q739</f>
        <v>30th june 2025</v>
      </c>
      <c r="H739" s="49">
        <f>'Project Stocktaking Template'!R739</f>
        <v>300000</v>
      </c>
      <c r="I739" s="50" t="str">
        <f>'Project Stocktaking Template'!AD739</f>
        <v/>
      </c>
      <c r="J739" s="45"/>
      <c r="K739" s="45"/>
      <c r="L739" s="45"/>
      <c r="M739" s="45"/>
      <c r="N739" s="45"/>
      <c r="O739" s="45"/>
      <c r="P739" s="45"/>
      <c r="Q739" s="45"/>
      <c r="R739" s="45"/>
      <c r="S739" s="45"/>
      <c r="T739" s="45"/>
      <c r="U739" s="45"/>
      <c r="V739" s="45"/>
      <c r="W739" s="45"/>
      <c r="X739" s="45"/>
      <c r="Y739" s="45"/>
      <c r="Z739" s="45"/>
    </row>
    <row r="740">
      <c r="A740" s="46">
        <v>739.0</v>
      </c>
      <c r="B740" s="47" t="str">
        <f>'Project Stocktaking Template'!B740</f>
        <v>CONSTRUCTION OF NEW WARER PAN AT MAKAH DADAAB</v>
      </c>
      <c r="C740" s="47" t="str">
        <f>'Project Stocktaking Template'!H740</f>
        <v>Dadaab</v>
      </c>
      <c r="D740" s="47" t="str">
        <f>'Project Stocktaking Template'!I740</f>
        <v>Dadaab</v>
      </c>
      <c r="E740" s="48" t="str">
        <f>'Project Stocktaking Template'!O740</f>
        <v>1st aug 2024</v>
      </c>
      <c r="F740" s="48" t="str">
        <f>'Project Stocktaking Template'!P740</f>
        <v>30th june 2025</v>
      </c>
      <c r="G740" s="48" t="str">
        <f>'Project Stocktaking Template'!Q740</f>
        <v>30th june 2025</v>
      </c>
      <c r="H740" s="49">
        <f>'Project Stocktaking Template'!R740</f>
        <v>1000000</v>
      </c>
      <c r="I740" s="50" t="str">
        <f>'Project Stocktaking Template'!AD740</f>
        <v/>
      </c>
      <c r="J740" s="45"/>
      <c r="K740" s="45"/>
      <c r="L740" s="45"/>
      <c r="M740" s="45"/>
      <c r="N740" s="45"/>
      <c r="O740" s="45"/>
      <c r="P740" s="45"/>
      <c r="Q740" s="45"/>
      <c r="R740" s="45"/>
      <c r="S740" s="45"/>
      <c r="T740" s="45"/>
      <c r="U740" s="45"/>
      <c r="V740" s="45"/>
      <c r="W740" s="45"/>
      <c r="X740" s="45"/>
      <c r="Y740" s="45"/>
      <c r="Z740" s="45"/>
    </row>
    <row r="741">
      <c r="A741" s="51">
        <v>740.0</v>
      </c>
      <c r="B741" s="47" t="str">
        <f>'Project Stocktaking Template'!B741</f>
        <v>CONSTRUCTION OF OUTPATIENT AT FOR BULLA MADINA HEALTH CENTRE</v>
      </c>
      <c r="C741" s="47" t="str">
        <f>'Project Stocktaking Template'!H741</f>
        <v>GarissaTownship</v>
      </c>
      <c r="D741" s="47" t="str">
        <f>'Project Stocktaking Template'!I741</f>
        <v>Galbet</v>
      </c>
      <c r="E741" s="48" t="str">
        <f>'Project Stocktaking Template'!O741</f>
        <v>1st aug 2024</v>
      </c>
      <c r="F741" s="48" t="str">
        <f>'Project Stocktaking Template'!P741</f>
        <v>30th june 2025</v>
      </c>
      <c r="G741" s="48" t="str">
        <f>'Project Stocktaking Template'!Q741</f>
        <v>30th june 2025</v>
      </c>
      <c r="H741" s="49">
        <f>'Project Stocktaking Template'!R741</f>
        <v>1999587</v>
      </c>
      <c r="I741" s="50" t="str">
        <f>'Project Stocktaking Template'!AD741</f>
        <v/>
      </c>
      <c r="J741" s="45"/>
      <c r="K741" s="45"/>
      <c r="L741" s="45"/>
      <c r="M741" s="45"/>
      <c r="N741" s="45"/>
      <c r="O741" s="45"/>
      <c r="P741" s="45"/>
      <c r="Q741" s="45"/>
      <c r="R741" s="45"/>
      <c r="S741" s="45"/>
      <c r="T741" s="45"/>
      <c r="U741" s="45"/>
      <c r="V741" s="45"/>
      <c r="W741" s="45"/>
      <c r="X741" s="45"/>
      <c r="Y741" s="45"/>
      <c r="Z741" s="45"/>
    </row>
    <row r="742">
      <c r="A742" s="46">
        <v>741.0</v>
      </c>
      <c r="B742" s="47" t="str">
        <f>'Project Stocktaking Template'!B742</f>
        <v>DESILTING AND FENCING OF RIG DAAAM AT LAGDERA</v>
      </c>
      <c r="C742" s="47" t="str">
        <f>'Project Stocktaking Template'!H742</f>
        <v>Lagdera</v>
      </c>
      <c r="D742" s="47" t="str">
        <f>'Project Stocktaking Template'!I742</f>
        <v>Maalimin</v>
      </c>
      <c r="E742" s="48" t="str">
        <f>'Project Stocktaking Template'!O742</f>
        <v>1st aug 2024</v>
      </c>
      <c r="F742" s="48" t="str">
        <f>'Project Stocktaking Template'!P742</f>
        <v>30th june 2025</v>
      </c>
      <c r="G742" s="48" t="str">
        <f>'Project Stocktaking Template'!Q742</f>
        <v>30th june 2025</v>
      </c>
      <c r="H742" s="49">
        <f>'Project Stocktaking Template'!R742</f>
        <v>600000</v>
      </c>
      <c r="I742" s="50" t="str">
        <f>'Project Stocktaking Template'!AD742</f>
        <v/>
      </c>
      <c r="J742" s="45"/>
      <c r="K742" s="45"/>
      <c r="L742" s="45"/>
      <c r="M742" s="45"/>
      <c r="N742" s="45"/>
      <c r="O742" s="45"/>
      <c r="P742" s="45"/>
      <c r="Q742" s="45"/>
      <c r="R742" s="45"/>
      <c r="S742" s="45"/>
      <c r="T742" s="45"/>
      <c r="U742" s="45"/>
      <c r="V742" s="45"/>
      <c r="W742" s="45"/>
      <c r="X742" s="45"/>
      <c r="Y742" s="45"/>
      <c r="Z742" s="45"/>
    </row>
    <row r="743">
      <c r="A743" s="51">
        <v>742.0</v>
      </c>
      <c r="B743" s="47" t="str">
        <f>'Project Stocktaking Template'!B743</f>
        <v>CONSTRUCTION AND CHAINLINK FENCE AT LIBAHLOW PRIMARY SCHOOL</v>
      </c>
      <c r="C743" s="47" t="str">
        <f>'Project Stocktaking Template'!H743</f>
        <v>Dadaab</v>
      </c>
      <c r="D743" s="47" t="str">
        <f>'Project Stocktaking Template'!I743</f>
        <v>Abakaile</v>
      </c>
      <c r="E743" s="48" t="str">
        <f>'Project Stocktaking Template'!O743</f>
        <v>1st aug 2024</v>
      </c>
      <c r="F743" s="48" t="str">
        <f>'Project Stocktaking Template'!P743</f>
        <v>30th june 2025</v>
      </c>
      <c r="G743" s="48" t="str">
        <f>'Project Stocktaking Template'!Q743</f>
        <v>30th june 2025</v>
      </c>
      <c r="H743" s="49">
        <f>'Project Stocktaking Template'!R743</f>
        <v>600000</v>
      </c>
      <c r="I743" s="50" t="str">
        <f>'Project Stocktaking Template'!AD743</f>
        <v/>
      </c>
      <c r="J743" s="45"/>
      <c r="K743" s="45"/>
      <c r="L743" s="45"/>
      <c r="M743" s="45"/>
      <c r="N743" s="45"/>
      <c r="O743" s="45"/>
      <c r="P743" s="45"/>
      <c r="Q743" s="45"/>
      <c r="R743" s="45"/>
      <c r="S743" s="45"/>
      <c r="T743" s="45"/>
      <c r="U743" s="45"/>
      <c r="V743" s="45"/>
      <c r="W743" s="45"/>
      <c r="X743" s="45"/>
      <c r="Y743" s="45"/>
      <c r="Z743" s="45"/>
    </row>
    <row r="744">
      <c r="A744" s="46">
        <v>743.0</v>
      </c>
      <c r="B744" s="47" t="str">
        <f>'Project Stocktaking Template'!B744</f>
        <v>CONSTRUCTION OF IFTIN DRIFT</v>
      </c>
      <c r="C744" s="47" t="str">
        <f>'Project Stocktaking Template'!H744</f>
        <v>GarissaTownship</v>
      </c>
      <c r="D744" s="47" t="str">
        <f>'Project Stocktaking Template'!I744</f>
        <v>Iftin</v>
      </c>
      <c r="E744" s="48" t="str">
        <f>'Project Stocktaking Template'!O744</f>
        <v>1st aug 2024</v>
      </c>
      <c r="F744" s="48" t="str">
        <f>'Project Stocktaking Template'!P744</f>
        <v>30th june 2025</v>
      </c>
      <c r="G744" s="48" t="str">
        <f>'Project Stocktaking Template'!Q744</f>
        <v>30th june 2025</v>
      </c>
      <c r="H744" s="49">
        <f>'Project Stocktaking Template'!R744</f>
        <v>1000000</v>
      </c>
      <c r="I744" s="50" t="str">
        <f>'Project Stocktaking Template'!AD744</f>
        <v/>
      </c>
      <c r="J744" s="45"/>
      <c r="K744" s="45"/>
      <c r="L744" s="45"/>
      <c r="M744" s="45"/>
      <c r="N744" s="45"/>
      <c r="O744" s="45"/>
      <c r="P744" s="45"/>
      <c r="Q744" s="45"/>
      <c r="R744" s="45"/>
      <c r="S744" s="45"/>
      <c r="T744" s="45"/>
      <c r="U744" s="45"/>
      <c r="V744" s="45"/>
      <c r="W744" s="45"/>
      <c r="X744" s="45"/>
      <c r="Y744" s="45"/>
      <c r="Z744" s="45"/>
    </row>
    <row r="745">
      <c r="A745" s="51">
        <v>744.0</v>
      </c>
      <c r="B745" s="47" t="str">
        <f>'Project Stocktaking Template'!B745</f>
        <v>RENOVATION OF ECD </v>
      </c>
      <c r="C745" s="47" t="str">
        <f>'Project Stocktaking Template'!H745</f>
        <v>GarissaTownship</v>
      </c>
      <c r="D745" s="47" t="str">
        <f>'Project Stocktaking Template'!I745</f>
        <v>Township</v>
      </c>
      <c r="E745" s="48" t="str">
        <f>'Project Stocktaking Template'!O745</f>
        <v>1st aug 2024</v>
      </c>
      <c r="F745" s="48" t="str">
        <f>'Project Stocktaking Template'!P745</f>
        <v>30th june 2025</v>
      </c>
      <c r="G745" s="48" t="str">
        <f>'Project Stocktaking Template'!Q745</f>
        <v>30th june 2025</v>
      </c>
      <c r="H745" s="49">
        <f>'Project Stocktaking Template'!R745</f>
        <v>1000000</v>
      </c>
      <c r="I745" s="50" t="str">
        <f>'Project Stocktaking Template'!AD745</f>
        <v/>
      </c>
      <c r="J745" s="45"/>
      <c r="K745" s="45"/>
      <c r="L745" s="45"/>
      <c r="M745" s="45"/>
      <c r="N745" s="45"/>
      <c r="O745" s="45"/>
      <c r="P745" s="45"/>
      <c r="Q745" s="45"/>
      <c r="R745" s="45"/>
      <c r="S745" s="45"/>
      <c r="T745" s="45"/>
      <c r="U745" s="45"/>
      <c r="V745" s="45"/>
      <c r="W745" s="45"/>
      <c r="X745" s="45"/>
      <c r="Y745" s="45"/>
      <c r="Z745" s="45"/>
    </row>
    <row r="746">
      <c r="A746" s="46">
        <v>745.0</v>
      </c>
      <c r="B746" s="47" t="str">
        <f>'Project Stocktaking Template'!B746</f>
        <v>RENOVATION OF ADMIN BLOCK STAFF ROOM </v>
      </c>
      <c r="C746" s="47" t="str">
        <f>'Project Stocktaking Template'!H746</f>
        <v>GarissaTownship</v>
      </c>
      <c r="D746" s="47" t="str">
        <f>'Project Stocktaking Template'!I746</f>
        <v>Township</v>
      </c>
      <c r="E746" s="48" t="str">
        <f>'Project Stocktaking Template'!O746</f>
        <v>1st aug 2024</v>
      </c>
      <c r="F746" s="48" t="str">
        <f>'Project Stocktaking Template'!P746</f>
        <v>30th june 2025</v>
      </c>
      <c r="G746" s="48" t="str">
        <f>'Project Stocktaking Template'!Q746</f>
        <v>30th june 2025</v>
      </c>
      <c r="H746" s="49">
        <f>'Project Stocktaking Template'!R746</f>
        <v>1200000</v>
      </c>
      <c r="I746" s="50" t="str">
        <f>'Project Stocktaking Template'!AD746</f>
        <v/>
      </c>
      <c r="J746" s="45"/>
      <c r="K746" s="45"/>
      <c r="L746" s="45"/>
      <c r="M746" s="45"/>
      <c r="N746" s="45"/>
      <c r="O746" s="45"/>
      <c r="P746" s="45"/>
      <c r="Q746" s="45"/>
      <c r="R746" s="45"/>
      <c r="S746" s="45"/>
      <c r="T746" s="45"/>
      <c r="U746" s="45"/>
      <c r="V746" s="45"/>
      <c r="W746" s="45"/>
      <c r="X746" s="45"/>
      <c r="Y746" s="45"/>
      <c r="Z746" s="45"/>
    </row>
    <row r="747">
      <c r="A747" s="51">
        <v>746.0</v>
      </c>
      <c r="B747" s="47" t="str">
        <f>'Project Stocktaking Template'!B747</f>
        <v>CHAINLINK FENCE AT WEKAHBARE PRIMARY</v>
      </c>
      <c r="C747" s="47" t="str">
        <f>'Project Stocktaking Template'!H747</f>
        <v>GarissaTownship</v>
      </c>
      <c r="D747" s="47" t="str">
        <f>'Project Stocktaking Template'!I747</f>
        <v>Township</v>
      </c>
      <c r="E747" s="48" t="str">
        <f>'Project Stocktaking Template'!O747</f>
        <v>1st aug 2024</v>
      </c>
      <c r="F747" s="48" t="str">
        <f>'Project Stocktaking Template'!P747</f>
        <v>30th june 2025</v>
      </c>
      <c r="G747" s="48" t="str">
        <f>'Project Stocktaking Template'!Q747</f>
        <v>30th june 2025</v>
      </c>
      <c r="H747" s="49">
        <f>'Project Stocktaking Template'!R747</f>
        <v>500000</v>
      </c>
      <c r="I747" s="50" t="str">
        <f>'Project Stocktaking Template'!AD747</f>
        <v/>
      </c>
      <c r="J747" s="45"/>
      <c r="K747" s="45"/>
      <c r="L747" s="45"/>
      <c r="M747" s="45"/>
      <c r="N747" s="45"/>
      <c r="O747" s="45"/>
      <c r="P747" s="45"/>
      <c r="Q747" s="45"/>
      <c r="R747" s="45"/>
      <c r="S747" s="45"/>
      <c r="T747" s="45"/>
      <c r="U747" s="45"/>
      <c r="V747" s="45"/>
      <c r="W747" s="45"/>
      <c r="X747" s="45"/>
      <c r="Y747" s="45"/>
      <c r="Z747" s="45"/>
    </row>
    <row r="748">
      <c r="A748" s="46">
        <v>747.0</v>
      </c>
      <c r="B748" s="47" t="str">
        <f>'Project Stocktaking Template'!B748</f>
        <v>REHABILITATION OF SEDAHGOSE BOREHOLE</v>
      </c>
      <c r="C748" s="47" t="str">
        <f>'Project Stocktaking Template'!H748</f>
        <v>GarissaTownship</v>
      </c>
      <c r="D748" s="47" t="str">
        <f>'Project Stocktaking Template'!I748</f>
        <v>Township</v>
      </c>
      <c r="E748" s="48" t="str">
        <f>'Project Stocktaking Template'!O748</f>
        <v>1st aug 2024</v>
      </c>
      <c r="F748" s="48" t="str">
        <f>'Project Stocktaking Template'!P748</f>
        <v>30th june 2025</v>
      </c>
      <c r="G748" s="48" t="str">
        <f>'Project Stocktaking Template'!Q748</f>
        <v>30th june 2025</v>
      </c>
      <c r="H748" s="49">
        <f>'Project Stocktaking Template'!R748</f>
        <v>1000000</v>
      </c>
      <c r="I748" s="50" t="str">
        <f>'Project Stocktaking Template'!AD748</f>
        <v/>
      </c>
      <c r="J748" s="45"/>
      <c r="K748" s="45"/>
      <c r="L748" s="45"/>
      <c r="M748" s="45"/>
      <c r="N748" s="45"/>
      <c r="O748" s="45"/>
      <c r="P748" s="45"/>
      <c r="Q748" s="45"/>
      <c r="R748" s="45"/>
      <c r="S748" s="45"/>
      <c r="T748" s="45"/>
      <c r="U748" s="45"/>
      <c r="V748" s="45"/>
      <c r="W748" s="45"/>
      <c r="X748" s="45"/>
      <c r="Y748" s="45"/>
      <c r="Z748" s="45"/>
    </row>
    <row r="749">
      <c r="A749" s="51">
        <v>748.0</v>
      </c>
      <c r="B749" s="47" t="str">
        <f>'Project Stocktaking Template'!B749</f>
        <v>REFURBISHMENT OF DISPENSARY BLOCK AT DADAAB SUB COUNTY HOSPITAL</v>
      </c>
      <c r="C749" s="47" t="str">
        <f>'Project Stocktaking Template'!H749</f>
        <v>Dadaab</v>
      </c>
      <c r="D749" s="47" t="str">
        <f>'Project Stocktaking Template'!I749</f>
        <v>Township</v>
      </c>
      <c r="E749" s="48" t="str">
        <f>'Project Stocktaking Template'!O749</f>
        <v>1st aug 2024</v>
      </c>
      <c r="F749" s="48" t="str">
        <f>'Project Stocktaking Template'!P749</f>
        <v>30th june 2025</v>
      </c>
      <c r="G749" s="48" t="str">
        <f>'Project Stocktaking Template'!Q749</f>
        <v>30th june 2025</v>
      </c>
      <c r="H749" s="49">
        <f>'Project Stocktaking Template'!R749</f>
        <v>500000</v>
      </c>
      <c r="I749" s="50" t="str">
        <f>'Project Stocktaking Template'!AD749</f>
        <v/>
      </c>
      <c r="J749" s="45"/>
      <c r="K749" s="45"/>
      <c r="L749" s="45"/>
      <c r="M749" s="45"/>
      <c r="N749" s="45"/>
      <c r="O749" s="45"/>
      <c r="P749" s="45"/>
      <c r="Q749" s="45"/>
      <c r="R749" s="45"/>
      <c r="S749" s="45"/>
      <c r="T749" s="45"/>
      <c r="U749" s="45"/>
      <c r="V749" s="45"/>
      <c r="W749" s="45"/>
      <c r="X749" s="45"/>
      <c r="Y749" s="45"/>
      <c r="Z749" s="45"/>
    </row>
    <row r="750">
      <c r="A750" s="46">
        <v>749.0</v>
      </c>
      <c r="B750" s="47" t="str">
        <f>'Project Stocktaking Template'!B750</f>
        <v>PROVIDION OF CAR HIRE SERVICES</v>
      </c>
      <c r="C750" s="47" t="str">
        <f>'Project Stocktaking Template'!H750</f>
        <v>GarissaTownship</v>
      </c>
      <c r="D750" s="47" t="str">
        <f>'Project Stocktaking Template'!I750</f>
        <v>Township</v>
      </c>
      <c r="E750" s="48" t="str">
        <f>'Project Stocktaking Template'!O750</f>
        <v>1st aug 2024</v>
      </c>
      <c r="F750" s="48" t="str">
        <f>'Project Stocktaking Template'!P750</f>
        <v>30th june 2025</v>
      </c>
      <c r="G750" s="48" t="str">
        <f>'Project Stocktaking Template'!Q750</f>
        <v>30th june 2025</v>
      </c>
      <c r="H750" s="49">
        <f>'Project Stocktaking Template'!R750</f>
        <v>1500000</v>
      </c>
      <c r="I750" s="50" t="str">
        <f>'Project Stocktaking Template'!AD750</f>
        <v/>
      </c>
      <c r="J750" s="45"/>
      <c r="K750" s="45"/>
      <c r="L750" s="45"/>
      <c r="M750" s="45"/>
      <c r="N750" s="45"/>
      <c r="O750" s="45"/>
      <c r="P750" s="45"/>
      <c r="Q750" s="45"/>
      <c r="R750" s="45"/>
      <c r="S750" s="45"/>
      <c r="T750" s="45"/>
      <c r="U750" s="45"/>
      <c r="V750" s="45"/>
      <c r="W750" s="45"/>
      <c r="X750" s="45"/>
      <c r="Y750" s="45"/>
      <c r="Z750" s="45"/>
    </row>
    <row r="751">
      <c r="A751" s="51">
        <v>750.0</v>
      </c>
      <c r="B751" s="47" t="str">
        <f>'Project Stocktaking Template'!B751</f>
        <v>CAR HIRE SERVICE</v>
      </c>
      <c r="C751" s="47" t="str">
        <f>'Project Stocktaking Template'!H751</f>
        <v>GarissaTownship</v>
      </c>
      <c r="D751" s="47" t="str">
        <f>'Project Stocktaking Template'!I751</f>
        <v>Township</v>
      </c>
      <c r="E751" s="48" t="str">
        <f>'Project Stocktaking Template'!O751</f>
        <v>1st aug 2024</v>
      </c>
      <c r="F751" s="48" t="str">
        <f>'Project Stocktaking Template'!P751</f>
        <v>30th june 2025</v>
      </c>
      <c r="G751" s="48" t="str">
        <f>'Project Stocktaking Template'!Q751</f>
        <v>30th june 2025</v>
      </c>
      <c r="H751" s="49">
        <f>'Project Stocktaking Template'!R751</f>
        <v>330000</v>
      </c>
      <c r="I751" s="50" t="str">
        <f>'Project Stocktaking Template'!AD751</f>
        <v/>
      </c>
      <c r="J751" s="45"/>
      <c r="K751" s="45"/>
      <c r="L751" s="45"/>
      <c r="M751" s="45"/>
      <c r="N751" s="45"/>
      <c r="O751" s="45"/>
      <c r="P751" s="45"/>
      <c r="Q751" s="45"/>
      <c r="R751" s="45"/>
      <c r="S751" s="45"/>
      <c r="T751" s="45"/>
      <c r="U751" s="45"/>
      <c r="V751" s="45"/>
      <c r="W751" s="45"/>
      <c r="X751" s="45"/>
      <c r="Y751" s="45"/>
      <c r="Z751" s="45"/>
    </row>
    <row r="752">
      <c r="A752" s="46">
        <v>751.0</v>
      </c>
      <c r="B752" s="47" t="str">
        <f>'Project Stocktaking Template'!B752</f>
        <v>SUPPLY AND DELIVERY OF OFFICE FURNITURES</v>
      </c>
      <c r="C752" s="47" t="str">
        <f>'Project Stocktaking Template'!H752</f>
        <v>GarissaTownship</v>
      </c>
      <c r="D752" s="47" t="str">
        <f>'Project Stocktaking Template'!I752</f>
        <v>Township</v>
      </c>
      <c r="E752" s="48" t="str">
        <f>'Project Stocktaking Template'!O752</f>
        <v>1st aug 2024</v>
      </c>
      <c r="F752" s="48" t="str">
        <f>'Project Stocktaking Template'!P752</f>
        <v>30th june 2025</v>
      </c>
      <c r="G752" s="48" t="str">
        <f>'Project Stocktaking Template'!Q752</f>
        <v>30th june 2025</v>
      </c>
      <c r="H752" s="49">
        <f>'Project Stocktaking Template'!R752</f>
        <v>300000</v>
      </c>
      <c r="I752" s="50" t="str">
        <f>'Project Stocktaking Template'!AD752</f>
        <v/>
      </c>
      <c r="J752" s="45"/>
      <c r="K752" s="45"/>
      <c r="L752" s="45"/>
      <c r="M752" s="45"/>
      <c r="N752" s="45"/>
      <c r="O752" s="45"/>
      <c r="P752" s="45"/>
      <c r="Q752" s="45"/>
      <c r="R752" s="45"/>
      <c r="S752" s="45"/>
      <c r="T752" s="45"/>
      <c r="U752" s="45"/>
      <c r="V752" s="45"/>
      <c r="W752" s="45"/>
      <c r="X752" s="45"/>
      <c r="Y752" s="45"/>
      <c r="Z752" s="45"/>
    </row>
    <row r="753">
      <c r="A753" s="51">
        <v>752.0</v>
      </c>
      <c r="B753" s="47" t="str">
        <f>'Project Stocktaking Template'!B753</f>
        <v>CONSTRUCTION OF CLASSROOM AT TOKOJO PRIMARY</v>
      </c>
      <c r="C753" s="47" t="str">
        <f>'Project Stocktaking Template'!H753</f>
        <v>GarissaTownship</v>
      </c>
      <c r="D753" s="47" t="str">
        <f>'Project Stocktaking Template'!I753</f>
        <v>Township</v>
      </c>
      <c r="E753" s="48" t="str">
        <f>'Project Stocktaking Template'!O753</f>
        <v>1st aug 2024</v>
      </c>
      <c r="F753" s="48" t="str">
        <f>'Project Stocktaking Template'!P753</f>
        <v>30th june 2025</v>
      </c>
      <c r="G753" s="48" t="str">
        <f>'Project Stocktaking Template'!Q753</f>
        <v>30th june 2025</v>
      </c>
      <c r="H753" s="49">
        <f>'Project Stocktaking Template'!R753</f>
        <v>500000</v>
      </c>
      <c r="I753" s="50" t="str">
        <f>'Project Stocktaking Template'!AD753</f>
        <v/>
      </c>
      <c r="J753" s="45"/>
      <c r="K753" s="45"/>
      <c r="L753" s="45"/>
      <c r="M753" s="45"/>
      <c r="N753" s="45"/>
      <c r="O753" s="45"/>
      <c r="P753" s="45"/>
      <c r="Q753" s="45"/>
      <c r="R753" s="45"/>
      <c r="S753" s="45"/>
      <c r="T753" s="45"/>
      <c r="U753" s="45"/>
      <c r="V753" s="45"/>
      <c r="W753" s="45"/>
      <c r="X753" s="45"/>
      <c r="Y753" s="45"/>
      <c r="Z753" s="45"/>
    </row>
    <row r="754">
      <c r="A754" s="46">
        <v>753.0</v>
      </c>
      <c r="B754" s="47" t="str">
        <f>'Project Stocktaking Template'!B754</f>
        <v>RENOVATION OF GK HOUSE</v>
      </c>
      <c r="C754" s="47" t="str">
        <f>'Project Stocktaking Template'!H754</f>
        <v>GarissaTownship</v>
      </c>
      <c r="D754" s="47" t="str">
        <f>'Project Stocktaking Template'!I754</f>
        <v>Township</v>
      </c>
      <c r="E754" s="48" t="str">
        <f>'Project Stocktaking Template'!O754</f>
        <v>1st aug 2024</v>
      </c>
      <c r="F754" s="48" t="str">
        <f>'Project Stocktaking Template'!P754</f>
        <v>30th june 2025</v>
      </c>
      <c r="G754" s="48" t="str">
        <f>'Project Stocktaking Template'!Q754</f>
        <v>30th june 2025</v>
      </c>
      <c r="H754" s="49">
        <f>'Project Stocktaking Template'!R754</f>
        <v>500000</v>
      </c>
      <c r="I754" s="50" t="str">
        <f>'Project Stocktaking Template'!AD754</f>
        <v/>
      </c>
      <c r="J754" s="45"/>
      <c r="K754" s="45"/>
      <c r="L754" s="45"/>
      <c r="M754" s="45"/>
      <c r="N754" s="45"/>
      <c r="O754" s="45"/>
      <c r="P754" s="45"/>
      <c r="Q754" s="45"/>
      <c r="R754" s="45"/>
      <c r="S754" s="45"/>
      <c r="T754" s="45"/>
      <c r="U754" s="45"/>
      <c r="V754" s="45"/>
      <c r="W754" s="45"/>
      <c r="X754" s="45"/>
      <c r="Y754" s="45"/>
      <c r="Z754" s="45"/>
    </row>
    <row r="755">
      <c r="A755" s="51">
        <v>754.0</v>
      </c>
      <c r="B755" s="47" t="str">
        <f>'Project Stocktaking Template'!B755</f>
        <v>RENOVATION WORKS AND CHAINLINK FENCE AT SHANTABAQ</v>
      </c>
      <c r="C755" s="47" t="str">
        <f>'Project Stocktaking Template'!H755</f>
        <v>Lagdera</v>
      </c>
      <c r="D755" s="47" t="str">
        <f>'Project Stocktaking Template'!I755</f>
        <v>Baraki</v>
      </c>
      <c r="E755" s="48" t="str">
        <f>'Project Stocktaking Template'!O755</f>
        <v>1st aug 2024</v>
      </c>
      <c r="F755" s="48" t="str">
        <f>'Project Stocktaking Template'!P755</f>
        <v>30th june 2025</v>
      </c>
      <c r="G755" s="48" t="str">
        <f>'Project Stocktaking Template'!Q755</f>
        <v>30th june 2025</v>
      </c>
      <c r="H755" s="49">
        <f>'Project Stocktaking Template'!R755</f>
        <v>500000</v>
      </c>
      <c r="I755" s="50" t="str">
        <f>'Project Stocktaking Template'!AD755</f>
        <v/>
      </c>
      <c r="J755" s="45"/>
      <c r="K755" s="45"/>
      <c r="L755" s="45"/>
      <c r="M755" s="45"/>
      <c r="N755" s="45"/>
      <c r="O755" s="45"/>
      <c r="P755" s="45"/>
      <c r="Q755" s="45"/>
      <c r="R755" s="45"/>
      <c r="S755" s="45"/>
      <c r="T755" s="45"/>
      <c r="U755" s="45"/>
      <c r="V755" s="45"/>
      <c r="W755" s="45"/>
      <c r="X755" s="45"/>
      <c r="Y755" s="45"/>
      <c r="Z755" s="45"/>
    </row>
    <row r="756">
      <c r="A756" s="46">
        <v>755.0</v>
      </c>
      <c r="B756" s="47" t="str">
        <f>'Project Stocktaking Template'!B756</f>
        <v>CONSTRUCTION OF DINNING HALL AT LIBOI</v>
      </c>
      <c r="C756" s="47" t="str">
        <f>'Project Stocktaking Template'!H756</f>
        <v>Dadaab</v>
      </c>
      <c r="D756" s="47" t="str">
        <f>'Project Stocktaking Template'!I756</f>
        <v>Liboi</v>
      </c>
      <c r="E756" s="48" t="str">
        <f>'Project Stocktaking Template'!O756</f>
        <v>1st aug 2024</v>
      </c>
      <c r="F756" s="48" t="str">
        <f>'Project Stocktaking Template'!P756</f>
        <v>30th june 2025</v>
      </c>
      <c r="G756" s="48" t="str">
        <f>'Project Stocktaking Template'!Q756</f>
        <v>30th june 2025</v>
      </c>
      <c r="H756" s="49">
        <f>'Project Stocktaking Template'!R756</f>
        <v>300000</v>
      </c>
      <c r="I756" s="50" t="str">
        <f>'Project Stocktaking Template'!AD756</f>
        <v/>
      </c>
      <c r="J756" s="45"/>
      <c r="K756" s="45"/>
      <c r="L756" s="45"/>
      <c r="M756" s="45"/>
      <c r="N756" s="45"/>
      <c r="O756" s="45"/>
      <c r="P756" s="45"/>
      <c r="Q756" s="45"/>
      <c r="R756" s="45"/>
      <c r="S756" s="45"/>
      <c r="T756" s="45"/>
      <c r="U756" s="45"/>
      <c r="V756" s="45"/>
      <c r="W756" s="45"/>
      <c r="X756" s="45"/>
      <c r="Y756" s="45"/>
      <c r="Z756" s="45"/>
    </row>
    <row r="757">
      <c r="A757" s="51">
        <v>756.0</v>
      </c>
      <c r="B757" s="47" t="str">
        <f>'Project Stocktaking Template'!B757</f>
        <v>GRADING AND IMPROVEMENT OF ROADS</v>
      </c>
      <c r="C757" s="47" t="str">
        <f>'Project Stocktaking Template'!H757</f>
        <v>GarissaTownship</v>
      </c>
      <c r="D757" s="47" t="str">
        <f>'Project Stocktaking Template'!I757</f>
        <v>Township</v>
      </c>
      <c r="E757" s="48" t="str">
        <f>'Project Stocktaking Template'!O757</f>
        <v>1st aug 2024</v>
      </c>
      <c r="F757" s="48" t="str">
        <f>'Project Stocktaking Template'!P757</f>
        <v>30th june 2025</v>
      </c>
      <c r="G757" s="48" t="str">
        <f>'Project Stocktaking Template'!Q757</f>
        <v>30th june 2025</v>
      </c>
      <c r="H757" s="49">
        <f>'Project Stocktaking Template'!R757</f>
        <v>500000</v>
      </c>
      <c r="I757" s="50" t="str">
        <f>'Project Stocktaking Template'!AD757</f>
        <v/>
      </c>
      <c r="J757" s="45"/>
      <c r="K757" s="45"/>
      <c r="L757" s="45"/>
      <c r="M757" s="45"/>
      <c r="N757" s="45"/>
      <c r="O757" s="45"/>
      <c r="P757" s="45"/>
      <c r="Q757" s="45"/>
      <c r="R757" s="45"/>
      <c r="S757" s="45"/>
      <c r="T757" s="45"/>
      <c r="U757" s="45"/>
      <c r="V757" s="45"/>
      <c r="W757" s="45"/>
      <c r="X757" s="45"/>
      <c r="Y757" s="45"/>
      <c r="Z757" s="45"/>
    </row>
    <row r="758">
      <c r="A758" s="46">
        <v>757.0</v>
      </c>
      <c r="B758" s="47" t="str">
        <f>'Project Stocktaking Template'!B758</f>
        <v>RENNOVATION AT SAKA PRIMARY</v>
      </c>
      <c r="C758" s="47" t="str">
        <f>'Project Stocktaking Template'!H758</f>
        <v>Balambala</v>
      </c>
      <c r="D758" s="47" t="str">
        <f>'Project Stocktaking Template'!I758</f>
        <v>Saka</v>
      </c>
      <c r="E758" s="48" t="str">
        <f>'Project Stocktaking Template'!O758</f>
        <v>1st aug 2024</v>
      </c>
      <c r="F758" s="48" t="str">
        <f>'Project Stocktaking Template'!P758</f>
        <v>30th june 2025</v>
      </c>
      <c r="G758" s="48" t="str">
        <f>'Project Stocktaking Template'!Q758</f>
        <v>30th june 2025</v>
      </c>
      <c r="H758" s="49">
        <f>'Project Stocktaking Template'!R758</f>
        <v>300000</v>
      </c>
      <c r="I758" s="50" t="str">
        <f>'Project Stocktaking Template'!AD758</f>
        <v/>
      </c>
      <c r="J758" s="45"/>
      <c r="K758" s="45"/>
      <c r="L758" s="45"/>
      <c r="M758" s="45"/>
      <c r="N758" s="45"/>
      <c r="O758" s="45"/>
      <c r="P758" s="45"/>
      <c r="Q758" s="45"/>
      <c r="R758" s="45"/>
      <c r="S758" s="45"/>
      <c r="T758" s="45"/>
      <c r="U758" s="45"/>
      <c r="V758" s="45"/>
      <c r="W758" s="45"/>
      <c r="X758" s="45"/>
      <c r="Y758" s="45"/>
      <c r="Z758" s="45"/>
    </row>
    <row r="759">
      <c r="A759" s="51">
        <v>758.0</v>
      </c>
      <c r="B759" s="47" t="str">
        <f>'Project Stocktaking Template'!B759</f>
        <v>CONSTRUCTION OF X RAY BLOCK DADAAB HOSPITAL</v>
      </c>
      <c r="C759" s="47" t="str">
        <f>'Project Stocktaking Template'!H759</f>
        <v>Dadaab</v>
      </c>
      <c r="D759" s="47" t="str">
        <f>'Project Stocktaking Template'!I759</f>
        <v>Dadaab</v>
      </c>
      <c r="E759" s="48" t="str">
        <f>'Project Stocktaking Template'!O759</f>
        <v>1st aug 2024</v>
      </c>
      <c r="F759" s="48" t="str">
        <f>'Project Stocktaking Template'!P759</f>
        <v>30th june 2025</v>
      </c>
      <c r="G759" s="48" t="str">
        <f>'Project Stocktaking Template'!Q759</f>
        <v>30th june 2025</v>
      </c>
      <c r="H759" s="49">
        <f>'Project Stocktaking Template'!R759</f>
        <v>500000</v>
      </c>
      <c r="I759" s="50" t="str">
        <f>'Project Stocktaking Template'!AD759</f>
        <v/>
      </c>
      <c r="J759" s="45"/>
      <c r="K759" s="45"/>
      <c r="L759" s="45"/>
      <c r="M759" s="45"/>
      <c r="N759" s="45"/>
      <c r="O759" s="45"/>
      <c r="P759" s="45"/>
      <c r="Q759" s="45"/>
      <c r="R759" s="45"/>
      <c r="S759" s="45"/>
      <c r="T759" s="45"/>
      <c r="U759" s="45"/>
      <c r="V759" s="45"/>
      <c r="W759" s="45"/>
      <c r="X759" s="45"/>
      <c r="Y759" s="45"/>
      <c r="Z759" s="45"/>
    </row>
    <row r="760">
      <c r="A760" s="46">
        <v>759.0</v>
      </c>
      <c r="B760" s="47" t="str">
        <f>'Project Stocktaking Template'!B760</f>
        <v>CONSTRUCTION OF DEGELEMA WATER IN DADAAAB</v>
      </c>
      <c r="C760" s="47" t="str">
        <f>'Project Stocktaking Template'!H760</f>
        <v>Dadaab</v>
      </c>
      <c r="D760" s="47" t="str">
        <f>'Project Stocktaking Template'!I760</f>
        <v>Dadaab</v>
      </c>
      <c r="E760" s="48" t="str">
        <f>'Project Stocktaking Template'!O760</f>
        <v>1st aug 2024</v>
      </c>
      <c r="F760" s="48" t="str">
        <f>'Project Stocktaking Template'!P760</f>
        <v>30th june 2025</v>
      </c>
      <c r="G760" s="48" t="str">
        <f>'Project Stocktaking Template'!Q760</f>
        <v>30th june 2025</v>
      </c>
      <c r="H760" s="49">
        <f>'Project Stocktaking Template'!R760</f>
        <v>500000</v>
      </c>
      <c r="I760" s="50" t="str">
        <f>'Project Stocktaking Template'!AD760</f>
        <v/>
      </c>
      <c r="J760" s="45"/>
      <c r="K760" s="45"/>
      <c r="L760" s="45"/>
      <c r="M760" s="45"/>
      <c r="N760" s="45"/>
      <c r="O760" s="45"/>
      <c r="P760" s="45"/>
      <c r="Q760" s="45"/>
      <c r="R760" s="45"/>
      <c r="S760" s="45"/>
      <c r="T760" s="45"/>
      <c r="U760" s="45"/>
      <c r="V760" s="45"/>
      <c r="W760" s="45"/>
      <c r="X760" s="45"/>
      <c r="Y760" s="45"/>
      <c r="Z760" s="45"/>
    </row>
    <row r="761">
      <c r="A761" s="51">
        <v>760.0</v>
      </c>
      <c r="B761" s="47" t="str">
        <f>'Project Stocktaking Template'!B761</f>
        <v>CHAINLINK FENCE BLOCK WALLING CAPROS PAVING WAITING BAY AT DADAAB MUNICIPLAITY HEADQUATER</v>
      </c>
      <c r="C761" s="47" t="str">
        <f>'Project Stocktaking Template'!H761</f>
        <v>Dadaab</v>
      </c>
      <c r="D761" s="47" t="str">
        <f>'Project Stocktaking Template'!I761</f>
        <v>Dadaab</v>
      </c>
      <c r="E761" s="48" t="str">
        <f>'Project Stocktaking Template'!O761</f>
        <v>1st aug 2024</v>
      </c>
      <c r="F761" s="48" t="str">
        <f>'Project Stocktaking Template'!P761</f>
        <v>30th june 2025</v>
      </c>
      <c r="G761" s="48" t="str">
        <f>'Project Stocktaking Template'!Q761</f>
        <v>30th june 2025</v>
      </c>
      <c r="H761" s="49">
        <f>'Project Stocktaking Template'!R761</f>
        <v>500000</v>
      </c>
      <c r="I761" s="50" t="str">
        <f>'Project Stocktaking Template'!AD761</f>
        <v/>
      </c>
      <c r="J761" s="45"/>
      <c r="K761" s="45"/>
      <c r="L761" s="45"/>
      <c r="M761" s="45"/>
      <c r="N761" s="45"/>
      <c r="O761" s="45"/>
      <c r="P761" s="45"/>
      <c r="Q761" s="45"/>
      <c r="R761" s="45"/>
      <c r="S761" s="45"/>
      <c r="T761" s="45"/>
      <c r="U761" s="45"/>
      <c r="V761" s="45"/>
      <c r="W761" s="45"/>
      <c r="X761" s="45"/>
      <c r="Y761" s="45"/>
      <c r="Z761" s="45"/>
    </row>
    <row r="762">
      <c r="A762" s="46">
        <v>761.0</v>
      </c>
      <c r="B762" s="47" t="str">
        <f>'Project Stocktaking Template'!B762</f>
        <v>CHAINLINK FENCE AT MODIKAPRIMARY</v>
      </c>
      <c r="C762" s="47" t="str">
        <f>'Project Stocktaking Template'!H762</f>
        <v>GarissaTownship</v>
      </c>
      <c r="D762" s="47" t="str">
        <f>'Project Stocktaking Template'!I762</f>
        <v>Township</v>
      </c>
      <c r="E762" s="48" t="str">
        <f>'Project Stocktaking Template'!O762</f>
        <v>1st aug 2024</v>
      </c>
      <c r="F762" s="48" t="str">
        <f>'Project Stocktaking Template'!P762</f>
        <v>30th june 2025</v>
      </c>
      <c r="G762" s="48" t="str">
        <f>'Project Stocktaking Template'!Q762</f>
        <v>30th june 2025</v>
      </c>
      <c r="H762" s="49">
        <f>'Project Stocktaking Template'!R762</f>
        <v>1000000</v>
      </c>
      <c r="I762" s="50" t="str">
        <f>'Project Stocktaking Template'!AD762</f>
        <v/>
      </c>
      <c r="J762" s="45"/>
      <c r="K762" s="45"/>
      <c r="L762" s="45"/>
      <c r="M762" s="45"/>
      <c r="N762" s="45"/>
      <c r="O762" s="45"/>
      <c r="P762" s="45"/>
      <c r="Q762" s="45"/>
      <c r="R762" s="45"/>
      <c r="S762" s="45"/>
      <c r="T762" s="45"/>
      <c r="U762" s="45"/>
      <c r="V762" s="45"/>
      <c r="W762" s="45"/>
      <c r="X762" s="45"/>
      <c r="Y762" s="45"/>
      <c r="Z762" s="45"/>
    </row>
    <row r="763">
      <c r="A763" s="51">
        <v>762.0</v>
      </c>
      <c r="B763" s="47" t="str">
        <f>'Project Stocktaking Template'!B763</f>
        <v>EQUIPING OF BAHURI BOREHOLE IN DERTU WARD</v>
      </c>
      <c r="C763" s="47" t="str">
        <f>'Project Stocktaking Template'!H763</f>
        <v>Dadaab</v>
      </c>
      <c r="D763" s="47" t="str">
        <f>'Project Stocktaking Template'!I763</f>
        <v>Dadaab</v>
      </c>
      <c r="E763" s="48" t="str">
        <f>'Project Stocktaking Template'!O763</f>
        <v>1st aug 2024</v>
      </c>
      <c r="F763" s="48" t="str">
        <f>'Project Stocktaking Template'!P763</f>
        <v>30th june 2025</v>
      </c>
      <c r="G763" s="48" t="str">
        <f>'Project Stocktaking Template'!Q763</f>
        <v>30th june 2025</v>
      </c>
      <c r="H763" s="49">
        <f>'Project Stocktaking Template'!R763</f>
        <v>800000</v>
      </c>
      <c r="I763" s="50" t="str">
        <f>'Project Stocktaking Template'!AD763</f>
        <v/>
      </c>
      <c r="J763" s="45"/>
      <c r="K763" s="45"/>
      <c r="L763" s="45"/>
      <c r="M763" s="45"/>
      <c r="N763" s="45"/>
      <c r="O763" s="45"/>
      <c r="P763" s="45"/>
      <c r="Q763" s="45"/>
      <c r="R763" s="45"/>
      <c r="S763" s="45"/>
      <c r="T763" s="45"/>
      <c r="U763" s="45"/>
      <c r="V763" s="45"/>
      <c r="W763" s="45"/>
      <c r="X763" s="45"/>
      <c r="Y763" s="45"/>
      <c r="Z763" s="45"/>
    </row>
    <row r="764">
      <c r="A764" s="46">
        <v>763.0</v>
      </c>
      <c r="B764" s="47" t="str">
        <f>'Project Stocktaking Template'!B764</f>
        <v>RENNOVATION WORKS AND CHAILNLINK FENCE AT KIWANJA PRIMARY</v>
      </c>
      <c r="C764" s="47" t="str">
        <f>'Project Stocktaking Template'!H764</f>
        <v>GarissaTownship</v>
      </c>
      <c r="D764" s="47" t="str">
        <f>'Project Stocktaking Template'!I764</f>
        <v>Township</v>
      </c>
      <c r="E764" s="48" t="str">
        <f>'Project Stocktaking Template'!O764</f>
        <v>1st aug 2024</v>
      </c>
      <c r="F764" s="48" t="str">
        <f>'Project Stocktaking Template'!P764</f>
        <v>30th june 2025</v>
      </c>
      <c r="G764" s="48" t="str">
        <f>'Project Stocktaking Template'!Q764</f>
        <v>30th june 2025</v>
      </c>
      <c r="H764" s="49">
        <f>'Project Stocktaking Template'!R764</f>
        <v>1400000</v>
      </c>
      <c r="I764" s="50" t="str">
        <f>'Project Stocktaking Template'!AD764</f>
        <v/>
      </c>
      <c r="J764" s="45"/>
      <c r="K764" s="45"/>
      <c r="L764" s="45"/>
      <c r="M764" s="45"/>
      <c r="N764" s="45"/>
      <c r="O764" s="45"/>
      <c r="P764" s="45"/>
      <c r="Q764" s="45"/>
      <c r="R764" s="45"/>
      <c r="S764" s="45"/>
      <c r="T764" s="45"/>
      <c r="U764" s="45"/>
      <c r="V764" s="45"/>
      <c r="W764" s="45"/>
      <c r="X764" s="45"/>
      <c r="Y764" s="45"/>
      <c r="Z764" s="45"/>
    </row>
    <row r="765">
      <c r="A765" s="51">
        <v>764.0</v>
      </c>
      <c r="B765" s="47" t="str">
        <f>'Project Stocktaking Template'!B765</f>
        <v>CONSTRUCTION OF MASONARY PERIMETER FENCE AT GARISSA COUNTY REFERAL HOSPITAL</v>
      </c>
      <c r="C765" s="47" t="str">
        <f>'Project Stocktaking Template'!H765</f>
        <v>GarissaTownship</v>
      </c>
      <c r="D765" s="47" t="str">
        <f>'Project Stocktaking Template'!I765</f>
        <v>Township</v>
      </c>
      <c r="E765" s="48" t="str">
        <f>'Project Stocktaking Template'!O765</f>
        <v>1st aug 2024</v>
      </c>
      <c r="F765" s="48" t="str">
        <f>'Project Stocktaking Template'!P765</f>
        <v>30th june 2025</v>
      </c>
      <c r="G765" s="48" t="str">
        <f>'Project Stocktaking Template'!Q765</f>
        <v>30th june 2025</v>
      </c>
      <c r="H765" s="49">
        <f>'Project Stocktaking Template'!R765</f>
        <v>8893447</v>
      </c>
      <c r="I765" s="50" t="str">
        <f>'Project Stocktaking Template'!AD765</f>
        <v/>
      </c>
      <c r="J765" s="45"/>
      <c r="K765" s="45"/>
      <c r="L765" s="45"/>
      <c r="M765" s="45"/>
      <c r="N765" s="45"/>
      <c r="O765" s="45"/>
      <c r="P765" s="45"/>
      <c r="Q765" s="45"/>
      <c r="R765" s="45"/>
      <c r="S765" s="45"/>
      <c r="T765" s="45"/>
      <c r="U765" s="45"/>
      <c r="V765" s="45"/>
      <c r="W765" s="45"/>
      <c r="X765" s="45"/>
      <c r="Y765" s="45"/>
      <c r="Z765" s="45"/>
    </row>
    <row r="766">
      <c r="A766" s="46">
        <v>765.0</v>
      </c>
      <c r="B766" s="47" t="str">
        <f>'Project Stocktaking Template'!B766</f>
        <v>CONSTRUCTION OF IRRIGATION INFRUSTURE AT ABAROT FARM</v>
      </c>
      <c r="C766" s="47" t="str">
        <f>'Project Stocktaking Template'!H766</f>
        <v>GarissaTownship</v>
      </c>
      <c r="D766" s="47" t="str">
        <f>'Project Stocktaking Template'!I766</f>
        <v>Township</v>
      </c>
      <c r="E766" s="48" t="str">
        <f>'Project Stocktaking Template'!O766</f>
        <v>1st aug 2024</v>
      </c>
      <c r="F766" s="48" t="str">
        <f>'Project Stocktaking Template'!P766</f>
        <v>30th june 2025</v>
      </c>
      <c r="G766" s="48" t="str">
        <f>'Project Stocktaking Template'!Q766</f>
        <v>30th june 2025</v>
      </c>
      <c r="H766" s="49">
        <f>'Project Stocktaking Template'!R766</f>
        <v>600000</v>
      </c>
      <c r="I766" s="50" t="str">
        <f>'Project Stocktaking Template'!AD766</f>
        <v/>
      </c>
      <c r="J766" s="45"/>
      <c r="K766" s="45"/>
      <c r="L766" s="45"/>
      <c r="M766" s="45"/>
      <c r="N766" s="45"/>
      <c r="O766" s="45"/>
      <c r="P766" s="45"/>
      <c r="Q766" s="45"/>
      <c r="R766" s="45"/>
      <c r="S766" s="45"/>
      <c r="T766" s="45"/>
      <c r="U766" s="45"/>
      <c r="V766" s="45"/>
      <c r="W766" s="45"/>
      <c r="X766" s="45"/>
      <c r="Y766" s="45"/>
      <c r="Z766" s="45"/>
    </row>
    <row r="767">
      <c r="A767" s="51">
        <v>766.0</v>
      </c>
      <c r="B767" s="47" t="str">
        <f>'Project Stocktaking Template'!B767</f>
        <v>RENOVATION TO 72 A AND 72B</v>
      </c>
      <c r="C767" s="47" t="str">
        <f>'Project Stocktaking Template'!H767</f>
        <v>GarissaTownship</v>
      </c>
      <c r="D767" s="47" t="str">
        <f>'Project Stocktaking Template'!I767</f>
        <v>Township</v>
      </c>
      <c r="E767" s="48" t="str">
        <f>'Project Stocktaking Template'!O767</f>
        <v>1st aug 2024</v>
      </c>
      <c r="F767" s="48" t="str">
        <f>'Project Stocktaking Template'!P767</f>
        <v>30th june 2025</v>
      </c>
      <c r="G767" s="48" t="str">
        <f>'Project Stocktaking Template'!Q767</f>
        <v>30th june 2025</v>
      </c>
      <c r="H767" s="49">
        <f>'Project Stocktaking Template'!R767</f>
        <v>400000</v>
      </c>
      <c r="I767" s="50" t="str">
        <f>'Project Stocktaking Template'!AD767</f>
        <v/>
      </c>
      <c r="J767" s="45"/>
      <c r="K767" s="45"/>
      <c r="L767" s="45"/>
      <c r="M767" s="45"/>
      <c r="N767" s="45"/>
      <c r="O767" s="45"/>
      <c r="P767" s="45"/>
      <c r="Q767" s="45"/>
      <c r="R767" s="45"/>
      <c r="S767" s="45"/>
      <c r="T767" s="45"/>
      <c r="U767" s="45"/>
      <c r="V767" s="45"/>
      <c r="W767" s="45"/>
      <c r="X767" s="45"/>
      <c r="Y767" s="45"/>
      <c r="Z767" s="45"/>
    </row>
    <row r="768">
      <c r="A768" s="46">
        <v>767.0</v>
      </c>
      <c r="B768" s="47" t="str">
        <f>'Project Stocktaking Template'!B768</f>
        <v>CONSTRUCTION OF CHAINLINK FENCE BUSH CLEARING AT FAFI SUB COUNTY</v>
      </c>
      <c r="C768" s="47" t="str">
        <f>'Project Stocktaking Template'!H768</f>
        <v>Fafi</v>
      </c>
      <c r="D768" s="47" t="str">
        <f>'Project Stocktaking Template'!I768</f>
        <v>Fafi</v>
      </c>
      <c r="E768" s="48" t="str">
        <f>'Project Stocktaking Template'!O768</f>
        <v>1st aug 2024</v>
      </c>
      <c r="F768" s="48" t="str">
        <f>'Project Stocktaking Template'!P768</f>
        <v>30th june 2025</v>
      </c>
      <c r="G768" s="48" t="str">
        <f>'Project Stocktaking Template'!Q768</f>
        <v>30th june 2025</v>
      </c>
      <c r="H768" s="49">
        <f>'Project Stocktaking Template'!R768</f>
        <v>1000000</v>
      </c>
      <c r="I768" s="50" t="str">
        <f>'Project Stocktaking Template'!AD768</f>
        <v/>
      </c>
      <c r="J768" s="45"/>
      <c r="K768" s="45"/>
      <c r="L768" s="45"/>
      <c r="M768" s="45"/>
      <c r="N768" s="45"/>
      <c r="O768" s="45"/>
      <c r="P768" s="45"/>
      <c r="Q768" s="45"/>
      <c r="R768" s="45"/>
      <c r="S768" s="45"/>
      <c r="T768" s="45"/>
      <c r="U768" s="45"/>
      <c r="V768" s="45"/>
      <c r="W768" s="45"/>
      <c r="X768" s="45"/>
      <c r="Y768" s="45"/>
      <c r="Z768" s="45"/>
    </row>
    <row r="769">
      <c r="A769" s="51">
        <v>768.0</v>
      </c>
      <c r="B769" s="47" t="str">
        <f>'Project Stocktaking Template'!B769</f>
        <v>HIR OF MOTORVIHLE TRUCK</v>
      </c>
      <c r="C769" s="47" t="str">
        <f>'Project Stocktaking Template'!H769</f>
        <v>GarissaTownship</v>
      </c>
      <c r="D769" s="47" t="str">
        <f>'Project Stocktaking Template'!I769</f>
        <v>Township</v>
      </c>
      <c r="E769" s="48" t="str">
        <f>'Project Stocktaking Template'!O769</f>
        <v>1st aug 2024</v>
      </c>
      <c r="F769" s="48" t="str">
        <f>'Project Stocktaking Template'!P769</f>
        <v>30th june 2025</v>
      </c>
      <c r="G769" s="48" t="str">
        <f>'Project Stocktaking Template'!Q769</f>
        <v>30th june 2025</v>
      </c>
      <c r="H769" s="49">
        <f>'Project Stocktaking Template'!R769</f>
        <v>550000</v>
      </c>
      <c r="I769" s="50" t="str">
        <f>'Project Stocktaking Template'!AD769</f>
        <v/>
      </c>
      <c r="J769" s="45"/>
      <c r="K769" s="45"/>
      <c r="L769" s="45"/>
      <c r="M769" s="45"/>
      <c r="N769" s="45"/>
      <c r="O769" s="45"/>
      <c r="P769" s="45"/>
      <c r="Q769" s="45"/>
      <c r="R769" s="45"/>
      <c r="S769" s="45"/>
      <c r="T769" s="45"/>
      <c r="U769" s="45"/>
      <c r="V769" s="45"/>
      <c r="W769" s="45"/>
      <c r="X769" s="45"/>
      <c r="Y769" s="45"/>
      <c r="Z769" s="45"/>
    </row>
    <row r="770">
      <c r="A770" s="46">
        <v>769.0</v>
      </c>
      <c r="B770" s="47" t="str">
        <f>'Project Stocktaking Template'!B770</f>
        <v>RENOVATION OF VETERNARY OFFICE IN IJARA</v>
      </c>
      <c r="C770" s="47" t="str">
        <f>'Project Stocktaking Template'!H770</f>
        <v>Ijara</v>
      </c>
      <c r="D770" s="47" t="str">
        <f>'Project Stocktaking Template'!I770</f>
        <v>Ijara</v>
      </c>
      <c r="E770" s="48" t="str">
        <f>'Project Stocktaking Template'!O770</f>
        <v>1st aug 2024</v>
      </c>
      <c r="F770" s="48" t="str">
        <f>'Project Stocktaking Template'!P770</f>
        <v>30th june 2025</v>
      </c>
      <c r="G770" s="48" t="str">
        <f>'Project Stocktaking Template'!Q770</f>
        <v>30th june 2025</v>
      </c>
      <c r="H770" s="49">
        <f>'Project Stocktaking Template'!R770</f>
        <v>300000</v>
      </c>
      <c r="I770" s="50" t="str">
        <f>'Project Stocktaking Template'!AD770</f>
        <v/>
      </c>
      <c r="J770" s="45"/>
      <c r="K770" s="45"/>
      <c r="L770" s="45"/>
      <c r="M770" s="45"/>
      <c r="N770" s="45"/>
      <c r="O770" s="45"/>
      <c r="P770" s="45"/>
      <c r="Q770" s="45"/>
      <c r="R770" s="45"/>
      <c r="S770" s="45"/>
      <c r="T770" s="45"/>
      <c r="U770" s="45"/>
      <c r="V770" s="45"/>
      <c r="W770" s="45"/>
      <c r="X770" s="45"/>
      <c r="Y770" s="45"/>
      <c r="Z770" s="45"/>
    </row>
    <row r="771">
      <c r="A771" s="51">
        <v>770.0</v>
      </c>
      <c r="B771" s="47" t="str">
        <f>'Project Stocktaking Template'!B771</f>
        <v>REHABILATION OF LEKU WATER SUPPLY</v>
      </c>
      <c r="C771" s="47" t="str">
        <f>'Project Stocktaking Template'!H771</f>
        <v>GarissaTownship</v>
      </c>
      <c r="D771" s="47" t="str">
        <f>'Project Stocktaking Template'!I771</f>
        <v>Township</v>
      </c>
      <c r="E771" s="48" t="str">
        <f>'Project Stocktaking Template'!O771</f>
        <v>1st aug 2024</v>
      </c>
      <c r="F771" s="48" t="str">
        <f>'Project Stocktaking Template'!P771</f>
        <v>30th june 2025</v>
      </c>
      <c r="G771" s="48" t="str">
        <f>'Project Stocktaking Template'!Q771</f>
        <v>30th june 2025</v>
      </c>
      <c r="H771" s="49">
        <f>'Project Stocktaking Template'!R771</f>
        <v>500000</v>
      </c>
      <c r="I771" s="50" t="str">
        <f>'Project Stocktaking Template'!AD771</f>
        <v/>
      </c>
      <c r="J771" s="45"/>
      <c r="K771" s="45"/>
      <c r="L771" s="45"/>
      <c r="M771" s="45"/>
      <c r="N771" s="45"/>
      <c r="O771" s="45"/>
      <c r="P771" s="45"/>
      <c r="Q771" s="45"/>
      <c r="R771" s="45"/>
      <c r="S771" s="45"/>
      <c r="T771" s="45"/>
      <c r="U771" s="45"/>
      <c r="V771" s="45"/>
      <c r="W771" s="45"/>
      <c r="X771" s="45"/>
      <c r="Y771" s="45"/>
      <c r="Z771" s="45"/>
    </row>
    <row r="772">
      <c r="A772" s="46">
        <v>771.0</v>
      </c>
      <c r="B772" s="47" t="str">
        <f>'Project Stocktaking Template'!B772</f>
        <v>HIRE OF TRUCT FOR WATER TRUCKING IN DADAAB</v>
      </c>
      <c r="C772" s="47" t="str">
        <f>'Project Stocktaking Template'!H772</f>
        <v>Dadaab</v>
      </c>
      <c r="D772" s="47" t="str">
        <f>'Project Stocktaking Template'!I772</f>
        <v>Township</v>
      </c>
      <c r="E772" s="48" t="str">
        <f>'Project Stocktaking Template'!O772</f>
        <v>1st aug 2024</v>
      </c>
      <c r="F772" s="48" t="str">
        <f>'Project Stocktaking Template'!P772</f>
        <v>30th june 2025</v>
      </c>
      <c r="G772" s="48" t="str">
        <f>'Project Stocktaking Template'!Q772</f>
        <v>30th june 2025</v>
      </c>
      <c r="H772" s="49">
        <f>'Project Stocktaking Template'!R772</f>
        <v>500000</v>
      </c>
      <c r="I772" s="50" t="str">
        <f>'Project Stocktaking Template'!AD772</f>
        <v/>
      </c>
      <c r="J772" s="45"/>
      <c r="K772" s="45"/>
      <c r="L772" s="45"/>
      <c r="M772" s="45"/>
      <c r="N772" s="45"/>
      <c r="O772" s="45"/>
      <c r="P772" s="45"/>
      <c r="Q772" s="45"/>
      <c r="R772" s="45"/>
      <c r="S772" s="45"/>
      <c r="T772" s="45"/>
      <c r="U772" s="45"/>
      <c r="V772" s="45"/>
      <c r="W772" s="45"/>
      <c r="X772" s="45"/>
      <c r="Y772" s="45"/>
      <c r="Z772" s="45"/>
    </row>
    <row r="773">
      <c r="A773" s="51">
        <v>772.0</v>
      </c>
      <c r="B773" s="47" t="str">
        <f>'Project Stocktaking Template'!B773</f>
        <v>CONSTRUCTION OF CANAL AT TAWAKAL FARM</v>
      </c>
      <c r="C773" s="47" t="str">
        <f>'Project Stocktaking Template'!H773</f>
        <v>GarissaTownship</v>
      </c>
      <c r="D773" s="47" t="str">
        <f>'Project Stocktaking Template'!I773</f>
        <v>Township</v>
      </c>
      <c r="E773" s="48" t="str">
        <f>'Project Stocktaking Template'!O773</f>
        <v>1st aug 2024</v>
      </c>
      <c r="F773" s="48" t="str">
        <f>'Project Stocktaking Template'!P773</f>
        <v>30th june 2025</v>
      </c>
      <c r="G773" s="48" t="str">
        <f>'Project Stocktaking Template'!Q773</f>
        <v>30th june 2025</v>
      </c>
      <c r="H773" s="49">
        <f>'Project Stocktaking Template'!R773</f>
        <v>500000</v>
      </c>
      <c r="I773" s="50" t="str">
        <f>'Project Stocktaking Template'!AD773</f>
        <v/>
      </c>
      <c r="J773" s="45"/>
      <c r="K773" s="45"/>
      <c r="L773" s="45"/>
      <c r="M773" s="45"/>
      <c r="N773" s="45"/>
      <c r="O773" s="45"/>
      <c r="P773" s="45"/>
      <c r="Q773" s="45"/>
      <c r="R773" s="45"/>
      <c r="S773" s="45"/>
      <c r="T773" s="45"/>
      <c r="U773" s="45"/>
      <c r="V773" s="45"/>
      <c r="W773" s="45"/>
      <c r="X773" s="45"/>
      <c r="Y773" s="45"/>
      <c r="Z773" s="45"/>
    </row>
    <row r="774">
      <c r="A774" s="46">
        <v>773.0</v>
      </c>
      <c r="B774" s="47" t="str">
        <f>'Project Stocktaking Template'!B774</f>
        <v>CONSTRUCTION OF CHAINLOINK FENCE AT BARKUKE DISPENSARY</v>
      </c>
      <c r="C774" s="47" t="str">
        <f>'Project Stocktaking Template'!H774</f>
        <v>GarissaTownship</v>
      </c>
      <c r="D774" s="47" t="str">
        <f>'Project Stocktaking Template'!I774</f>
        <v>Township</v>
      </c>
      <c r="E774" s="48" t="str">
        <f>'Project Stocktaking Template'!O774</f>
        <v>1st aug 2024</v>
      </c>
      <c r="F774" s="48" t="str">
        <f>'Project Stocktaking Template'!P774</f>
        <v>30th june 2025</v>
      </c>
      <c r="G774" s="48" t="str">
        <f>'Project Stocktaking Template'!Q774</f>
        <v>30th june 2025</v>
      </c>
      <c r="H774" s="49">
        <f>'Project Stocktaking Template'!R774</f>
        <v>1500000</v>
      </c>
      <c r="I774" s="50" t="str">
        <f>'Project Stocktaking Template'!AD774</f>
        <v/>
      </c>
      <c r="J774" s="45"/>
      <c r="K774" s="45"/>
      <c r="L774" s="45"/>
      <c r="M774" s="45"/>
      <c r="N774" s="45"/>
      <c r="O774" s="45"/>
      <c r="P774" s="45"/>
      <c r="Q774" s="45"/>
      <c r="R774" s="45"/>
      <c r="S774" s="45"/>
      <c r="T774" s="45"/>
      <c r="U774" s="45"/>
      <c r="V774" s="45"/>
      <c r="W774" s="45"/>
      <c r="X774" s="45"/>
      <c r="Y774" s="45"/>
      <c r="Z774" s="45"/>
    </row>
    <row r="775">
      <c r="A775" s="51">
        <v>774.0</v>
      </c>
      <c r="B775" s="47" t="str">
        <f>'Project Stocktaking Template'!B775</f>
        <v>SUPPLY OF OFFICE EQUIPTMENT</v>
      </c>
      <c r="C775" s="47" t="str">
        <f>'Project Stocktaking Template'!H775</f>
        <v>GarissaTownship</v>
      </c>
      <c r="D775" s="47" t="str">
        <f>'Project Stocktaking Template'!I775</f>
        <v>Township</v>
      </c>
      <c r="E775" s="48" t="str">
        <f>'Project Stocktaking Template'!O775</f>
        <v>1st aug 2024</v>
      </c>
      <c r="F775" s="48" t="str">
        <f>'Project Stocktaking Template'!P775</f>
        <v>30th june 2025</v>
      </c>
      <c r="G775" s="48" t="str">
        <f>'Project Stocktaking Template'!Q775</f>
        <v>30th june 2025</v>
      </c>
      <c r="H775" s="49">
        <f>'Project Stocktaking Template'!R775</f>
        <v>300000</v>
      </c>
      <c r="I775" s="50" t="str">
        <f>'Project Stocktaking Template'!AD775</f>
        <v/>
      </c>
      <c r="J775" s="45"/>
      <c r="K775" s="45"/>
      <c r="L775" s="45"/>
      <c r="M775" s="45"/>
      <c r="N775" s="45"/>
      <c r="O775" s="45"/>
      <c r="P775" s="45"/>
      <c r="Q775" s="45"/>
      <c r="R775" s="45"/>
      <c r="S775" s="45"/>
      <c r="T775" s="45"/>
      <c r="U775" s="45"/>
      <c r="V775" s="45"/>
      <c r="W775" s="45"/>
      <c r="X775" s="45"/>
      <c r="Y775" s="45"/>
      <c r="Z775" s="45"/>
    </row>
    <row r="776">
      <c r="A776" s="46">
        <v>775.0</v>
      </c>
      <c r="B776" s="47" t="str">
        <f>'Project Stocktaking Template'!B776</f>
        <v>DRILLING AND SOLARIZALTION AT NUNO BOREHOLE</v>
      </c>
      <c r="C776" s="47" t="str">
        <f>'Project Stocktaking Template'!H776</f>
        <v>GarissaTownship</v>
      </c>
      <c r="D776" s="47" t="str">
        <f>'Project Stocktaking Template'!I776</f>
        <v>Township</v>
      </c>
      <c r="E776" s="48" t="str">
        <f>'Project Stocktaking Template'!O776</f>
        <v>1st aug 2024</v>
      </c>
      <c r="F776" s="48" t="str">
        <f>'Project Stocktaking Template'!P776</f>
        <v>30th june 2025</v>
      </c>
      <c r="G776" s="48" t="str">
        <f>'Project Stocktaking Template'!Q776</f>
        <v>30th june 2025</v>
      </c>
      <c r="H776" s="49">
        <f>'Project Stocktaking Template'!R776</f>
        <v>500000</v>
      </c>
      <c r="I776" s="50" t="str">
        <f>'Project Stocktaking Template'!AD776</f>
        <v/>
      </c>
      <c r="J776" s="45"/>
      <c r="K776" s="45"/>
      <c r="L776" s="45"/>
      <c r="M776" s="45"/>
      <c r="N776" s="45"/>
      <c r="O776" s="45"/>
      <c r="P776" s="45"/>
      <c r="Q776" s="45"/>
      <c r="R776" s="45"/>
      <c r="S776" s="45"/>
      <c r="T776" s="45"/>
      <c r="U776" s="45"/>
      <c r="V776" s="45"/>
      <c r="W776" s="45"/>
      <c r="X776" s="45"/>
      <c r="Y776" s="45"/>
      <c r="Z776" s="45"/>
    </row>
    <row r="777">
      <c r="A777" s="51">
        <v>776.0</v>
      </c>
      <c r="B777" s="47" t="str">
        <f>'Project Stocktaking Template'!B777</f>
        <v>RENNOVATION OF 5NO CLASSROOM AT MADINA PRIMARY</v>
      </c>
      <c r="C777" s="47" t="str">
        <f>'Project Stocktaking Template'!H777</f>
        <v>GarissaTownship</v>
      </c>
      <c r="D777" s="47" t="str">
        <f>'Project Stocktaking Template'!I777</f>
        <v>Township</v>
      </c>
      <c r="E777" s="48" t="str">
        <f>'Project Stocktaking Template'!O777</f>
        <v>1st aug 2024</v>
      </c>
      <c r="F777" s="48" t="str">
        <f>'Project Stocktaking Template'!P777</f>
        <v>30th june 2025</v>
      </c>
      <c r="G777" s="48" t="str">
        <f>'Project Stocktaking Template'!Q777</f>
        <v>30th june 2025</v>
      </c>
      <c r="H777" s="49">
        <f>'Project Stocktaking Template'!R777</f>
        <v>500000</v>
      </c>
      <c r="I777" s="50" t="str">
        <f>'Project Stocktaking Template'!AD777</f>
        <v/>
      </c>
      <c r="J777" s="45"/>
      <c r="K777" s="45"/>
      <c r="L777" s="45"/>
      <c r="M777" s="45"/>
      <c r="N777" s="45"/>
      <c r="O777" s="45"/>
      <c r="P777" s="45"/>
      <c r="Q777" s="45"/>
      <c r="R777" s="45"/>
      <c r="S777" s="45"/>
      <c r="T777" s="45"/>
      <c r="U777" s="45"/>
      <c r="V777" s="45"/>
      <c r="W777" s="45"/>
      <c r="X777" s="45"/>
      <c r="Y777" s="45"/>
      <c r="Z777" s="45"/>
    </row>
    <row r="778">
      <c r="A778" s="46">
        <v>777.0</v>
      </c>
      <c r="B778" s="47" t="str">
        <f>'Project Stocktaking Template'!B778</f>
        <v>RENOVATION POF CLASSROOM PIT LATRINE BULA MZURI PRIMARY</v>
      </c>
      <c r="C778" s="47" t="str">
        <f>'Project Stocktaking Template'!H778</f>
        <v>GarissaTownship</v>
      </c>
      <c r="D778" s="47" t="str">
        <f>'Project Stocktaking Template'!I778</f>
        <v>Township</v>
      </c>
      <c r="E778" s="48" t="str">
        <f>'Project Stocktaking Template'!O778</f>
        <v>1st aug 2024</v>
      </c>
      <c r="F778" s="48" t="str">
        <f>'Project Stocktaking Template'!P778</f>
        <v>30th june 2025</v>
      </c>
      <c r="G778" s="48" t="str">
        <f>'Project Stocktaking Template'!Q778</f>
        <v>30th june 2025</v>
      </c>
      <c r="H778" s="49">
        <f>'Project Stocktaking Template'!R778</f>
        <v>1000000</v>
      </c>
      <c r="I778" s="50" t="str">
        <f>'Project Stocktaking Template'!AD778</f>
        <v/>
      </c>
      <c r="J778" s="45"/>
      <c r="K778" s="45"/>
      <c r="L778" s="45"/>
      <c r="M778" s="45"/>
      <c r="N778" s="45"/>
      <c r="O778" s="45"/>
      <c r="P778" s="45"/>
      <c r="Q778" s="45"/>
      <c r="R778" s="45"/>
      <c r="S778" s="45"/>
      <c r="T778" s="45"/>
      <c r="U778" s="45"/>
      <c r="V778" s="45"/>
      <c r="W778" s="45"/>
      <c r="X778" s="45"/>
      <c r="Y778" s="45"/>
      <c r="Z778" s="45"/>
    </row>
    <row r="779">
      <c r="A779" s="51">
        <v>778.0</v>
      </c>
      <c r="B779" s="47" t="str">
        <f>'Project Stocktaking Template'!B779</f>
        <v>CHAINLINK FENCCE AT BULA BANAN BOREHOLE</v>
      </c>
      <c r="C779" s="47" t="str">
        <f>'Project Stocktaking Template'!H779</f>
        <v>GarissaTownship</v>
      </c>
      <c r="D779" s="47" t="str">
        <f>'Project Stocktaking Template'!I779</f>
        <v>Township</v>
      </c>
      <c r="E779" s="48" t="str">
        <f>'Project Stocktaking Template'!O779</f>
        <v>1st aug 2024</v>
      </c>
      <c r="F779" s="48" t="str">
        <f>'Project Stocktaking Template'!P779</f>
        <v>30th june 2025</v>
      </c>
      <c r="G779" s="48" t="str">
        <f>'Project Stocktaking Template'!Q779</f>
        <v>30th june 2025</v>
      </c>
      <c r="H779" s="49">
        <f>'Project Stocktaking Template'!R779</f>
        <v>300000</v>
      </c>
      <c r="I779" s="50" t="str">
        <f>'Project Stocktaking Template'!AD779</f>
        <v/>
      </c>
      <c r="J779" s="45"/>
      <c r="K779" s="45"/>
      <c r="L779" s="45"/>
      <c r="M779" s="45"/>
      <c r="N779" s="45"/>
      <c r="O779" s="45"/>
      <c r="P779" s="45"/>
      <c r="Q779" s="45"/>
      <c r="R779" s="45"/>
      <c r="S779" s="45"/>
      <c r="T779" s="45"/>
      <c r="U779" s="45"/>
      <c r="V779" s="45"/>
      <c r="W779" s="45"/>
      <c r="X779" s="45"/>
      <c r="Y779" s="45"/>
      <c r="Z779" s="45"/>
    </row>
    <row r="780">
      <c r="A780" s="46">
        <v>779.0</v>
      </c>
      <c r="B780" s="47" t="str">
        <f>'Project Stocktaking Template'!B780</f>
        <v>CONSTRUCTION OF 2 BED ROOM STAFF AT SKANSA</v>
      </c>
      <c r="C780" s="47" t="str">
        <f>'Project Stocktaking Template'!H780</f>
        <v>GarissaTownship</v>
      </c>
      <c r="D780" s="47" t="str">
        <f>'Project Stocktaking Template'!I780</f>
        <v>Township</v>
      </c>
      <c r="E780" s="48" t="str">
        <f>'Project Stocktaking Template'!O780</f>
        <v>1st aug 2024</v>
      </c>
      <c r="F780" s="48" t="str">
        <f>'Project Stocktaking Template'!P780</f>
        <v>30th june 2025</v>
      </c>
      <c r="G780" s="48" t="str">
        <f>'Project Stocktaking Template'!Q780</f>
        <v>30th june 2025</v>
      </c>
      <c r="H780" s="49">
        <f>'Project Stocktaking Template'!R780</f>
        <v>300000</v>
      </c>
      <c r="I780" s="50" t="str">
        <f>'Project Stocktaking Template'!AD780</f>
        <v/>
      </c>
      <c r="J780" s="45"/>
      <c r="K780" s="45"/>
      <c r="L780" s="45"/>
      <c r="M780" s="45"/>
      <c r="N780" s="45"/>
      <c r="O780" s="45"/>
      <c r="P780" s="45"/>
      <c r="Q780" s="45"/>
      <c r="R780" s="45"/>
      <c r="S780" s="45"/>
      <c r="T780" s="45"/>
      <c r="U780" s="45"/>
      <c r="V780" s="45"/>
      <c r="W780" s="45"/>
      <c r="X780" s="45"/>
      <c r="Y780" s="45"/>
      <c r="Z780" s="45"/>
    </row>
    <row r="781">
      <c r="A781" s="51">
        <v>780.0</v>
      </c>
      <c r="B781" s="47" t="str">
        <f>'Project Stocktaking Template'!B781</f>
        <v>CONSTRUCTION OF 6 BED MATERNITY AT AFWEIN LAGDERA</v>
      </c>
      <c r="C781" s="47" t="str">
        <f>'Project Stocktaking Template'!H781</f>
        <v>Lagdera</v>
      </c>
      <c r="D781" s="47" t="str">
        <f>'Project Stocktaking Template'!I781</f>
        <v>Baraki</v>
      </c>
      <c r="E781" s="48" t="str">
        <f>'Project Stocktaking Template'!O781</f>
        <v>1st aug 2024</v>
      </c>
      <c r="F781" s="48" t="str">
        <f>'Project Stocktaking Template'!P781</f>
        <v>30th june 2025</v>
      </c>
      <c r="G781" s="48" t="str">
        <f>'Project Stocktaking Template'!Q781</f>
        <v>30th june 2025</v>
      </c>
      <c r="H781" s="49">
        <f>'Project Stocktaking Template'!R781</f>
        <v>300000</v>
      </c>
      <c r="I781" s="50" t="str">
        <f>'Project Stocktaking Template'!AD781</f>
        <v/>
      </c>
      <c r="J781" s="45"/>
      <c r="K781" s="45"/>
      <c r="L781" s="45"/>
      <c r="M781" s="45"/>
      <c r="N781" s="45"/>
      <c r="O781" s="45"/>
      <c r="P781" s="45"/>
      <c r="Q781" s="45"/>
      <c r="R781" s="45"/>
      <c r="S781" s="45"/>
      <c r="T781" s="45"/>
      <c r="U781" s="45"/>
      <c r="V781" s="45"/>
      <c r="W781" s="45"/>
      <c r="X781" s="45"/>
      <c r="Y781" s="45"/>
      <c r="Z781" s="45"/>
    </row>
    <row r="782">
      <c r="A782" s="46">
        <v>781.0</v>
      </c>
      <c r="B782" s="47" t="str">
        <f>'Project Stocktaking Template'!B782</f>
        <v>CONSTRUCTION OF 6 BED MATERNITY AT AFWEIN LAGDERA</v>
      </c>
      <c r="C782" s="47" t="str">
        <f>'Project Stocktaking Template'!H782</f>
        <v>Lagdera</v>
      </c>
      <c r="D782" s="47" t="str">
        <f>'Project Stocktaking Template'!I782</f>
        <v>Baraki</v>
      </c>
      <c r="E782" s="48" t="str">
        <f>'Project Stocktaking Template'!O782</f>
        <v>1st aug 2024</v>
      </c>
      <c r="F782" s="48" t="str">
        <f>'Project Stocktaking Template'!P782</f>
        <v>30th june 2025</v>
      </c>
      <c r="G782" s="48" t="str">
        <f>'Project Stocktaking Template'!Q782</f>
        <v>30th june 2025</v>
      </c>
      <c r="H782" s="49">
        <f>'Project Stocktaking Template'!R782</f>
        <v>330000</v>
      </c>
      <c r="I782" s="50" t="str">
        <f>'Project Stocktaking Template'!AD782</f>
        <v/>
      </c>
      <c r="J782" s="45"/>
      <c r="K782" s="45"/>
      <c r="L782" s="45"/>
      <c r="M782" s="45"/>
      <c r="N782" s="45"/>
      <c r="O782" s="45"/>
      <c r="P782" s="45"/>
      <c r="Q782" s="45"/>
      <c r="R782" s="45"/>
      <c r="S782" s="45"/>
      <c r="T782" s="45"/>
      <c r="U782" s="45"/>
      <c r="V782" s="45"/>
      <c r="W782" s="45"/>
      <c r="X782" s="45"/>
      <c r="Y782" s="45"/>
      <c r="Z782" s="45"/>
    </row>
    <row r="783">
      <c r="A783" s="51">
        <v>782.0</v>
      </c>
      <c r="B783" s="47" t="str">
        <f>'Project Stocktaking Template'!B783</f>
        <v>CLEANING AND GRADING OF ELKAMBERE HULUGHO ROAD </v>
      </c>
      <c r="C783" s="47" t="str">
        <f>'Project Stocktaking Template'!H783</f>
        <v>GarissaTownship</v>
      </c>
      <c r="D783" s="47" t="str">
        <f>'Project Stocktaking Template'!I783</f>
        <v>Township</v>
      </c>
      <c r="E783" s="48" t="str">
        <f>'Project Stocktaking Template'!O783</f>
        <v>1st aug 2024</v>
      </c>
      <c r="F783" s="48" t="str">
        <f>'Project Stocktaking Template'!P783</f>
        <v>30th june 2025</v>
      </c>
      <c r="G783" s="48" t="str">
        <f>'Project Stocktaking Template'!Q783</f>
        <v>30th june 2025</v>
      </c>
      <c r="H783" s="49">
        <f>'Project Stocktaking Template'!R783</f>
        <v>300000</v>
      </c>
      <c r="I783" s="50" t="str">
        <f>'Project Stocktaking Template'!AD783</f>
        <v/>
      </c>
      <c r="J783" s="45"/>
      <c r="K783" s="45"/>
      <c r="L783" s="45"/>
      <c r="M783" s="45"/>
      <c r="N783" s="45"/>
      <c r="O783" s="45"/>
      <c r="P783" s="45"/>
      <c r="Q783" s="45"/>
      <c r="R783" s="45"/>
      <c r="S783" s="45"/>
      <c r="T783" s="45"/>
      <c r="U783" s="45"/>
      <c r="V783" s="45"/>
      <c r="W783" s="45"/>
      <c r="X783" s="45"/>
      <c r="Y783" s="45"/>
      <c r="Z783" s="45"/>
    </row>
    <row r="784">
      <c r="A784" s="46">
        <v>783.0</v>
      </c>
      <c r="B784" s="47" t="str">
        <f>'Project Stocktaking Template'!B784</f>
        <v>CONSTRUCTION OF 72 MARKET AT LIBOI</v>
      </c>
      <c r="C784" s="47" t="str">
        <f>'Project Stocktaking Template'!H784</f>
        <v>Dadaab</v>
      </c>
      <c r="D784" s="47" t="str">
        <f>'Project Stocktaking Template'!I784</f>
        <v>Liboi</v>
      </c>
      <c r="E784" s="48" t="str">
        <f>'Project Stocktaking Template'!O784</f>
        <v>1st aug 2024</v>
      </c>
      <c r="F784" s="48" t="str">
        <f>'Project Stocktaking Template'!P784</f>
        <v>30th june 2025</v>
      </c>
      <c r="G784" s="48" t="str">
        <f>'Project Stocktaking Template'!Q784</f>
        <v>30th june 2025</v>
      </c>
      <c r="H784" s="49">
        <f>'Project Stocktaking Template'!R784</f>
        <v>500000</v>
      </c>
      <c r="I784" s="50" t="str">
        <f>'Project Stocktaking Template'!AD784</f>
        <v/>
      </c>
      <c r="J784" s="45"/>
      <c r="K784" s="45"/>
      <c r="L784" s="45"/>
      <c r="M784" s="45"/>
      <c r="N784" s="45"/>
      <c r="O784" s="45"/>
      <c r="P784" s="45"/>
      <c r="Q784" s="45"/>
      <c r="R784" s="45"/>
      <c r="S784" s="45"/>
      <c r="T784" s="45"/>
      <c r="U784" s="45"/>
      <c r="V784" s="45"/>
      <c r="W784" s="45"/>
      <c r="X784" s="45"/>
      <c r="Y784" s="45"/>
      <c r="Z784" s="45"/>
    </row>
    <row r="785">
      <c r="A785" s="51">
        <v>784.0</v>
      </c>
      <c r="B785" s="47" t="str">
        <f>'Project Stocktaking Template'!B785</f>
        <v>CONSTRUCTION OF NEW WATER PAN AT GARBA ADEY</v>
      </c>
      <c r="C785" s="47" t="str">
        <f>'Project Stocktaking Template'!H785</f>
        <v>GarissaTownship</v>
      </c>
      <c r="D785" s="47" t="str">
        <f>'Project Stocktaking Template'!I785</f>
        <v>Township</v>
      </c>
      <c r="E785" s="48" t="str">
        <f>'Project Stocktaking Template'!O785</f>
        <v>1st aug 2024</v>
      </c>
      <c r="F785" s="48" t="str">
        <f>'Project Stocktaking Template'!P785</f>
        <v>30th june 2025</v>
      </c>
      <c r="G785" s="48" t="str">
        <f>'Project Stocktaking Template'!Q785</f>
        <v>30th june 2025</v>
      </c>
      <c r="H785" s="49">
        <f>'Project Stocktaking Template'!R785</f>
        <v>500000</v>
      </c>
      <c r="I785" s="50" t="str">
        <f>'Project Stocktaking Template'!AD785</f>
        <v/>
      </c>
      <c r="J785" s="45"/>
      <c r="K785" s="45"/>
      <c r="L785" s="45"/>
      <c r="M785" s="45"/>
      <c r="N785" s="45"/>
      <c r="O785" s="45"/>
      <c r="P785" s="45"/>
      <c r="Q785" s="45"/>
      <c r="R785" s="45"/>
      <c r="S785" s="45"/>
      <c r="T785" s="45"/>
      <c r="U785" s="45"/>
      <c r="V785" s="45"/>
      <c r="W785" s="45"/>
      <c r="X785" s="45"/>
      <c r="Y785" s="45"/>
      <c r="Z785" s="45"/>
    </row>
    <row r="786">
      <c r="A786" s="46">
        <v>785.0</v>
      </c>
      <c r="B786" s="47" t="str">
        <f>'Project Stocktaking Template'!B786</f>
        <v>EXTENSION OF COUNTY HQ</v>
      </c>
      <c r="C786" s="47" t="str">
        <f>'Project Stocktaking Template'!H786</f>
        <v>GarissaTownship</v>
      </c>
      <c r="D786" s="47" t="str">
        <f>'Project Stocktaking Template'!I786</f>
        <v>Township</v>
      </c>
      <c r="E786" s="48" t="str">
        <f>'Project Stocktaking Template'!O786</f>
        <v>1st aug 2024</v>
      </c>
      <c r="F786" s="48" t="str">
        <f>'Project Stocktaking Template'!P786</f>
        <v>30th june 2025</v>
      </c>
      <c r="G786" s="48" t="str">
        <f>'Project Stocktaking Template'!Q786</f>
        <v>30th june 2025</v>
      </c>
      <c r="H786" s="49">
        <f>'Project Stocktaking Template'!R786</f>
        <v>8000000</v>
      </c>
      <c r="I786" s="50" t="str">
        <f>'Project Stocktaking Template'!AD786</f>
        <v/>
      </c>
      <c r="J786" s="45"/>
      <c r="K786" s="45"/>
      <c r="L786" s="45"/>
      <c r="M786" s="45"/>
      <c r="N786" s="45"/>
      <c r="O786" s="45"/>
      <c r="P786" s="45"/>
      <c r="Q786" s="45"/>
      <c r="R786" s="45"/>
      <c r="S786" s="45"/>
      <c r="T786" s="45"/>
      <c r="U786" s="45"/>
      <c r="V786" s="45"/>
      <c r="W786" s="45"/>
      <c r="X786" s="45"/>
      <c r="Y786" s="45"/>
      <c r="Z786" s="45"/>
    </row>
    <row r="787">
      <c r="A787" s="51">
        <v>786.0</v>
      </c>
      <c r="B787" s="47" t="str">
        <f>'Project Stocktaking Template'!B787</f>
        <v>PROVISION OF GAS REFILL </v>
      </c>
      <c r="C787" s="47" t="str">
        <f>'Project Stocktaking Template'!H787</f>
        <v>GarissaTownship</v>
      </c>
      <c r="D787" s="47" t="str">
        <f>'Project Stocktaking Template'!I787</f>
        <v>Township</v>
      </c>
      <c r="E787" s="48" t="str">
        <f>'Project Stocktaking Template'!O787</f>
        <v>1st aug 2024</v>
      </c>
      <c r="F787" s="48" t="str">
        <f>'Project Stocktaking Template'!P787</f>
        <v>30th june 2025</v>
      </c>
      <c r="G787" s="48" t="str">
        <f>'Project Stocktaking Template'!Q787</f>
        <v>30th june 2025</v>
      </c>
      <c r="H787" s="49">
        <f>'Project Stocktaking Template'!R787</f>
        <v>500000</v>
      </c>
      <c r="I787" s="50" t="str">
        <f>'Project Stocktaking Template'!AD787</f>
        <v/>
      </c>
      <c r="J787" s="45"/>
      <c r="K787" s="45"/>
      <c r="L787" s="45"/>
      <c r="M787" s="45"/>
      <c r="N787" s="45"/>
      <c r="O787" s="45"/>
      <c r="P787" s="45"/>
      <c r="Q787" s="45"/>
      <c r="R787" s="45"/>
      <c r="S787" s="45"/>
      <c r="T787" s="45"/>
      <c r="U787" s="45"/>
      <c r="V787" s="45"/>
      <c r="W787" s="45"/>
      <c r="X787" s="45"/>
      <c r="Y787" s="45"/>
      <c r="Z787" s="45"/>
    </row>
    <row r="788">
      <c r="A788" s="46">
        <v>787.0</v>
      </c>
      <c r="B788" s="47" t="str">
        <f>'Project Stocktaking Template'!B788</f>
        <v>CONSTRUCTION AND CHAINLINK FENCE AT IFTIN PLAYGROUND</v>
      </c>
      <c r="C788" s="47" t="str">
        <f>'Project Stocktaking Template'!H788</f>
        <v>GarissaTownship</v>
      </c>
      <c r="D788" s="47" t="str">
        <f>'Project Stocktaking Template'!I788</f>
        <v>Township</v>
      </c>
      <c r="E788" s="48" t="str">
        <f>'Project Stocktaking Template'!O788</f>
        <v>1st aug 2024</v>
      </c>
      <c r="F788" s="48" t="str">
        <f>'Project Stocktaking Template'!P788</f>
        <v>30th june 2025</v>
      </c>
      <c r="G788" s="48" t="str">
        <f>'Project Stocktaking Template'!Q788</f>
        <v>30th june 2025</v>
      </c>
      <c r="H788" s="49">
        <f>'Project Stocktaking Template'!R788</f>
        <v>500000</v>
      </c>
      <c r="I788" s="50" t="str">
        <f>'Project Stocktaking Template'!AD788</f>
        <v/>
      </c>
      <c r="J788" s="45"/>
      <c r="K788" s="45"/>
      <c r="L788" s="45"/>
      <c r="M788" s="45"/>
      <c r="N788" s="45"/>
      <c r="O788" s="45"/>
      <c r="P788" s="45"/>
      <c r="Q788" s="45"/>
      <c r="R788" s="45"/>
      <c r="S788" s="45"/>
      <c r="T788" s="45"/>
      <c r="U788" s="45"/>
      <c r="V788" s="45"/>
      <c r="W788" s="45"/>
      <c r="X788" s="45"/>
      <c r="Y788" s="45"/>
      <c r="Z788" s="45"/>
    </row>
    <row r="789">
      <c r="A789" s="51">
        <v>788.0</v>
      </c>
      <c r="B789" s="47" t="str">
        <f>'Project Stocktaking Template'!B789</f>
        <v>SUPPLY AND DELIVERY OF FITTING FOR HULUGO WATER SUPPLY</v>
      </c>
      <c r="C789" s="47" t="str">
        <f>'Project Stocktaking Template'!H789</f>
        <v>Ijara</v>
      </c>
      <c r="D789" s="47" t="str">
        <f>'Project Stocktaking Template'!I789</f>
        <v>Hulugho</v>
      </c>
      <c r="E789" s="48" t="str">
        <f>'Project Stocktaking Template'!O789</f>
        <v>1st aug 2024</v>
      </c>
      <c r="F789" s="48" t="str">
        <f>'Project Stocktaking Template'!P789</f>
        <v>30th june 2025</v>
      </c>
      <c r="G789" s="48" t="str">
        <f>'Project Stocktaking Template'!Q789</f>
        <v>30th june 2025</v>
      </c>
      <c r="H789" s="49">
        <f>'Project Stocktaking Template'!R789</f>
        <v>500000</v>
      </c>
      <c r="I789" s="50" t="str">
        <f>'Project Stocktaking Template'!AD789</f>
        <v/>
      </c>
      <c r="J789" s="45"/>
      <c r="K789" s="45"/>
      <c r="L789" s="45"/>
      <c r="M789" s="45"/>
      <c r="N789" s="45"/>
      <c r="O789" s="45"/>
      <c r="P789" s="45"/>
      <c r="Q789" s="45"/>
      <c r="R789" s="45"/>
      <c r="S789" s="45"/>
      <c r="T789" s="45"/>
      <c r="U789" s="45"/>
      <c r="V789" s="45"/>
      <c r="W789" s="45"/>
      <c r="X789" s="45"/>
      <c r="Y789" s="45"/>
      <c r="Z789" s="45"/>
    </row>
    <row r="790">
      <c r="A790" s="46">
        <v>789.0</v>
      </c>
      <c r="B790" s="47" t="str">
        <f>'Project Stocktaking Template'!B790</f>
        <v>MAINATAINACE OF DAGAHLEY MADAHGISI ROAD</v>
      </c>
      <c r="C790" s="47" t="str">
        <f>'Project Stocktaking Template'!H790</f>
        <v>GarissaTownship</v>
      </c>
      <c r="D790" s="47" t="str">
        <f>'Project Stocktaking Template'!I790</f>
        <v>Township</v>
      </c>
      <c r="E790" s="48" t="str">
        <f>'Project Stocktaking Template'!O790</f>
        <v>1st aug 2024</v>
      </c>
      <c r="F790" s="48" t="str">
        <f>'Project Stocktaking Template'!P790</f>
        <v>30th june 2025</v>
      </c>
      <c r="G790" s="48" t="str">
        <f>'Project Stocktaking Template'!Q790</f>
        <v>30th june 2025</v>
      </c>
      <c r="H790" s="49">
        <f>'Project Stocktaking Template'!R790</f>
        <v>1200000</v>
      </c>
      <c r="I790" s="50" t="str">
        <f>'Project Stocktaking Template'!AD790</f>
        <v/>
      </c>
      <c r="J790" s="45"/>
      <c r="K790" s="45"/>
      <c r="L790" s="45"/>
      <c r="M790" s="45"/>
      <c r="N790" s="45"/>
      <c r="O790" s="45"/>
      <c r="P790" s="45"/>
      <c r="Q790" s="45"/>
      <c r="R790" s="45"/>
      <c r="S790" s="45"/>
      <c r="T790" s="45"/>
      <c r="U790" s="45"/>
      <c r="V790" s="45"/>
      <c r="W790" s="45"/>
      <c r="X790" s="45"/>
      <c r="Y790" s="45"/>
      <c r="Z790" s="45"/>
    </row>
    <row r="791">
      <c r="A791" s="51">
        <v>790.0</v>
      </c>
      <c r="B791" s="47" t="str">
        <f>'Project Stocktaking Template'!B791</f>
        <v>EXOENSION OF ABAKHILE HAGRABUL PIPLELINE DADAAB</v>
      </c>
      <c r="C791" s="47" t="str">
        <f>'Project Stocktaking Template'!H791</f>
        <v>Dadaab</v>
      </c>
      <c r="D791" s="47" t="str">
        <f>'Project Stocktaking Template'!I791</f>
        <v>Dadaab</v>
      </c>
      <c r="E791" s="48" t="str">
        <f>'Project Stocktaking Template'!O791</f>
        <v>1st aug 2024</v>
      </c>
      <c r="F791" s="48" t="str">
        <f>'Project Stocktaking Template'!P791</f>
        <v>30th june 2025</v>
      </c>
      <c r="G791" s="48" t="str">
        <f>'Project Stocktaking Template'!Q791</f>
        <v>30th june 2025</v>
      </c>
      <c r="H791" s="49">
        <f>'Project Stocktaking Template'!R791</f>
        <v>350000</v>
      </c>
      <c r="I791" s="50" t="str">
        <f>'Project Stocktaking Template'!AD791</f>
        <v/>
      </c>
      <c r="J791" s="45"/>
      <c r="K791" s="45"/>
      <c r="L791" s="45"/>
      <c r="M791" s="45"/>
      <c r="N791" s="45"/>
      <c r="O791" s="45"/>
      <c r="P791" s="45"/>
      <c r="Q791" s="45"/>
      <c r="R791" s="45"/>
      <c r="S791" s="45"/>
      <c r="T791" s="45"/>
      <c r="U791" s="45"/>
      <c r="V791" s="45"/>
      <c r="W791" s="45"/>
      <c r="X791" s="45"/>
      <c r="Y791" s="45"/>
      <c r="Z791" s="45"/>
    </row>
    <row r="792">
      <c r="A792" s="46">
        <v>791.0</v>
      </c>
      <c r="B792" s="47" t="str">
        <f>'Project Stocktaking Template'!B792</f>
        <v>RENOVATION AND REFURBISHMENT OF CLASSROOM AT BULLA COLLEGE PRIMARY</v>
      </c>
      <c r="C792" s="47" t="str">
        <f>'Project Stocktaking Template'!H792</f>
        <v>GarissaTownship</v>
      </c>
      <c r="D792" s="47" t="str">
        <f>'Project Stocktaking Template'!I792</f>
        <v>Township</v>
      </c>
      <c r="E792" s="48" t="str">
        <f>'Project Stocktaking Template'!O792</f>
        <v>1st aug 2024</v>
      </c>
      <c r="F792" s="48" t="str">
        <f>'Project Stocktaking Template'!P792</f>
        <v>30th june 2025</v>
      </c>
      <c r="G792" s="48" t="str">
        <f>'Project Stocktaking Template'!Q792</f>
        <v>30th june 2025</v>
      </c>
      <c r="H792" s="49">
        <f>'Project Stocktaking Template'!R792</f>
        <v>500000</v>
      </c>
      <c r="I792" s="50" t="str">
        <f>'Project Stocktaking Template'!AD792</f>
        <v/>
      </c>
      <c r="J792" s="45"/>
      <c r="K792" s="45"/>
      <c r="L792" s="45"/>
      <c r="M792" s="45"/>
      <c r="N792" s="45"/>
      <c r="O792" s="45"/>
      <c r="P792" s="45"/>
      <c r="Q792" s="45"/>
      <c r="R792" s="45"/>
      <c r="S792" s="45"/>
      <c r="T792" s="45"/>
      <c r="U792" s="45"/>
      <c r="V792" s="45"/>
      <c r="W792" s="45"/>
      <c r="X792" s="45"/>
      <c r="Y792" s="45"/>
      <c r="Z792" s="45"/>
    </row>
    <row r="793">
      <c r="A793" s="51">
        <v>792.0</v>
      </c>
      <c r="B793" s="47" t="str">
        <f>'Project Stocktaking Template'!B793</f>
        <v>RENNOVATION OF CHIEF OFFICER WATER SERVICES OFFICE</v>
      </c>
      <c r="C793" s="47" t="str">
        <f>'Project Stocktaking Template'!H793</f>
        <v>GarissaTownship</v>
      </c>
      <c r="D793" s="47" t="str">
        <f>'Project Stocktaking Template'!I793</f>
        <v>Township</v>
      </c>
      <c r="E793" s="48" t="str">
        <f>'Project Stocktaking Template'!O793</f>
        <v>1st aug 2024</v>
      </c>
      <c r="F793" s="48" t="str">
        <f>'Project Stocktaking Template'!P793</f>
        <v>30th june 2025</v>
      </c>
      <c r="G793" s="48" t="str">
        <f>'Project Stocktaking Template'!Q793</f>
        <v>30th june 2025</v>
      </c>
      <c r="H793" s="49">
        <f>'Project Stocktaking Template'!R793</f>
        <v>250000</v>
      </c>
      <c r="I793" s="50" t="str">
        <f>'Project Stocktaking Template'!AD793</f>
        <v/>
      </c>
      <c r="J793" s="45"/>
      <c r="K793" s="45"/>
      <c r="L793" s="45"/>
      <c r="M793" s="45"/>
      <c r="N793" s="45"/>
      <c r="O793" s="45"/>
      <c r="P793" s="45"/>
      <c r="Q793" s="45"/>
      <c r="R793" s="45"/>
      <c r="S793" s="45"/>
      <c r="T793" s="45"/>
      <c r="U793" s="45"/>
      <c r="V793" s="45"/>
      <c r="W793" s="45"/>
      <c r="X793" s="45"/>
      <c r="Y793" s="45"/>
      <c r="Z793" s="45"/>
    </row>
    <row r="794">
      <c r="A794" s="46">
        <v>793.0</v>
      </c>
      <c r="B794" s="47" t="str">
        <f>'Project Stocktaking Template'!B794</f>
        <v>PERIODIC MAINTAINACE OF KABAXAY ACCESS ROAD</v>
      </c>
      <c r="C794" s="47" t="str">
        <f>'Project Stocktaking Template'!H794</f>
        <v>GarissaTownship</v>
      </c>
      <c r="D794" s="47" t="str">
        <f>'Project Stocktaking Template'!I794</f>
        <v>Township</v>
      </c>
      <c r="E794" s="48" t="str">
        <f>'Project Stocktaking Template'!O794</f>
        <v>1st aug 2024</v>
      </c>
      <c r="F794" s="48" t="str">
        <f>'Project Stocktaking Template'!P794</f>
        <v>30th june 2025</v>
      </c>
      <c r="G794" s="48" t="str">
        <f>'Project Stocktaking Template'!Q794</f>
        <v>30th june 2025</v>
      </c>
      <c r="H794" s="49">
        <f>'Project Stocktaking Template'!R794</f>
        <v>350000</v>
      </c>
      <c r="I794" s="50" t="str">
        <f>'Project Stocktaking Template'!AD794</f>
        <v/>
      </c>
      <c r="J794" s="45"/>
      <c r="K794" s="45"/>
      <c r="L794" s="45"/>
      <c r="M794" s="45"/>
      <c r="N794" s="45"/>
      <c r="O794" s="45"/>
      <c r="P794" s="45"/>
      <c r="Q794" s="45"/>
      <c r="R794" s="45"/>
      <c r="S794" s="45"/>
      <c r="T794" s="45"/>
      <c r="U794" s="45"/>
      <c r="V794" s="45"/>
      <c r="W794" s="45"/>
      <c r="X794" s="45"/>
      <c r="Y794" s="45"/>
      <c r="Z794" s="45"/>
    </row>
    <row r="795">
      <c r="A795" s="51">
        <v>794.0</v>
      </c>
      <c r="B795" s="47" t="str">
        <f>'Project Stocktaking Template'!B795</f>
        <v>RENNOVATION OF GK HOUSES</v>
      </c>
      <c r="C795" s="47" t="str">
        <f>'Project Stocktaking Template'!H795</f>
        <v>GarissaTownship</v>
      </c>
      <c r="D795" s="47" t="str">
        <f>'Project Stocktaking Template'!I795</f>
        <v>Township</v>
      </c>
      <c r="E795" s="48" t="str">
        <f>'Project Stocktaking Template'!O795</f>
        <v>1st aug 2024</v>
      </c>
      <c r="F795" s="48" t="str">
        <f>'Project Stocktaking Template'!P795</f>
        <v>30th june 2025</v>
      </c>
      <c r="G795" s="48" t="str">
        <f>'Project Stocktaking Template'!Q795</f>
        <v>30th june 2025</v>
      </c>
      <c r="H795" s="49">
        <f>'Project Stocktaking Template'!R795</f>
        <v>250000</v>
      </c>
      <c r="I795" s="50" t="str">
        <f>'Project Stocktaking Template'!AD795</f>
        <v/>
      </c>
      <c r="J795" s="45"/>
      <c r="K795" s="45"/>
      <c r="L795" s="45"/>
      <c r="M795" s="45"/>
      <c r="N795" s="45"/>
      <c r="O795" s="45"/>
      <c r="P795" s="45"/>
      <c r="Q795" s="45"/>
      <c r="R795" s="45"/>
      <c r="S795" s="45"/>
      <c r="T795" s="45"/>
      <c r="U795" s="45"/>
      <c r="V795" s="45"/>
      <c r="W795" s="45"/>
      <c r="X795" s="45"/>
      <c r="Y795" s="45"/>
      <c r="Z795" s="45"/>
    </row>
    <row r="796">
      <c r="A796" s="46">
        <v>795.0</v>
      </c>
      <c r="B796" s="47" t="str">
        <f>'Project Stocktaking Template'!B796</f>
        <v>CHAINLINK FENCE AND RENOVATION AT WORKS OFFICE</v>
      </c>
      <c r="C796" s="47" t="str">
        <f>'Project Stocktaking Template'!H796</f>
        <v>GarissaTownship</v>
      </c>
      <c r="D796" s="47" t="str">
        <f>'Project Stocktaking Template'!I796</f>
        <v>Township</v>
      </c>
      <c r="E796" s="48" t="str">
        <f>'Project Stocktaking Template'!O796</f>
        <v>1st aug 2024</v>
      </c>
      <c r="F796" s="48" t="str">
        <f>'Project Stocktaking Template'!P796</f>
        <v>30th june 2025</v>
      </c>
      <c r="G796" s="48" t="str">
        <f>'Project Stocktaking Template'!Q796</f>
        <v>30th june 2025</v>
      </c>
      <c r="H796" s="49">
        <f>'Project Stocktaking Template'!R796</f>
        <v>300000</v>
      </c>
      <c r="I796" s="50" t="str">
        <f>'Project Stocktaking Template'!AD796</f>
        <v/>
      </c>
      <c r="J796" s="45"/>
      <c r="K796" s="45"/>
      <c r="L796" s="45"/>
      <c r="M796" s="45"/>
      <c r="N796" s="45"/>
      <c r="O796" s="45"/>
      <c r="P796" s="45"/>
      <c r="Q796" s="45"/>
      <c r="R796" s="45"/>
      <c r="S796" s="45"/>
      <c r="T796" s="45"/>
      <c r="U796" s="45"/>
      <c r="V796" s="45"/>
      <c r="W796" s="45"/>
      <c r="X796" s="45"/>
      <c r="Y796" s="45"/>
      <c r="Z796" s="45"/>
    </row>
    <row r="797">
      <c r="A797" s="51">
        <v>796.0</v>
      </c>
      <c r="B797" s="47" t="str">
        <f>'Project Stocktaking Template'!B797</f>
        <v>PERIMETER FENCING ATBULA MASALANI</v>
      </c>
      <c r="C797" s="47" t="str">
        <f>'Project Stocktaking Template'!H797</f>
        <v>Ijara</v>
      </c>
      <c r="D797" s="47" t="str">
        <f>'Project Stocktaking Template'!I797</f>
        <v>Ijara</v>
      </c>
      <c r="E797" s="48" t="str">
        <f>'Project Stocktaking Template'!O797</f>
        <v>1st aug 2024</v>
      </c>
      <c r="F797" s="48" t="str">
        <f>'Project Stocktaking Template'!P797</f>
        <v>30th june 2025</v>
      </c>
      <c r="G797" s="48" t="str">
        <f>'Project Stocktaking Template'!Q797</f>
        <v>30th june 2025</v>
      </c>
      <c r="H797" s="49">
        <f>'Project Stocktaking Template'!R797</f>
        <v>250000</v>
      </c>
      <c r="I797" s="50" t="str">
        <f>'Project Stocktaking Template'!AD797</f>
        <v/>
      </c>
      <c r="J797" s="45"/>
      <c r="K797" s="45"/>
      <c r="L797" s="45"/>
      <c r="M797" s="45"/>
      <c r="N797" s="45"/>
      <c r="O797" s="45"/>
      <c r="P797" s="45"/>
      <c r="Q797" s="45"/>
      <c r="R797" s="45"/>
      <c r="S797" s="45"/>
      <c r="T797" s="45"/>
      <c r="U797" s="45"/>
      <c r="V797" s="45"/>
      <c r="W797" s="45"/>
      <c r="X797" s="45"/>
      <c r="Y797" s="45"/>
      <c r="Z797" s="45"/>
    </row>
    <row r="798">
      <c r="A798" s="46">
        <v>797.0</v>
      </c>
      <c r="B798" s="47" t="str">
        <f>'Project Stocktaking Template'!B798</f>
        <v>CONSTRUCTION OF NEW DISPENSARY AT RIIG DAM</v>
      </c>
      <c r="C798" s="47" t="str">
        <f>'Project Stocktaking Template'!H798</f>
        <v>Lagdera</v>
      </c>
      <c r="D798" s="47" t="str">
        <f>'Project Stocktaking Template'!I798</f>
        <v>Baraki</v>
      </c>
      <c r="E798" s="48" t="str">
        <f>'Project Stocktaking Template'!O798</f>
        <v>1st aug 2024</v>
      </c>
      <c r="F798" s="48" t="str">
        <f>'Project Stocktaking Template'!P798</f>
        <v>30th june 2025</v>
      </c>
      <c r="G798" s="48" t="str">
        <f>'Project Stocktaking Template'!Q798</f>
        <v>30th june 2025</v>
      </c>
      <c r="H798" s="49">
        <f>'Project Stocktaking Template'!R798</f>
        <v>300000</v>
      </c>
      <c r="I798" s="50" t="str">
        <f>'Project Stocktaking Template'!AD798</f>
        <v/>
      </c>
      <c r="J798" s="45"/>
      <c r="K798" s="45"/>
      <c r="L798" s="45"/>
      <c r="M798" s="45"/>
      <c r="N798" s="45"/>
      <c r="O798" s="45"/>
      <c r="P798" s="45"/>
      <c r="Q798" s="45"/>
      <c r="R798" s="45"/>
      <c r="S798" s="45"/>
      <c r="T798" s="45"/>
      <c r="U798" s="45"/>
      <c r="V798" s="45"/>
      <c r="W798" s="45"/>
      <c r="X798" s="45"/>
      <c r="Y798" s="45"/>
      <c r="Z798" s="45"/>
    </row>
    <row r="799">
      <c r="A799" s="51">
        <v>798.0</v>
      </c>
      <c r="B799" s="47" t="str">
        <f>'Project Stocktaking Template'!B799</f>
        <v>CONSTRUCTION OF CHAINLINK FENCE AT MASALANI PRIMARY</v>
      </c>
      <c r="C799" s="47" t="str">
        <f>'Project Stocktaking Template'!H799</f>
        <v>Ijara</v>
      </c>
      <c r="D799" s="47" t="str">
        <f>'Project Stocktaking Template'!I799</f>
        <v>Ijara</v>
      </c>
      <c r="E799" s="48" t="str">
        <f>'Project Stocktaking Template'!O799</f>
        <v>1st aug 2024</v>
      </c>
      <c r="F799" s="48" t="str">
        <f>'Project Stocktaking Template'!P799</f>
        <v>30th june 2025</v>
      </c>
      <c r="G799" s="48" t="str">
        <f>'Project Stocktaking Template'!Q799</f>
        <v>30th june 2025</v>
      </c>
      <c r="H799" s="49">
        <f>'Project Stocktaking Template'!R799</f>
        <v>250000</v>
      </c>
      <c r="I799" s="50" t="str">
        <f>'Project Stocktaking Template'!AD799</f>
        <v/>
      </c>
      <c r="J799" s="45"/>
      <c r="K799" s="45"/>
      <c r="L799" s="45"/>
      <c r="M799" s="45"/>
      <c r="N799" s="45"/>
      <c r="O799" s="45"/>
      <c r="P799" s="45"/>
      <c r="Q799" s="45"/>
      <c r="R799" s="45"/>
      <c r="S799" s="45"/>
      <c r="T799" s="45"/>
      <c r="U799" s="45"/>
      <c r="V799" s="45"/>
      <c r="W799" s="45"/>
      <c r="X799" s="45"/>
      <c r="Y799" s="45"/>
      <c r="Z799" s="45"/>
    </row>
    <row r="800">
      <c r="A800" s="46">
        <v>799.0</v>
      </c>
      <c r="B800" s="47" t="str">
        <f>'Project Stocktaking Template'!B800</f>
        <v>RENNOVATION OF CEC FINANCE OFFICE</v>
      </c>
      <c r="C800" s="47" t="str">
        <f>'Project Stocktaking Template'!H800</f>
        <v>GarissaTownship</v>
      </c>
      <c r="D800" s="47" t="str">
        <f>'Project Stocktaking Template'!I800</f>
        <v>Township</v>
      </c>
      <c r="E800" s="48" t="str">
        <f>'Project Stocktaking Template'!O800</f>
        <v>1st aug 2024</v>
      </c>
      <c r="F800" s="48" t="str">
        <f>'Project Stocktaking Template'!P800</f>
        <v>30th june 2025</v>
      </c>
      <c r="G800" s="48" t="str">
        <f>'Project Stocktaking Template'!Q800</f>
        <v>30th june 2025</v>
      </c>
      <c r="H800" s="49">
        <f>'Project Stocktaking Template'!R800</f>
        <v>250000</v>
      </c>
      <c r="I800" s="50" t="str">
        <f>'Project Stocktaking Template'!AD800</f>
        <v/>
      </c>
      <c r="J800" s="45"/>
      <c r="K800" s="45"/>
      <c r="L800" s="45"/>
      <c r="M800" s="45"/>
      <c r="N800" s="45"/>
      <c r="O800" s="45"/>
      <c r="P800" s="45"/>
      <c r="Q800" s="45"/>
      <c r="R800" s="45"/>
      <c r="S800" s="45"/>
      <c r="T800" s="45"/>
      <c r="U800" s="45"/>
      <c r="V800" s="45"/>
      <c r="W800" s="45"/>
      <c r="X800" s="45"/>
      <c r="Y800" s="45"/>
      <c r="Z800" s="45"/>
    </row>
    <row r="801">
      <c r="A801" s="51">
        <v>800.0</v>
      </c>
      <c r="B801" s="47" t="str">
        <f>'Project Stocktaking Template'!B801</f>
        <v>CONSTRUCTION OF WARD ADMIN AT DANYERE</v>
      </c>
      <c r="C801" s="47" t="str">
        <f>'Project Stocktaking Template'!H801</f>
        <v>Balambala</v>
      </c>
      <c r="D801" s="47" t="str">
        <f>'Project Stocktaking Template'!I801</f>
        <v>Danyere</v>
      </c>
      <c r="E801" s="48" t="str">
        <f>'Project Stocktaking Template'!O801</f>
        <v>1st aug 2024</v>
      </c>
      <c r="F801" s="48" t="str">
        <f>'Project Stocktaking Template'!P801</f>
        <v>30th june 2025</v>
      </c>
      <c r="G801" s="48" t="str">
        <f>'Project Stocktaking Template'!Q801</f>
        <v>30th june 2025</v>
      </c>
      <c r="H801" s="49">
        <f>'Project Stocktaking Template'!R801</f>
        <v>1462441.5</v>
      </c>
      <c r="I801" s="50" t="str">
        <f>'Project Stocktaking Template'!AD801</f>
        <v/>
      </c>
      <c r="J801" s="45"/>
      <c r="K801" s="45"/>
      <c r="L801" s="45"/>
      <c r="M801" s="45"/>
      <c r="N801" s="45"/>
      <c r="O801" s="45"/>
      <c r="P801" s="45"/>
      <c r="Q801" s="45"/>
      <c r="R801" s="45"/>
      <c r="S801" s="45"/>
      <c r="T801" s="45"/>
      <c r="U801" s="45"/>
      <c r="V801" s="45"/>
      <c r="W801" s="45"/>
      <c r="X801" s="45"/>
      <c r="Y801" s="45"/>
      <c r="Z801" s="45"/>
    </row>
    <row r="802">
      <c r="A802" s="46">
        <v>801.0</v>
      </c>
      <c r="B802" s="47" t="str">
        <f>'Project Stocktaking Template'!B802</f>
        <v>CONSTRUCTION OF WARD OFFICE AT BALAMABALA</v>
      </c>
      <c r="C802" s="47" t="str">
        <f>'Project Stocktaking Template'!H802</f>
        <v>Balambala</v>
      </c>
      <c r="D802" s="47" t="str">
        <f>'Project Stocktaking Template'!I802</f>
        <v>Balambala</v>
      </c>
      <c r="E802" s="48" t="str">
        <f>'Project Stocktaking Template'!O802</f>
        <v>1st aug 2024</v>
      </c>
      <c r="F802" s="48" t="str">
        <f>'Project Stocktaking Template'!P802</f>
        <v>30th june 2025</v>
      </c>
      <c r="G802" s="48" t="str">
        <f>'Project Stocktaking Template'!Q802</f>
        <v>30th june 2025</v>
      </c>
      <c r="H802" s="49">
        <f>'Project Stocktaking Template'!R802</f>
        <v>1060245</v>
      </c>
      <c r="I802" s="50" t="str">
        <f>'Project Stocktaking Template'!AD802</f>
        <v/>
      </c>
      <c r="J802" s="45"/>
      <c r="K802" s="45"/>
      <c r="L802" s="45"/>
      <c r="M802" s="45"/>
      <c r="N802" s="45"/>
      <c r="O802" s="45"/>
      <c r="P802" s="45"/>
      <c r="Q802" s="45"/>
      <c r="R802" s="45"/>
      <c r="S802" s="45"/>
      <c r="T802" s="45"/>
      <c r="U802" s="45"/>
      <c r="V802" s="45"/>
      <c r="W802" s="45"/>
      <c r="X802" s="45"/>
      <c r="Y802" s="45"/>
      <c r="Z802" s="45"/>
    </row>
    <row r="803">
      <c r="A803" s="51">
        <v>802.0</v>
      </c>
      <c r="B803" s="47" t="str">
        <f>'Project Stocktaking Template'!B803</f>
        <v>CONSTRUCTION OF ACCESS ROAD FARM AT WATHAJIR</v>
      </c>
      <c r="C803" s="47" t="str">
        <f>'Project Stocktaking Template'!H803</f>
        <v>GarissaTownship</v>
      </c>
      <c r="D803" s="47" t="str">
        <f>'Project Stocktaking Template'!I803</f>
        <v>Township</v>
      </c>
      <c r="E803" s="48" t="str">
        <f>'Project Stocktaking Template'!O803</f>
        <v>1st aug 2024</v>
      </c>
      <c r="F803" s="48" t="str">
        <f>'Project Stocktaking Template'!P803</f>
        <v>30th june 2025</v>
      </c>
      <c r="G803" s="48" t="str">
        <f>'Project Stocktaking Template'!Q803</f>
        <v>30th june 2025</v>
      </c>
      <c r="H803" s="49">
        <f>'Project Stocktaking Template'!R803</f>
        <v>500000</v>
      </c>
      <c r="I803" s="50" t="str">
        <f>'Project Stocktaking Template'!AD803</f>
        <v/>
      </c>
      <c r="J803" s="45"/>
      <c r="K803" s="45"/>
      <c r="L803" s="45"/>
      <c r="M803" s="45"/>
      <c r="N803" s="45"/>
      <c r="O803" s="45"/>
      <c r="P803" s="45"/>
      <c r="Q803" s="45"/>
      <c r="R803" s="45"/>
      <c r="S803" s="45"/>
      <c r="T803" s="45"/>
      <c r="U803" s="45"/>
      <c r="V803" s="45"/>
      <c r="W803" s="45"/>
      <c r="X803" s="45"/>
      <c r="Y803" s="45"/>
      <c r="Z803" s="45"/>
    </row>
    <row r="804">
      <c r="A804" s="46">
        <v>803.0</v>
      </c>
      <c r="B804" s="47" t="str">
        <f>'Project Stocktaking Template'!B804</f>
        <v>CONSTRUCTION OF NEW WATER PAN AT DEG ADEY</v>
      </c>
      <c r="C804" s="47" t="str">
        <f>'Project Stocktaking Template'!H804</f>
        <v>Dadaab</v>
      </c>
      <c r="D804" s="47" t="str">
        <f>'Project Stocktaking Template'!I804</f>
        <v>Dadaab</v>
      </c>
      <c r="E804" s="48" t="str">
        <f>'Project Stocktaking Template'!O804</f>
        <v>1st aug 2024</v>
      </c>
      <c r="F804" s="48" t="str">
        <f>'Project Stocktaking Template'!P804</f>
        <v>30th june 2025</v>
      </c>
      <c r="G804" s="48" t="str">
        <f>'Project Stocktaking Template'!Q804</f>
        <v>30th june 2025</v>
      </c>
      <c r="H804" s="49">
        <f>'Project Stocktaking Template'!R804</f>
        <v>500000</v>
      </c>
      <c r="I804" s="50" t="str">
        <f>'Project Stocktaking Template'!AD804</f>
        <v/>
      </c>
      <c r="J804" s="45"/>
      <c r="K804" s="45"/>
      <c r="L804" s="45"/>
      <c r="M804" s="45"/>
      <c r="N804" s="45"/>
      <c r="O804" s="45"/>
      <c r="P804" s="45"/>
      <c r="Q804" s="45"/>
      <c r="R804" s="45"/>
      <c r="S804" s="45"/>
      <c r="T804" s="45"/>
      <c r="U804" s="45"/>
      <c r="V804" s="45"/>
      <c r="W804" s="45"/>
      <c r="X804" s="45"/>
      <c r="Y804" s="45"/>
      <c r="Z804" s="45"/>
    </row>
    <row r="805">
      <c r="A805" s="51">
        <v>804.0</v>
      </c>
      <c r="B805" s="47" t="str">
        <f>'Project Stocktaking Template'!B805</f>
        <v>CONSTRUCTION OF MARKET STALL AT BURA</v>
      </c>
      <c r="C805" s="47" t="str">
        <f>'Project Stocktaking Template'!H805</f>
        <v>Fafi</v>
      </c>
      <c r="D805" s="47" t="str">
        <f>'Project Stocktaking Template'!I805</f>
        <v>Fafi</v>
      </c>
      <c r="E805" s="48" t="str">
        <f>'Project Stocktaking Template'!O805</f>
        <v>1st aug 2024</v>
      </c>
      <c r="F805" s="48" t="str">
        <f>'Project Stocktaking Template'!P805</f>
        <v>30th june 2025</v>
      </c>
      <c r="G805" s="48" t="str">
        <f>'Project Stocktaking Template'!Q805</f>
        <v>30th june 2025</v>
      </c>
      <c r="H805" s="49">
        <f>'Project Stocktaking Template'!R805</f>
        <v>4000000</v>
      </c>
      <c r="I805" s="50" t="str">
        <f>'Project Stocktaking Template'!AD805</f>
        <v/>
      </c>
      <c r="J805" s="45"/>
      <c r="K805" s="45"/>
      <c r="L805" s="45"/>
      <c r="M805" s="45"/>
      <c r="N805" s="45"/>
      <c r="O805" s="45"/>
      <c r="P805" s="45"/>
      <c r="Q805" s="45"/>
      <c r="R805" s="45"/>
      <c r="S805" s="45"/>
      <c r="T805" s="45"/>
      <c r="U805" s="45"/>
      <c r="V805" s="45"/>
      <c r="W805" s="45"/>
      <c r="X805" s="45"/>
      <c r="Y805" s="45"/>
      <c r="Z805" s="45"/>
    </row>
    <row r="806">
      <c r="A806" s="46">
        <v>805.0</v>
      </c>
      <c r="B806" s="47" t="str">
        <f>'Project Stocktaking Template'!B806</f>
        <v>RENOVATION TOGK HOUSE </v>
      </c>
      <c r="C806" s="47" t="str">
        <f>'Project Stocktaking Template'!H806</f>
        <v>GarissaTownship</v>
      </c>
      <c r="D806" s="47" t="str">
        <f>'Project Stocktaking Template'!I806</f>
        <v>Township</v>
      </c>
      <c r="E806" s="48" t="str">
        <f>'Project Stocktaking Template'!O806</f>
        <v>1st aug 2024</v>
      </c>
      <c r="F806" s="48" t="str">
        <f>'Project Stocktaking Template'!P806</f>
        <v>30th june 2025</v>
      </c>
      <c r="G806" s="48" t="str">
        <f>'Project Stocktaking Template'!Q806</f>
        <v>30th june 2025</v>
      </c>
      <c r="H806" s="49">
        <f>'Project Stocktaking Template'!R806</f>
        <v>500000</v>
      </c>
      <c r="I806" s="50" t="str">
        <f>'Project Stocktaking Template'!AD806</f>
        <v/>
      </c>
      <c r="J806" s="45"/>
      <c r="K806" s="45"/>
      <c r="L806" s="45"/>
      <c r="M806" s="45"/>
      <c r="N806" s="45"/>
      <c r="O806" s="45"/>
      <c r="P806" s="45"/>
      <c r="Q806" s="45"/>
      <c r="R806" s="45"/>
      <c r="S806" s="45"/>
      <c r="T806" s="45"/>
      <c r="U806" s="45"/>
      <c r="V806" s="45"/>
      <c r="W806" s="45"/>
      <c r="X806" s="45"/>
      <c r="Y806" s="45"/>
      <c r="Z806" s="45"/>
    </row>
    <row r="807">
      <c r="A807" s="51">
        <v>806.0</v>
      </c>
      <c r="B807" s="47" t="str">
        <f>'Project Stocktaking Template'!B807</f>
        <v>CONSTRUCTION OF IJARA WARD WARD OFFICES</v>
      </c>
      <c r="C807" s="47" t="str">
        <f>'Project Stocktaking Template'!H807</f>
        <v>Ijara</v>
      </c>
      <c r="D807" s="47" t="str">
        <f>'Project Stocktaking Template'!I807</f>
        <v>Ijara</v>
      </c>
      <c r="E807" s="48" t="str">
        <f>'Project Stocktaking Template'!O807</f>
        <v>1st aug 2024</v>
      </c>
      <c r="F807" s="48" t="str">
        <f>'Project Stocktaking Template'!P807</f>
        <v>30th june 2025</v>
      </c>
      <c r="G807" s="48" t="str">
        <f>'Project Stocktaking Template'!Q807</f>
        <v>30th june 2025</v>
      </c>
      <c r="H807" s="49">
        <f>'Project Stocktaking Template'!R807</f>
        <v>1013425</v>
      </c>
      <c r="I807" s="50" t="str">
        <f>'Project Stocktaking Template'!AD807</f>
        <v/>
      </c>
      <c r="J807" s="45"/>
      <c r="K807" s="45"/>
      <c r="L807" s="45"/>
      <c r="M807" s="45"/>
      <c r="N807" s="45"/>
      <c r="O807" s="45"/>
      <c r="P807" s="45"/>
      <c r="Q807" s="45"/>
      <c r="R807" s="45"/>
      <c r="S807" s="45"/>
      <c r="T807" s="45"/>
      <c r="U807" s="45"/>
      <c r="V807" s="45"/>
      <c r="W807" s="45"/>
      <c r="X807" s="45"/>
      <c r="Y807" s="45"/>
      <c r="Z807" s="45"/>
    </row>
    <row r="808">
      <c r="A808" s="46">
        <v>807.0</v>
      </c>
      <c r="B808" s="47" t="str">
        <f>'Project Stocktaking Template'!B808</f>
        <v>CONSTRUCTION OF WARD OFFICES AT SANGAILU</v>
      </c>
      <c r="C808" s="47" t="str">
        <f>'Project Stocktaking Template'!H808</f>
        <v>Ijara</v>
      </c>
      <c r="D808" s="47" t="str">
        <f>'Project Stocktaking Template'!I808</f>
        <v>Ijara</v>
      </c>
      <c r="E808" s="48" t="str">
        <f>'Project Stocktaking Template'!O808</f>
        <v>1st aug 2024</v>
      </c>
      <c r="F808" s="48" t="str">
        <f>'Project Stocktaking Template'!P808</f>
        <v>30th june 2025</v>
      </c>
      <c r="G808" s="48" t="str">
        <f>'Project Stocktaking Template'!Q808</f>
        <v>30th june 2025</v>
      </c>
      <c r="H808" s="49">
        <f>'Project Stocktaking Template'!R808</f>
        <v>1422500</v>
      </c>
      <c r="I808" s="50" t="str">
        <f>'Project Stocktaking Template'!AD808</f>
        <v/>
      </c>
      <c r="J808" s="45"/>
      <c r="K808" s="45"/>
      <c r="L808" s="45"/>
      <c r="M808" s="45"/>
      <c r="N808" s="45"/>
      <c r="O808" s="45"/>
      <c r="P808" s="45"/>
      <c r="Q808" s="45"/>
      <c r="R808" s="45"/>
      <c r="S808" s="45"/>
      <c r="T808" s="45"/>
      <c r="U808" s="45"/>
      <c r="V808" s="45"/>
      <c r="W808" s="45"/>
      <c r="X808" s="45"/>
      <c r="Y808" s="45"/>
      <c r="Z808" s="45"/>
    </row>
    <row r="809">
      <c r="A809" s="51">
        <v>808.0</v>
      </c>
      <c r="B809" s="47" t="str">
        <f>'Project Stocktaking Template'!B809</f>
        <v>CONSTRUCTION OF BURA WARD OFFICES</v>
      </c>
      <c r="C809" s="47" t="str">
        <f>'Project Stocktaking Template'!H809</f>
        <v>Fafi</v>
      </c>
      <c r="D809" s="47" t="str">
        <f>'Project Stocktaking Template'!I809</f>
        <v>Fafi</v>
      </c>
      <c r="E809" s="48" t="str">
        <f>'Project Stocktaking Template'!O809</f>
        <v>1st aug 2024</v>
      </c>
      <c r="F809" s="48" t="str">
        <f>'Project Stocktaking Template'!P809</f>
        <v>30th june 2025</v>
      </c>
      <c r="G809" s="48" t="str">
        <f>'Project Stocktaking Template'!Q809</f>
        <v>30th june 2025</v>
      </c>
      <c r="H809" s="49">
        <f>'Project Stocktaking Template'!R809</f>
        <v>1116113</v>
      </c>
      <c r="I809" s="50" t="str">
        <f>'Project Stocktaking Template'!AD809</f>
        <v/>
      </c>
      <c r="J809" s="45"/>
      <c r="K809" s="45"/>
      <c r="L809" s="45"/>
      <c r="M809" s="45"/>
      <c r="N809" s="45"/>
      <c r="O809" s="45"/>
      <c r="P809" s="45"/>
      <c r="Q809" s="45"/>
      <c r="R809" s="45"/>
      <c r="S809" s="45"/>
      <c r="T809" s="45"/>
      <c r="U809" s="45"/>
      <c r="V809" s="45"/>
      <c r="W809" s="45"/>
      <c r="X809" s="45"/>
      <c r="Y809" s="45"/>
      <c r="Z809" s="45"/>
    </row>
    <row r="810">
      <c r="A810" s="46">
        <v>809.0</v>
      </c>
      <c r="B810" s="47" t="str">
        <f>'Project Stocktaking Template'!B810</f>
        <v>CONSTRUCTION OF MARKET STALL PHASE 11 AT BALAMBALA</v>
      </c>
      <c r="C810" s="47" t="str">
        <f>'Project Stocktaking Template'!H810</f>
        <v>Balambala</v>
      </c>
      <c r="D810" s="47" t="str">
        <f>'Project Stocktaking Template'!I810</f>
        <v>Balambala</v>
      </c>
      <c r="E810" s="48" t="str">
        <f>'Project Stocktaking Template'!O810</f>
        <v>1st aug 2024</v>
      </c>
      <c r="F810" s="48" t="str">
        <f>'Project Stocktaking Template'!P810</f>
        <v>30th june 2025</v>
      </c>
      <c r="G810" s="48" t="str">
        <f>'Project Stocktaking Template'!Q810</f>
        <v>30th june 2025</v>
      </c>
      <c r="H810" s="49">
        <f>'Project Stocktaking Template'!R810</f>
        <v>7125000</v>
      </c>
      <c r="I810" s="50" t="str">
        <f>'Project Stocktaking Template'!AD810</f>
        <v/>
      </c>
      <c r="J810" s="45"/>
      <c r="K810" s="45"/>
      <c r="L810" s="45"/>
      <c r="M810" s="45"/>
      <c r="N810" s="45"/>
      <c r="O810" s="45"/>
      <c r="P810" s="45"/>
      <c r="Q810" s="45"/>
      <c r="R810" s="45"/>
      <c r="S810" s="45"/>
      <c r="T810" s="45"/>
      <c r="U810" s="45"/>
      <c r="V810" s="45"/>
      <c r="W810" s="45"/>
      <c r="X810" s="45"/>
      <c r="Y810" s="45"/>
      <c r="Z810" s="45"/>
    </row>
    <row r="811">
      <c r="A811" s="51">
        <v>810.0</v>
      </c>
      <c r="B811" s="47" t="str">
        <f>'Project Stocktaking Template'!B811</f>
        <v>PERIMETER FENCING ATBULA MASALANI</v>
      </c>
      <c r="C811" s="47" t="str">
        <f>'Project Stocktaking Template'!H811</f>
        <v>Ijara</v>
      </c>
      <c r="D811" s="47" t="str">
        <f>'Project Stocktaking Template'!I811</f>
        <v>Ijara</v>
      </c>
      <c r="E811" s="48" t="str">
        <f>'Project Stocktaking Template'!O811</f>
        <v>1st aug 2024</v>
      </c>
      <c r="F811" s="48" t="str">
        <f>'Project Stocktaking Template'!P811</f>
        <v>30th june 2025</v>
      </c>
      <c r="G811" s="48" t="str">
        <f>'Project Stocktaking Template'!Q811</f>
        <v>30th june 2025</v>
      </c>
      <c r="H811" s="49">
        <f>'Project Stocktaking Template'!R811</f>
        <v>250000</v>
      </c>
      <c r="I811" s="50" t="str">
        <f>'Project Stocktaking Template'!AD811</f>
        <v/>
      </c>
      <c r="J811" s="45"/>
      <c r="K811" s="45"/>
      <c r="L811" s="45"/>
      <c r="M811" s="45"/>
      <c r="N811" s="45"/>
      <c r="O811" s="45"/>
      <c r="P811" s="45"/>
      <c r="Q811" s="45"/>
      <c r="R811" s="45"/>
      <c r="S811" s="45"/>
      <c r="T811" s="45"/>
      <c r="U811" s="45"/>
      <c r="V811" s="45"/>
      <c r="W811" s="45"/>
      <c r="X811" s="45"/>
      <c r="Y811" s="45"/>
      <c r="Z811" s="45"/>
    </row>
    <row r="812">
      <c r="A812" s="46">
        <v>811.0</v>
      </c>
      <c r="B812" s="47" t="str">
        <f>'Project Stocktaking Template'!B812</f>
        <v>CONSTRUCTION OF WARD ADMIN OFFICES AT BURA</v>
      </c>
      <c r="C812" s="47" t="str">
        <f>'Project Stocktaking Template'!H812</f>
        <v>Fafi</v>
      </c>
      <c r="D812" s="47" t="str">
        <f>'Project Stocktaking Template'!I812</f>
        <v>Fafi</v>
      </c>
      <c r="E812" s="48" t="str">
        <f>'Project Stocktaking Template'!O812</f>
        <v>1st aug 2024</v>
      </c>
      <c r="F812" s="48" t="str">
        <f>'Project Stocktaking Template'!P812</f>
        <v>30th june 2025</v>
      </c>
      <c r="G812" s="48" t="str">
        <f>'Project Stocktaking Template'!Q812</f>
        <v>30th june 2025</v>
      </c>
      <c r="H812" s="49">
        <f>'Project Stocktaking Template'!R812</f>
        <v>1052928.3</v>
      </c>
      <c r="I812" s="50" t="str">
        <f>'Project Stocktaking Template'!AD812</f>
        <v/>
      </c>
      <c r="J812" s="45"/>
      <c r="K812" s="45"/>
      <c r="L812" s="45"/>
      <c r="M812" s="45"/>
      <c r="N812" s="45"/>
      <c r="O812" s="45"/>
      <c r="P812" s="45"/>
      <c r="Q812" s="45"/>
      <c r="R812" s="45"/>
      <c r="S812" s="45"/>
      <c r="T812" s="45"/>
      <c r="U812" s="45"/>
      <c r="V812" s="45"/>
      <c r="W812" s="45"/>
      <c r="X812" s="45"/>
      <c r="Y812" s="45"/>
      <c r="Z812" s="45"/>
    </row>
    <row r="813">
      <c r="A813" s="51">
        <v>812.0</v>
      </c>
      <c r="B813" s="47" t="str">
        <f>'Project Stocktaking Template'!B813</f>
        <v>CONSTRUCTION OF WARD ADMIN IN NANIGI</v>
      </c>
      <c r="C813" s="47" t="str">
        <f>'Project Stocktaking Template'!H813</f>
        <v>Fafi</v>
      </c>
      <c r="D813" s="47" t="str">
        <f>'Project Stocktaking Template'!I813</f>
        <v>Fafi</v>
      </c>
      <c r="E813" s="48" t="str">
        <f>'Project Stocktaking Template'!O813</f>
        <v>1st aug 2024</v>
      </c>
      <c r="F813" s="48" t="str">
        <f>'Project Stocktaking Template'!P813</f>
        <v>30th june 2025</v>
      </c>
      <c r="G813" s="48" t="str">
        <f>'Project Stocktaking Template'!Q813</f>
        <v>30th june 2025</v>
      </c>
      <c r="H813" s="49">
        <f>'Project Stocktaking Template'!R813</f>
        <v>978001.6</v>
      </c>
      <c r="I813" s="50" t="str">
        <f>'Project Stocktaking Template'!AD813</f>
        <v/>
      </c>
      <c r="J813" s="45"/>
      <c r="K813" s="45"/>
      <c r="L813" s="45"/>
      <c r="M813" s="45"/>
      <c r="N813" s="45"/>
      <c r="O813" s="45"/>
      <c r="P813" s="45"/>
      <c r="Q813" s="45"/>
      <c r="R813" s="45"/>
      <c r="S813" s="45"/>
      <c r="T813" s="45"/>
      <c r="U813" s="45"/>
      <c r="V813" s="45"/>
      <c r="W813" s="45"/>
      <c r="X813" s="45"/>
      <c r="Y813" s="45"/>
      <c r="Z813" s="45"/>
    </row>
    <row r="814">
      <c r="A814" s="46">
        <v>813.0</v>
      </c>
      <c r="B814" s="47" t="str">
        <f>'Project Stocktaking Template'!B814</f>
        <v>CONSTRUCTION OF WARD ADMIN AT JARAJARA</v>
      </c>
      <c r="C814" s="47" t="str">
        <f>'Project Stocktaking Template'!H814</f>
        <v>Dadaab</v>
      </c>
      <c r="D814" s="47" t="str">
        <f>'Project Stocktaking Template'!I814</f>
        <v>Dadaab</v>
      </c>
      <c r="E814" s="48" t="str">
        <f>'Project Stocktaking Template'!O814</f>
        <v>1st aug 2024</v>
      </c>
      <c r="F814" s="48" t="str">
        <f>'Project Stocktaking Template'!P814</f>
        <v>30th june 2025</v>
      </c>
      <c r="G814" s="48" t="str">
        <f>'Project Stocktaking Template'!Q814</f>
        <v>30th june 2025</v>
      </c>
      <c r="H814" s="49">
        <f>'Project Stocktaking Template'!R814</f>
        <v>1557766</v>
      </c>
      <c r="I814" s="50" t="str">
        <f>'Project Stocktaking Template'!AD814</f>
        <v/>
      </c>
      <c r="J814" s="45"/>
      <c r="K814" s="45"/>
      <c r="L814" s="45"/>
      <c r="M814" s="45"/>
      <c r="N814" s="45"/>
      <c r="O814" s="45"/>
      <c r="P814" s="45"/>
      <c r="Q814" s="45"/>
      <c r="R814" s="45"/>
      <c r="S814" s="45"/>
      <c r="T814" s="45"/>
      <c r="U814" s="45"/>
      <c r="V814" s="45"/>
      <c r="W814" s="45"/>
      <c r="X814" s="45"/>
      <c r="Y814" s="45"/>
      <c r="Z814" s="45"/>
    </row>
    <row r="815">
      <c r="A815" s="51">
        <v>814.0</v>
      </c>
      <c r="B815" s="47" t="str">
        <f>'Project Stocktaking Template'!B815</f>
        <v>GRAVELING OF BULLA MADINA ROAD</v>
      </c>
      <c r="C815" s="47" t="str">
        <f>'Project Stocktaking Template'!H815</f>
        <v>GarissaTownship</v>
      </c>
      <c r="D815" s="47" t="str">
        <f>'Project Stocktaking Template'!I815</f>
        <v>Township</v>
      </c>
      <c r="E815" s="48" t="str">
        <f>'Project Stocktaking Template'!O815</f>
        <v>1st aug 2024</v>
      </c>
      <c r="F815" s="48" t="str">
        <f>'Project Stocktaking Template'!P815</f>
        <v>30th june 2025</v>
      </c>
      <c r="G815" s="48" t="str">
        <f>'Project Stocktaking Template'!Q815</f>
        <v>30th june 2025</v>
      </c>
      <c r="H815" s="49">
        <f>'Project Stocktaking Template'!R815</f>
        <v>1000000</v>
      </c>
      <c r="I815" s="50" t="str">
        <f>'Project Stocktaking Template'!AD815</f>
        <v/>
      </c>
      <c r="J815" s="45"/>
      <c r="K815" s="45"/>
      <c r="L815" s="45"/>
      <c r="M815" s="45"/>
      <c r="N815" s="45"/>
      <c r="O815" s="45"/>
      <c r="P815" s="45"/>
      <c r="Q815" s="45"/>
      <c r="R815" s="45"/>
      <c r="S815" s="45"/>
      <c r="T815" s="45"/>
      <c r="U815" s="45"/>
      <c r="V815" s="45"/>
      <c r="W815" s="45"/>
      <c r="X815" s="45"/>
      <c r="Y815" s="45"/>
      <c r="Z815" s="45"/>
    </row>
    <row r="816">
      <c r="A816" s="46">
        <v>815.0</v>
      </c>
      <c r="B816" s="47" t="str">
        <f>'Project Stocktaking Template'!B816</f>
        <v>CONSTRUCTION OF TOURISM DINIING HALL AT ISHABKINI CONSERVANCY</v>
      </c>
      <c r="C816" s="47" t="str">
        <f>'Project Stocktaking Template'!H816</f>
        <v>GarissaTownship</v>
      </c>
      <c r="D816" s="47" t="str">
        <f>'Project Stocktaking Template'!I816</f>
        <v>Township</v>
      </c>
      <c r="E816" s="48" t="str">
        <f>'Project Stocktaking Template'!O816</f>
        <v>1st aug 2024</v>
      </c>
      <c r="F816" s="48" t="str">
        <f>'Project Stocktaking Template'!P816</f>
        <v>30th june 2025</v>
      </c>
      <c r="G816" s="48" t="str">
        <f>'Project Stocktaking Template'!Q816</f>
        <v>30th june 2025</v>
      </c>
      <c r="H816" s="49">
        <f>'Project Stocktaking Template'!R816</f>
        <v>300000</v>
      </c>
      <c r="I816" s="50" t="str">
        <f>'Project Stocktaking Template'!AD816</f>
        <v/>
      </c>
      <c r="J816" s="45"/>
      <c r="K816" s="45"/>
      <c r="L816" s="45"/>
      <c r="M816" s="45"/>
      <c r="N816" s="45"/>
      <c r="O816" s="45"/>
      <c r="P816" s="45"/>
      <c r="Q816" s="45"/>
      <c r="R816" s="45"/>
      <c r="S816" s="45"/>
      <c r="T816" s="45"/>
      <c r="U816" s="45"/>
      <c r="V816" s="45"/>
      <c r="W816" s="45"/>
      <c r="X816" s="45"/>
      <c r="Y816" s="45"/>
      <c r="Z816" s="45"/>
    </row>
    <row r="817">
      <c r="A817" s="51">
        <v>816.0</v>
      </c>
      <c r="B817" s="47" t="str">
        <f>'Project Stocktaking Template'!B817</f>
        <v>CHAINLINK FENCE BLOCK WALLING CAPROS PAVING WAITING BAY AT DADAAB MUNICIPLAITY HEADQUATER</v>
      </c>
      <c r="C817" s="47" t="str">
        <f>'Project Stocktaking Template'!H817</f>
        <v>Dadaab</v>
      </c>
      <c r="D817" s="47" t="str">
        <f>'Project Stocktaking Template'!I817</f>
        <v>Dadaab</v>
      </c>
      <c r="E817" s="48" t="str">
        <f>'Project Stocktaking Template'!O817</f>
        <v>1st aug 2024</v>
      </c>
      <c r="F817" s="48" t="str">
        <f>'Project Stocktaking Template'!P817</f>
        <v>30th june 2025</v>
      </c>
      <c r="G817" s="48" t="str">
        <f>'Project Stocktaking Template'!Q817</f>
        <v>30th june 2025</v>
      </c>
      <c r="H817" s="49">
        <f>'Project Stocktaking Template'!R817</f>
        <v>5000000</v>
      </c>
      <c r="I817" s="50" t="str">
        <f>'Project Stocktaking Template'!AD817</f>
        <v/>
      </c>
      <c r="J817" s="45"/>
      <c r="K817" s="45"/>
      <c r="L817" s="45"/>
      <c r="M817" s="45"/>
      <c r="N817" s="45"/>
      <c r="O817" s="45"/>
      <c r="P817" s="45"/>
      <c r="Q817" s="45"/>
      <c r="R817" s="45"/>
      <c r="S817" s="45"/>
      <c r="T817" s="45"/>
      <c r="U817" s="45"/>
      <c r="V817" s="45"/>
      <c r="W817" s="45"/>
      <c r="X817" s="45"/>
      <c r="Y817" s="45"/>
      <c r="Z817" s="45"/>
    </row>
    <row r="818">
      <c r="A818" s="46">
        <v>817.0</v>
      </c>
      <c r="B818" s="47" t="str">
        <f>'Project Stocktaking Template'!B818</f>
        <v>CONSTRUCTION OF WARD ADMIN AT SAKA</v>
      </c>
      <c r="C818" s="47" t="str">
        <f>'Project Stocktaking Template'!H818</f>
        <v>Balambala</v>
      </c>
      <c r="D818" s="47" t="str">
        <f>'Project Stocktaking Template'!I818</f>
        <v>Balambala</v>
      </c>
      <c r="E818" s="48" t="str">
        <f>'Project Stocktaking Template'!O818</f>
        <v>1st aug 2024</v>
      </c>
      <c r="F818" s="48" t="str">
        <f>'Project Stocktaking Template'!P818</f>
        <v>30th june 2025</v>
      </c>
      <c r="G818" s="48" t="str">
        <f>'Project Stocktaking Template'!Q818</f>
        <v>30th june 2025</v>
      </c>
      <c r="H818" s="49">
        <f>'Project Stocktaking Template'!R818</f>
        <v>1119405.7</v>
      </c>
      <c r="I818" s="50" t="str">
        <f>'Project Stocktaking Template'!AD818</f>
        <v/>
      </c>
      <c r="J818" s="45"/>
      <c r="K818" s="45"/>
      <c r="L818" s="45"/>
      <c r="M818" s="45"/>
      <c r="N818" s="45"/>
      <c r="O818" s="45"/>
      <c r="P818" s="45"/>
      <c r="Q818" s="45"/>
      <c r="R818" s="45"/>
      <c r="S818" s="45"/>
      <c r="T818" s="45"/>
      <c r="U818" s="45"/>
      <c r="V818" s="45"/>
      <c r="W818" s="45"/>
      <c r="X818" s="45"/>
      <c r="Y818" s="45"/>
      <c r="Z818" s="45"/>
    </row>
    <row r="819">
      <c r="A819" s="51">
        <v>818.0</v>
      </c>
      <c r="B819" s="47" t="str">
        <f>'Project Stocktaking Template'!B819</f>
        <v>UPGRADING TO BITUMEN STANDARD BULLA MADINA DOBALE ROAD</v>
      </c>
      <c r="C819" s="47" t="str">
        <f>'Project Stocktaking Template'!H819</f>
        <v>Ijara</v>
      </c>
      <c r="D819" s="47" t="str">
        <f>'Project Stocktaking Template'!I819</f>
        <v>Hulugho</v>
      </c>
      <c r="E819" s="48" t="str">
        <f>'Project Stocktaking Template'!O819</f>
        <v>1st aug 2024</v>
      </c>
      <c r="F819" s="48" t="str">
        <f>'Project Stocktaking Template'!P819</f>
        <v>30th june 2025</v>
      </c>
      <c r="G819" s="48" t="str">
        <f>'Project Stocktaking Template'!Q819</f>
        <v>30th june 2025</v>
      </c>
      <c r="H819" s="49">
        <f>'Project Stocktaking Template'!R819</f>
        <v>2700000</v>
      </c>
      <c r="I819" s="50" t="str">
        <f>'Project Stocktaking Template'!AD819</f>
        <v/>
      </c>
      <c r="J819" s="45"/>
      <c r="K819" s="45"/>
      <c r="L819" s="45"/>
      <c r="M819" s="45"/>
      <c r="N819" s="45"/>
      <c r="O819" s="45"/>
      <c r="P819" s="45"/>
      <c r="Q819" s="45"/>
      <c r="R819" s="45"/>
      <c r="S819" s="45"/>
      <c r="T819" s="45"/>
      <c r="U819" s="45"/>
      <c r="V819" s="45"/>
      <c r="W819" s="45"/>
      <c r="X819" s="45"/>
      <c r="Y819" s="45"/>
      <c r="Z819" s="45"/>
    </row>
    <row r="820">
      <c r="A820" s="46">
        <v>819.0</v>
      </c>
      <c r="B820" s="47" t="str">
        <f>'Project Stocktaking Template'!B820</f>
        <v>FENING OF PLAY GROUNG AT HULUGHO </v>
      </c>
      <c r="C820" s="47" t="str">
        <f>'Project Stocktaking Template'!H820</f>
        <v>Ijara</v>
      </c>
      <c r="D820" s="47" t="str">
        <f>'Project Stocktaking Template'!I820</f>
        <v>Hulugho</v>
      </c>
      <c r="E820" s="48" t="str">
        <f>'Project Stocktaking Template'!O820</f>
        <v>1st aug 2024</v>
      </c>
      <c r="F820" s="48" t="str">
        <f>'Project Stocktaking Template'!P820</f>
        <v>30th june 2025</v>
      </c>
      <c r="G820" s="48" t="str">
        <f>'Project Stocktaking Template'!Q820</f>
        <v>30th june 2025</v>
      </c>
      <c r="H820" s="49">
        <f>'Project Stocktaking Template'!R820</f>
        <v>300000</v>
      </c>
      <c r="I820" s="50" t="str">
        <f>'Project Stocktaking Template'!AD820</f>
        <v/>
      </c>
      <c r="J820" s="45"/>
      <c r="K820" s="45"/>
      <c r="L820" s="45"/>
      <c r="M820" s="45"/>
      <c r="N820" s="45"/>
      <c r="O820" s="45"/>
      <c r="P820" s="45"/>
      <c r="Q820" s="45"/>
      <c r="R820" s="45"/>
      <c r="S820" s="45"/>
      <c r="T820" s="45"/>
      <c r="U820" s="45"/>
      <c r="V820" s="45"/>
      <c r="W820" s="45"/>
      <c r="X820" s="45"/>
      <c r="Y820" s="45"/>
      <c r="Z820" s="45"/>
    </row>
    <row r="821">
      <c r="A821" s="51">
        <v>820.0</v>
      </c>
      <c r="B821" s="47" t="str">
        <f>'Project Stocktaking Template'!B821</f>
        <v>CONSTRUCTION WARD ADMIN JARAJILA</v>
      </c>
      <c r="C821" s="47" t="str">
        <f>'Project Stocktaking Template'!H821</f>
        <v>Ijara</v>
      </c>
      <c r="D821" s="47" t="str">
        <f>'Project Stocktaking Template'!I821</f>
        <v>Hulugho</v>
      </c>
      <c r="E821" s="48" t="str">
        <f>'Project Stocktaking Template'!O821</f>
        <v>1st aug 2024</v>
      </c>
      <c r="F821" s="48" t="str">
        <f>'Project Stocktaking Template'!P821</f>
        <v>30th june 2025</v>
      </c>
      <c r="G821" s="48" t="str">
        <f>'Project Stocktaking Template'!Q821</f>
        <v>30th june 2025</v>
      </c>
      <c r="H821" s="49">
        <f>'Project Stocktaking Template'!R821</f>
        <v>1058304.5</v>
      </c>
      <c r="I821" s="50" t="str">
        <f>'Project Stocktaking Template'!AD821</f>
        <v/>
      </c>
      <c r="J821" s="45"/>
      <c r="K821" s="45"/>
      <c r="L821" s="45"/>
      <c r="M821" s="45"/>
      <c r="N821" s="45"/>
      <c r="O821" s="45"/>
      <c r="P821" s="45"/>
      <c r="Q821" s="45"/>
      <c r="R821" s="45"/>
      <c r="S821" s="45"/>
      <c r="T821" s="45"/>
      <c r="U821" s="45"/>
      <c r="V821" s="45"/>
      <c r="W821" s="45"/>
      <c r="X821" s="45"/>
      <c r="Y821" s="45"/>
      <c r="Z821" s="45"/>
    </row>
    <row r="822">
      <c r="A822" s="46">
        <v>821.0</v>
      </c>
      <c r="B822" s="47" t="str">
        <f>'Project Stocktaking Template'!B822</f>
        <v>CONSTRUCTION OF MARKET STALL AT BALAMABALA</v>
      </c>
      <c r="C822" s="47" t="str">
        <f>'Project Stocktaking Template'!H822</f>
        <v>Ijara</v>
      </c>
      <c r="D822" s="47" t="str">
        <f>'Project Stocktaking Template'!I822</f>
        <v>Hulugho</v>
      </c>
      <c r="E822" s="48" t="str">
        <f>'Project Stocktaking Template'!O822</f>
        <v>1st aug 2024</v>
      </c>
      <c r="F822" s="48" t="str">
        <f>'Project Stocktaking Template'!P822</f>
        <v>30th june 2025</v>
      </c>
      <c r="G822" s="48" t="str">
        <f>'Project Stocktaking Template'!Q822</f>
        <v>30th june 2025</v>
      </c>
      <c r="H822" s="49">
        <f>'Project Stocktaking Template'!R822</f>
        <v>4275000</v>
      </c>
      <c r="I822" s="50" t="str">
        <f>'Project Stocktaking Template'!AD822</f>
        <v/>
      </c>
      <c r="J822" s="45"/>
      <c r="K822" s="45"/>
      <c r="L822" s="45"/>
      <c r="M822" s="45"/>
      <c r="N822" s="45"/>
      <c r="O822" s="45"/>
      <c r="P822" s="45"/>
      <c r="Q822" s="45"/>
      <c r="R822" s="45"/>
      <c r="S822" s="45"/>
      <c r="T822" s="45"/>
      <c r="U822" s="45"/>
      <c r="V822" s="45"/>
      <c r="W822" s="45"/>
      <c r="X822" s="45"/>
      <c r="Y822" s="45"/>
      <c r="Z822" s="45"/>
    </row>
    <row r="823">
      <c r="A823" s="51">
        <v>822.0</v>
      </c>
      <c r="B823" s="47" t="str">
        <f>'Project Stocktaking Template'!B823</f>
        <v>CONSTRUCTION OF WARD ADMIN AT FAFI</v>
      </c>
      <c r="C823" s="47" t="str">
        <f>'Project Stocktaking Template'!H823</f>
        <v>Fafi</v>
      </c>
      <c r="D823" s="47" t="str">
        <f>'Project Stocktaking Template'!I823</f>
        <v>Fafi</v>
      </c>
      <c r="E823" s="48" t="str">
        <f>'Project Stocktaking Template'!O823</f>
        <v>1st aug 2024</v>
      </c>
      <c r="F823" s="48" t="str">
        <f>'Project Stocktaking Template'!P823</f>
        <v>30th june 2025</v>
      </c>
      <c r="G823" s="48" t="str">
        <f>'Project Stocktaking Template'!Q823</f>
        <v>30th june 2025</v>
      </c>
      <c r="H823" s="49">
        <f>'Project Stocktaking Template'!R823</f>
        <v>3128565.95</v>
      </c>
      <c r="I823" s="50" t="str">
        <f>'Project Stocktaking Template'!AD823</f>
        <v/>
      </c>
      <c r="J823" s="45"/>
      <c r="K823" s="45"/>
      <c r="L823" s="45"/>
      <c r="M823" s="45"/>
      <c r="N823" s="45"/>
      <c r="O823" s="45"/>
      <c r="P823" s="45"/>
      <c r="Q823" s="45"/>
      <c r="R823" s="45"/>
      <c r="S823" s="45"/>
      <c r="T823" s="45"/>
      <c r="U823" s="45"/>
      <c r="V823" s="45"/>
      <c r="W823" s="45"/>
      <c r="X823" s="45"/>
      <c r="Y823" s="45"/>
      <c r="Z823" s="45"/>
    </row>
    <row r="824">
      <c r="A824" s="46">
        <v>823.0</v>
      </c>
      <c r="B824" s="47" t="str">
        <f>'Project Stocktaking Template'!B824</f>
        <v>DESILTING OF WATER PAN AT BULLA ABASS IN LAGDERA SUB COUNTY</v>
      </c>
      <c r="C824" s="47" t="str">
        <f>'Project Stocktaking Template'!H824</f>
        <v>Lagdera</v>
      </c>
      <c r="D824" s="47" t="str">
        <f>'Project Stocktaking Template'!I824</f>
        <v>Modogashe</v>
      </c>
      <c r="E824" s="48" t="str">
        <f>'Project Stocktaking Template'!O824</f>
        <v>1st aug 2024</v>
      </c>
      <c r="F824" s="48" t="str">
        <f>'Project Stocktaking Template'!P824</f>
        <v>30th june 2025</v>
      </c>
      <c r="G824" s="48" t="str">
        <f>'Project Stocktaking Template'!Q824</f>
        <v>30th june 2025</v>
      </c>
      <c r="H824" s="49">
        <f>'Project Stocktaking Template'!R824</f>
        <v>1200000</v>
      </c>
      <c r="I824" s="50" t="str">
        <f>'Project Stocktaking Template'!AD824</f>
        <v/>
      </c>
      <c r="J824" s="45"/>
      <c r="K824" s="45"/>
      <c r="L824" s="45"/>
      <c r="M824" s="45"/>
      <c r="N824" s="45"/>
      <c r="O824" s="45"/>
      <c r="P824" s="45"/>
      <c r="Q824" s="45"/>
      <c r="R824" s="45"/>
      <c r="S824" s="45"/>
      <c r="T824" s="45"/>
      <c r="U824" s="45"/>
      <c r="V824" s="45"/>
      <c r="W824" s="45"/>
      <c r="X824" s="45"/>
      <c r="Y824" s="45"/>
      <c r="Z824" s="45"/>
    </row>
    <row r="825">
      <c r="A825" s="51">
        <v>824.0</v>
      </c>
      <c r="B825" s="47" t="str">
        <f>'Project Stocktaking Template'!B825</f>
        <v>CONSTRUCTION OF DUMPSITE AT MODOGASHE </v>
      </c>
      <c r="C825" s="47" t="str">
        <f>'Project Stocktaking Template'!H825</f>
        <v>Lagdera</v>
      </c>
      <c r="D825" s="47" t="str">
        <f>'Project Stocktaking Template'!I825</f>
        <v>Modogashe</v>
      </c>
      <c r="E825" s="48" t="str">
        <f>'Project Stocktaking Template'!O825</f>
        <v>1st aug 2024</v>
      </c>
      <c r="F825" s="48" t="str">
        <f>'Project Stocktaking Template'!P825</f>
        <v>30th june 2025</v>
      </c>
      <c r="G825" s="48" t="str">
        <f>'Project Stocktaking Template'!Q825</f>
        <v>30th june 2025</v>
      </c>
      <c r="H825" s="49">
        <f>'Project Stocktaking Template'!R825</f>
        <v>300000</v>
      </c>
      <c r="I825" s="50" t="str">
        <f>'Project Stocktaking Template'!AD825</f>
        <v/>
      </c>
      <c r="J825" s="45"/>
      <c r="K825" s="45"/>
      <c r="L825" s="45"/>
      <c r="M825" s="45"/>
      <c r="N825" s="45"/>
      <c r="O825" s="45"/>
      <c r="P825" s="45"/>
      <c r="Q825" s="45"/>
      <c r="R825" s="45"/>
      <c r="S825" s="45"/>
      <c r="T825" s="45"/>
      <c r="U825" s="45"/>
      <c r="V825" s="45"/>
      <c r="W825" s="45"/>
      <c r="X825" s="45"/>
      <c r="Y825" s="45"/>
      <c r="Z825" s="45"/>
    </row>
    <row r="826">
      <c r="A826" s="46">
        <v>825.0</v>
      </c>
      <c r="B826" s="47" t="str">
        <f>'Project Stocktaking Template'!B826</f>
        <v>DESILTING AND FENCING OF OMAR MOHAMUD WATER PAN</v>
      </c>
      <c r="C826" s="47" t="str">
        <f>'Project Stocktaking Template'!H826</f>
        <v>GarissaTownship</v>
      </c>
      <c r="D826" s="47" t="str">
        <f>'Project Stocktaking Template'!I826</f>
        <v>Township</v>
      </c>
      <c r="E826" s="48" t="str">
        <f>'Project Stocktaking Template'!O826</f>
        <v>1st aug 2024</v>
      </c>
      <c r="F826" s="48" t="str">
        <f>'Project Stocktaking Template'!P826</f>
        <v>30th june 2025</v>
      </c>
      <c r="G826" s="48" t="str">
        <f>'Project Stocktaking Template'!Q826</f>
        <v>30th june 2025</v>
      </c>
      <c r="H826" s="49">
        <f>'Project Stocktaking Template'!R826</f>
        <v>300000</v>
      </c>
      <c r="I826" s="50" t="str">
        <f>'Project Stocktaking Template'!AD826</f>
        <v/>
      </c>
      <c r="J826" s="45"/>
      <c r="K826" s="45"/>
      <c r="L826" s="45"/>
      <c r="M826" s="45"/>
      <c r="N826" s="45"/>
      <c r="O826" s="45"/>
      <c r="P826" s="45"/>
      <c r="Q826" s="45"/>
      <c r="R826" s="45"/>
      <c r="S826" s="45"/>
      <c r="T826" s="45"/>
      <c r="U826" s="45"/>
      <c r="V826" s="45"/>
      <c r="W826" s="45"/>
      <c r="X826" s="45"/>
      <c r="Y826" s="45"/>
      <c r="Z826" s="45"/>
    </row>
    <row r="827">
      <c r="A827" s="51">
        <v>826.0</v>
      </c>
      <c r="B827" s="47" t="str">
        <f>'Project Stocktaking Template'!B827</f>
        <v>CONSTRUCTION OF MAIN GATE AND CHAINLINK FENCE AT IJARA SUB COUNTTY HOSPITAL</v>
      </c>
      <c r="C827" s="47" t="str">
        <f>'Project Stocktaking Template'!H827</f>
        <v>Ijara</v>
      </c>
      <c r="D827" s="47" t="str">
        <f>'Project Stocktaking Template'!I827</f>
        <v>Ijara</v>
      </c>
      <c r="E827" s="48" t="str">
        <f>'Project Stocktaking Template'!O827</f>
        <v>1st aug 2024</v>
      </c>
      <c r="F827" s="48" t="str">
        <f>'Project Stocktaking Template'!P827</f>
        <v>30th june 2025</v>
      </c>
      <c r="G827" s="48" t="str">
        <f>'Project Stocktaking Template'!Q827</f>
        <v>30th june 2025</v>
      </c>
      <c r="H827" s="49">
        <f>'Project Stocktaking Template'!R827</f>
        <v>300000</v>
      </c>
      <c r="I827" s="50" t="str">
        <f>'Project Stocktaking Template'!AD827</f>
        <v/>
      </c>
      <c r="J827" s="45"/>
      <c r="K827" s="45"/>
      <c r="L827" s="45"/>
      <c r="M827" s="45"/>
      <c r="N827" s="45"/>
      <c r="O827" s="45"/>
      <c r="P827" s="45"/>
      <c r="Q827" s="45"/>
      <c r="R827" s="45"/>
      <c r="S827" s="45"/>
      <c r="T827" s="45"/>
      <c r="U827" s="45"/>
      <c r="V827" s="45"/>
      <c r="W827" s="45"/>
      <c r="X827" s="45"/>
      <c r="Y827" s="45"/>
      <c r="Z827" s="45"/>
    </row>
    <row r="828">
      <c r="A828" s="46">
        <v>827.0</v>
      </c>
      <c r="B828" s="47" t="str">
        <f>'Project Stocktaking Template'!B828</f>
        <v>CONSTRUCTION OF MARKET STALL AT MODOGASHE</v>
      </c>
      <c r="C828" s="47" t="str">
        <f>'Project Stocktaking Template'!H828</f>
        <v>Lagdera</v>
      </c>
      <c r="D828" s="47" t="str">
        <f>'Project Stocktaking Template'!I828</f>
        <v>Modogashe</v>
      </c>
      <c r="E828" s="48" t="str">
        <f>'Project Stocktaking Template'!O828</f>
        <v>1st aug 2024</v>
      </c>
      <c r="F828" s="48" t="str">
        <f>'Project Stocktaking Template'!P828</f>
        <v>30th june 2025</v>
      </c>
      <c r="G828" s="48" t="str">
        <f>'Project Stocktaking Template'!Q828</f>
        <v>30th june 2025</v>
      </c>
      <c r="H828" s="49">
        <f>'Project Stocktaking Template'!R828</f>
        <v>500000</v>
      </c>
      <c r="I828" s="50" t="str">
        <f>'Project Stocktaking Template'!AD828</f>
        <v/>
      </c>
      <c r="J828" s="45"/>
      <c r="K828" s="45"/>
      <c r="L828" s="45"/>
      <c r="M828" s="45"/>
      <c r="N828" s="45"/>
      <c r="O828" s="45"/>
      <c r="P828" s="45"/>
      <c r="Q828" s="45"/>
      <c r="R828" s="45"/>
      <c r="S828" s="45"/>
      <c r="T828" s="45"/>
      <c r="U828" s="45"/>
      <c r="V828" s="45"/>
      <c r="W828" s="45"/>
      <c r="X828" s="45"/>
      <c r="Y828" s="45"/>
      <c r="Z828" s="45"/>
    </row>
    <row r="829">
      <c r="A829" s="51">
        <v>828.0</v>
      </c>
      <c r="B829" s="47" t="str">
        <f>'Project Stocktaking Template'!B829</f>
        <v>FENCING OF WILDLIFE DRINKING WATER PAN</v>
      </c>
      <c r="C829" s="47" t="str">
        <f>'Project Stocktaking Template'!H829</f>
        <v>GarissaTownship</v>
      </c>
      <c r="D829" s="47" t="str">
        <f>'Project Stocktaking Template'!I829</f>
        <v>Township</v>
      </c>
      <c r="E829" s="48" t="str">
        <f>'Project Stocktaking Template'!O829</f>
        <v>1st aug 2024</v>
      </c>
      <c r="F829" s="48" t="str">
        <f>'Project Stocktaking Template'!P829</f>
        <v>30th june 2025</v>
      </c>
      <c r="G829" s="48" t="str">
        <f>'Project Stocktaking Template'!Q829</f>
        <v>30th june 2025</v>
      </c>
      <c r="H829" s="49">
        <f>'Project Stocktaking Template'!R829</f>
        <v>500000</v>
      </c>
      <c r="I829" s="50" t="str">
        <f>'Project Stocktaking Template'!AD829</f>
        <v/>
      </c>
      <c r="J829" s="45"/>
      <c r="K829" s="45"/>
      <c r="L829" s="45"/>
      <c r="M829" s="45"/>
      <c r="N829" s="45"/>
      <c r="O829" s="45"/>
      <c r="P829" s="45"/>
      <c r="Q829" s="45"/>
      <c r="R829" s="45"/>
      <c r="S829" s="45"/>
      <c r="T829" s="45"/>
      <c r="U829" s="45"/>
      <c r="V829" s="45"/>
      <c r="W829" s="45"/>
      <c r="X829" s="45"/>
      <c r="Y829" s="45"/>
      <c r="Z829" s="45"/>
    </row>
    <row r="830">
      <c r="A830" s="46">
        <v>829.0</v>
      </c>
      <c r="B830" s="47" t="str">
        <f>'Project Stocktaking Template'!B830</f>
        <v>CHAINLINK FENCE AT DADAAB SUB COUNTY OFFICES</v>
      </c>
      <c r="C830" s="47" t="str">
        <f>'Project Stocktaking Template'!H830</f>
        <v>Dadaab</v>
      </c>
      <c r="D830" s="47" t="str">
        <f>'Project Stocktaking Template'!I830</f>
        <v>Dadaab</v>
      </c>
      <c r="E830" s="48" t="str">
        <f>'Project Stocktaking Template'!O830</f>
        <v>1st aug 2024</v>
      </c>
      <c r="F830" s="48" t="str">
        <f>'Project Stocktaking Template'!P830</f>
        <v>30th june 2025</v>
      </c>
      <c r="G830" s="48" t="str">
        <f>'Project Stocktaking Template'!Q830</f>
        <v>30th june 2025</v>
      </c>
      <c r="H830" s="49">
        <f>'Project Stocktaking Template'!R830</f>
        <v>1000000</v>
      </c>
      <c r="I830" s="50" t="str">
        <f>'Project Stocktaking Template'!AD830</f>
        <v/>
      </c>
      <c r="J830" s="45"/>
      <c r="K830" s="45"/>
      <c r="L830" s="45"/>
      <c r="M830" s="45"/>
      <c r="N830" s="45"/>
      <c r="O830" s="45"/>
      <c r="P830" s="45"/>
      <c r="Q830" s="45"/>
      <c r="R830" s="45"/>
      <c r="S830" s="45"/>
      <c r="T830" s="45"/>
      <c r="U830" s="45"/>
      <c r="V830" s="45"/>
      <c r="W830" s="45"/>
      <c r="X830" s="45"/>
      <c r="Y830" s="45"/>
      <c r="Z830" s="45"/>
    </row>
    <row r="831">
      <c r="A831" s="51">
        <v>830.0</v>
      </c>
      <c r="B831" s="47" t="str">
        <f>'Project Stocktaking Template'!B831</f>
        <v>CONSTRUCTION OF EYE UNIT AT GARISSA REFERAL HOSPITAL</v>
      </c>
      <c r="C831" s="47" t="str">
        <f>'Project Stocktaking Template'!H831</f>
        <v>GarissaTownship</v>
      </c>
      <c r="D831" s="47" t="str">
        <f>'Project Stocktaking Template'!I831</f>
        <v>Township</v>
      </c>
      <c r="E831" s="48" t="str">
        <f>'Project Stocktaking Template'!O831</f>
        <v>1st aug 2024</v>
      </c>
      <c r="F831" s="48" t="str">
        <f>'Project Stocktaking Template'!P831</f>
        <v>30th june 2025</v>
      </c>
      <c r="G831" s="48" t="str">
        <f>'Project Stocktaking Template'!Q831</f>
        <v>30th june 2025</v>
      </c>
      <c r="H831" s="49">
        <f>'Project Stocktaking Template'!R831</f>
        <v>3335398.6</v>
      </c>
      <c r="I831" s="50" t="str">
        <f>'Project Stocktaking Template'!AD831</f>
        <v/>
      </c>
      <c r="J831" s="45"/>
      <c r="K831" s="45"/>
      <c r="L831" s="45"/>
      <c r="M831" s="45"/>
      <c r="N831" s="45"/>
      <c r="O831" s="45"/>
      <c r="P831" s="45"/>
      <c r="Q831" s="45"/>
      <c r="R831" s="45"/>
      <c r="S831" s="45"/>
      <c r="T831" s="45"/>
      <c r="U831" s="45"/>
      <c r="V831" s="45"/>
      <c r="W831" s="45"/>
      <c r="X831" s="45"/>
      <c r="Y831" s="45"/>
      <c r="Z831" s="45"/>
    </row>
    <row r="832">
      <c r="A832" s="46">
        <v>831.0</v>
      </c>
      <c r="B832" s="47" t="str">
        <f>'Project Stocktaking Template'!B832</f>
        <v>CONSTRUCTION HULUGHO MAIN TWIN TANK AND WATER PAN</v>
      </c>
      <c r="C832" s="47" t="str">
        <f>'Project Stocktaking Template'!H832</f>
        <v>Ijara</v>
      </c>
      <c r="D832" s="47" t="str">
        <f>'Project Stocktaking Template'!I832</f>
        <v>Hulugho</v>
      </c>
      <c r="E832" s="48" t="str">
        <f>'Project Stocktaking Template'!O832</f>
        <v>1st aug 2024</v>
      </c>
      <c r="F832" s="48" t="str">
        <f>'Project Stocktaking Template'!P832</f>
        <v>30th june 2025</v>
      </c>
      <c r="G832" s="48" t="str">
        <f>'Project Stocktaking Template'!Q832</f>
        <v>30th june 2025</v>
      </c>
      <c r="H832" s="49">
        <f>'Project Stocktaking Template'!R832</f>
        <v>500000</v>
      </c>
      <c r="I832" s="50" t="str">
        <f>'Project Stocktaking Template'!AD832</f>
        <v/>
      </c>
      <c r="J832" s="45"/>
      <c r="K832" s="45"/>
      <c r="L832" s="45"/>
      <c r="M832" s="45"/>
      <c r="N832" s="45"/>
      <c r="O832" s="45"/>
      <c r="P832" s="45"/>
      <c r="Q832" s="45"/>
      <c r="R832" s="45"/>
      <c r="S832" s="45"/>
      <c r="T832" s="45"/>
      <c r="U832" s="45"/>
      <c r="V832" s="45"/>
      <c r="W832" s="45"/>
      <c r="X832" s="45"/>
      <c r="Y832" s="45"/>
      <c r="Z832" s="45"/>
    </row>
    <row r="833">
      <c r="A833" s="51">
        <v>832.0</v>
      </c>
      <c r="B833" s="47" t="str">
        <f>'Project Stocktaking Template'!B833</f>
        <v>HEAVY BUSH CLEARINGUPRGRADING OF HAGRABUL ROAD</v>
      </c>
      <c r="C833" s="47" t="str">
        <f>'Project Stocktaking Template'!H833</f>
        <v>Lagdera</v>
      </c>
      <c r="D833" s="47" t="str">
        <f>'Project Stocktaking Template'!I833</f>
        <v>Sabena</v>
      </c>
      <c r="E833" s="48" t="str">
        <f>'Project Stocktaking Template'!O833</f>
        <v>1st aug 2024</v>
      </c>
      <c r="F833" s="48" t="str">
        <f>'Project Stocktaking Template'!P833</f>
        <v>30th june 2025</v>
      </c>
      <c r="G833" s="48" t="str">
        <f>'Project Stocktaking Template'!Q833</f>
        <v>30th june 2025</v>
      </c>
      <c r="H833" s="49">
        <f>'Project Stocktaking Template'!R833</f>
        <v>2852200</v>
      </c>
      <c r="I833" s="50" t="str">
        <f>'Project Stocktaking Template'!AD833</f>
        <v/>
      </c>
      <c r="J833" s="45"/>
      <c r="K833" s="45"/>
      <c r="L833" s="45"/>
      <c r="M833" s="45"/>
      <c r="N833" s="45"/>
      <c r="O833" s="45"/>
      <c r="P833" s="45"/>
      <c r="Q833" s="45"/>
      <c r="R833" s="45"/>
      <c r="S833" s="45"/>
      <c r="T833" s="45"/>
      <c r="U833" s="45"/>
      <c r="V833" s="45"/>
      <c r="W833" s="45"/>
      <c r="X833" s="45"/>
      <c r="Y833" s="45"/>
      <c r="Z833" s="45"/>
    </row>
    <row r="834">
      <c r="A834" s="46">
        <v>833.0</v>
      </c>
      <c r="B834" s="47" t="str">
        <f>'Project Stocktaking Template'!B834</f>
        <v>RENOVATION OF SHANTABAQ DISPENSARY</v>
      </c>
      <c r="C834" s="47" t="str">
        <f>'Project Stocktaking Template'!H834</f>
        <v>Lagdera</v>
      </c>
      <c r="D834" s="47" t="str">
        <f>'Project Stocktaking Template'!I834</f>
        <v>Baraki</v>
      </c>
      <c r="E834" s="48" t="str">
        <f>'Project Stocktaking Template'!O834</f>
        <v>1st aug 2024</v>
      </c>
      <c r="F834" s="48" t="str">
        <f>'Project Stocktaking Template'!P834</f>
        <v>30th june 2025</v>
      </c>
      <c r="G834" s="48" t="str">
        <f>'Project Stocktaking Template'!Q834</f>
        <v>30th june 2025</v>
      </c>
      <c r="H834" s="49">
        <f>'Project Stocktaking Template'!R834</f>
        <v>700000</v>
      </c>
      <c r="I834" s="50" t="str">
        <f>'Project Stocktaking Template'!AD834</f>
        <v/>
      </c>
      <c r="J834" s="45"/>
      <c r="K834" s="45"/>
      <c r="L834" s="45"/>
      <c r="M834" s="45"/>
      <c r="N834" s="45"/>
      <c r="O834" s="45"/>
      <c r="P834" s="45"/>
      <c r="Q834" s="45"/>
      <c r="R834" s="45"/>
      <c r="S834" s="45"/>
      <c r="T834" s="45"/>
      <c r="U834" s="45"/>
      <c r="V834" s="45"/>
      <c r="W834" s="45"/>
      <c r="X834" s="45"/>
      <c r="Y834" s="45"/>
      <c r="Z834" s="45"/>
    </row>
    <row r="835">
      <c r="A835" s="51">
        <v>834.0</v>
      </c>
      <c r="B835" s="47" t="str">
        <f>'Project Stocktaking Template'!B835</f>
        <v>MAINATAINACE OF  ROADS</v>
      </c>
      <c r="C835" s="47" t="str">
        <f>'Project Stocktaking Template'!H835</f>
        <v>GarissaTownship</v>
      </c>
      <c r="D835" s="47" t="str">
        <f>'Project Stocktaking Template'!I835</f>
        <v>Township</v>
      </c>
      <c r="E835" s="48" t="str">
        <f>'Project Stocktaking Template'!O835</f>
        <v>1st aug 2024</v>
      </c>
      <c r="F835" s="48" t="str">
        <f>'Project Stocktaking Template'!P835</f>
        <v>30th june 2025</v>
      </c>
      <c r="G835" s="48" t="str">
        <f>'Project Stocktaking Template'!Q835</f>
        <v>30th june 2025</v>
      </c>
      <c r="H835" s="49">
        <f>'Project Stocktaking Template'!R835</f>
        <v>2839265</v>
      </c>
      <c r="I835" s="50" t="str">
        <f>'Project Stocktaking Template'!AD835</f>
        <v/>
      </c>
      <c r="J835" s="45"/>
      <c r="K835" s="45"/>
      <c r="L835" s="45"/>
      <c r="M835" s="45"/>
      <c r="N835" s="45"/>
      <c r="O835" s="45"/>
      <c r="P835" s="45"/>
      <c r="Q835" s="45"/>
      <c r="R835" s="45"/>
      <c r="S835" s="45"/>
      <c r="T835" s="45"/>
      <c r="U835" s="45"/>
      <c r="V835" s="45"/>
      <c r="W835" s="45"/>
      <c r="X835" s="45"/>
      <c r="Y835" s="45"/>
      <c r="Z835" s="45"/>
    </row>
    <row r="836">
      <c r="A836" s="46">
        <v>835.0</v>
      </c>
      <c r="B836" s="47" t="str">
        <f>'Project Stocktaking Template'!B836</f>
        <v>RENOVATION OF MODOGASHE HOSPITAL</v>
      </c>
      <c r="C836" s="47" t="str">
        <f>'Project Stocktaking Template'!H836</f>
        <v>Lagdera</v>
      </c>
      <c r="D836" s="47" t="str">
        <f>'Project Stocktaking Template'!I836</f>
        <v>Modogashe</v>
      </c>
      <c r="E836" s="48" t="str">
        <f>'Project Stocktaking Template'!O836</f>
        <v>1st aug 2024</v>
      </c>
      <c r="F836" s="48" t="str">
        <f>'Project Stocktaking Template'!P836</f>
        <v>30th june 2025</v>
      </c>
      <c r="G836" s="48" t="str">
        <f>'Project Stocktaking Template'!Q836</f>
        <v>30th june 2025</v>
      </c>
      <c r="H836" s="49">
        <f>'Project Stocktaking Template'!R836</f>
        <v>1000000</v>
      </c>
      <c r="I836" s="50" t="str">
        <f>'Project Stocktaking Template'!AD836</f>
        <v/>
      </c>
      <c r="J836" s="45"/>
      <c r="K836" s="45"/>
      <c r="L836" s="45"/>
      <c r="M836" s="45"/>
      <c r="N836" s="45"/>
      <c r="O836" s="45"/>
      <c r="P836" s="45"/>
      <c r="Q836" s="45"/>
      <c r="R836" s="45"/>
      <c r="S836" s="45"/>
      <c r="T836" s="45"/>
      <c r="U836" s="45"/>
      <c r="V836" s="45"/>
      <c r="W836" s="45"/>
      <c r="X836" s="45"/>
      <c r="Y836" s="45"/>
      <c r="Z836" s="45"/>
    </row>
    <row r="837">
      <c r="A837" s="51">
        <v>836.0</v>
      </c>
      <c r="B837" s="47" t="str">
        <f>'Project Stocktaking Template'!B837</f>
        <v>REHABILITATION WATER TANK IN AMUMA</v>
      </c>
      <c r="C837" s="47" t="str">
        <f>'Project Stocktaking Template'!H837</f>
        <v>Fafi</v>
      </c>
      <c r="D837" s="47" t="str">
        <f>'Project Stocktaking Template'!I837</f>
        <v>Fafi</v>
      </c>
      <c r="E837" s="48" t="str">
        <f>'Project Stocktaking Template'!O837</f>
        <v>1st aug 2024</v>
      </c>
      <c r="F837" s="48" t="str">
        <f>'Project Stocktaking Template'!P837</f>
        <v>30th june 2025</v>
      </c>
      <c r="G837" s="48" t="str">
        <f>'Project Stocktaking Template'!Q837</f>
        <v>30th june 2025</v>
      </c>
      <c r="H837" s="49">
        <f>'Project Stocktaking Template'!R837</f>
        <v>2796528</v>
      </c>
      <c r="I837" s="50" t="str">
        <f>'Project Stocktaking Template'!AD837</f>
        <v/>
      </c>
      <c r="J837" s="45"/>
      <c r="K837" s="45"/>
      <c r="L837" s="45"/>
      <c r="M837" s="45"/>
      <c r="N837" s="45"/>
      <c r="O837" s="45"/>
      <c r="P837" s="45"/>
      <c r="Q837" s="45"/>
      <c r="R837" s="45"/>
      <c r="S837" s="45"/>
      <c r="T837" s="45"/>
      <c r="U837" s="45"/>
      <c r="V837" s="45"/>
      <c r="W837" s="45"/>
      <c r="X837" s="45"/>
      <c r="Y837" s="45"/>
      <c r="Z837" s="45"/>
    </row>
    <row r="838">
      <c r="A838" s="46">
        <v>837.0</v>
      </c>
      <c r="B838" s="47" t="str">
        <f>'Project Stocktaking Template'!B838</f>
        <v>CHAINLINK FENCE AT BORANSIS PRIMARY</v>
      </c>
      <c r="C838" s="47" t="str">
        <f>'Project Stocktaking Template'!H838</f>
        <v>GarissaTownship</v>
      </c>
      <c r="D838" s="47" t="str">
        <f>'Project Stocktaking Template'!I838</f>
        <v>Township</v>
      </c>
      <c r="E838" s="48" t="str">
        <f>'Project Stocktaking Template'!O838</f>
        <v>1st aug 2024</v>
      </c>
      <c r="F838" s="48" t="str">
        <f>'Project Stocktaking Template'!P838</f>
        <v>30th june 2025</v>
      </c>
      <c r="G838" s="48" t="str">
        <f>'Project Stocktaking Template'!Q838</f>
        <v>30th june 2025</v>
      </c>
      <c r="H838" s="49">
        <f>'Project Stocktaking Template'!R838</f>
        <v>700000</v>
      </c>
      <c r="I838" s="50" t="str">
        <f>'Project Stocktaking Template'!AD838</f>
        <v/>
      </c>
      <c r="J838" s="45"/>
      <c r="K838" s="45"/>
      <c r="L838" s="45"/>
      <c r="M838" s="45"/>
      <c r="N838" s="45"/>
      <c r="O838" s="45"/>
      <c r="P838" s="45"/>
      <c r="Q838" s="45"/>
      <c r="R838" s="45"/>
      <c r="S838" s="45"/>
      <c r="T838" s="45"/>
      <c r="U838" s="45"/>
      <c r="V838" s="45"/>
      <c r="W838" s="45"/>
      <c r="X838" s="45"/>
      <c r="Y838" s="45"/>
      <c r="Z838" s="45"/>
    </row>
    <row r="839">
      <c r="A839" s="51">
        <v>838.0</v>
      </c>
      <c r="B839" s="47" t="str">
        <f>'Project Stocktaking Template'!B839</f>
        <v>CONSTRUCTIONOF HULUGHO WARD ADMIN</v>
      </c>
      <c r="C839" s="47" t="str">
        <f>'Project Stocktaking Template'!H839</f>
        <v>Ijara</v>
      </c>
      <c r="D839" s="47" t="str">
        <f>'Project Stocktaking Template'!I839</f>
        <v>Hulugho</v>
      </c>
      <c r="E839" s="48" t="str">
        <f>'Project Stocktaking Template'!O839</f>
        <v>1st aug 2024</v>
      </c>
      <c r="F839" s="48" t="str">
        <f>'Project Stocktaking Template'!P839</f>
        <v>30th june 2025</v>
      </c>
      <c r="G839" s="48" t="str">
        <f>'Project Stocktaking Template'!Q839</f>
        <v>30th june 2025</v>
      </c>
      <c r="H839" s="49">
        <f>'Project Stocktaking Template'!R839</f>
        <v>309083.5</v>
      </c>
      <c r="I839" s="50" t="str">
        <f>'Project Stocktaking Template'!AD839</f>
        <v/>
      </c>
      <c r="J839" s="45"/>
      <c r="K839" s="45"/>
      <c r="L839" s="45"/>
      <c r="M839" s="45"/>
      <c r="N839" s="45"/>
      <c r="O839" s="45"/>
      <c r="P839" s="45"/>
      <c r="Q839" s="45"/>
      <c r="R839" s="45"/>
      <c r="S839" s="45"/>
      <c r="T839" s="45"/>
      <c r="U839" s="45"/>
      <c r="V839" s="45"/>
      <c r="W839" s="45"/>
      <c r="X839" s="45"/>
      <c r="Y839" s="45"/>
      <c r="Z839" s="45"/>
    </row>
    <row r="840">
      <c r="A840" s="46">
        <v>839.0</v>
      </c>
      <c r="B840" s="47" t="str">
        <f>'Project Stocktaking Template'!B840</f>
        <v>CONSTRUCTION OF DAMAJALEY WARD</v>
      </c>
      <c r="C840" s="47" t="str">
        <f>'Project Stocktaking Template'!H840</f>
        <v>Dadaab</v>
      </c>
      <c r="D840" s="47" t="str">
        <f>'Project Stocktaking Template'!I840</f>
        <v>Dadaab</v>
      </c>
      <c r="E840" s="48" t="str">
        <f>'Project Stocktaking Template'!O840</f>
        <v>1st aug 2024</v>
      </c>
      <c r="F840" s="48" t="str">
        <f>'Project Stocktaking Template'!P840</f>
        <v>30th june 2025</v>
      </c>
      <c r="G840" s="48" t="str">
        <f>'Project Stocktaking Template'!Q840</f>
        <v>30th june 2025</v>
      </c>
      <c r="H840" s="49">
        <f>'Project Stocktaking Template'!R840</f>
        <v>152899.5</v>
      </c>
      <c r="I840" s="50" t="str">
        <f>'Project Stocktaking Template'!AD840</f>
        <v/>
      </c>
      <c r="J840" s="45"/>
      <c r="K840" s="45"/>
      <c r="L840" s="45"/>
      <c r="M840" s="45"/>
      <c r="N840" s="45"/>
      <c r="O840" s="45"/>
      <c r="P840" s="45"/>
      <c r="Q840" s="45"/>
      <c r="R840" s="45"/>
      <c r="S840" s="45"/>
      <c r="T840" s="45"/>
      <c r="U840" s="45"/>
      <c r="V840" s="45"/>
      <c r="W840" s="45"/>
      <c r="X840" s="45"/>
      <c r="Y840" s="45"/>
      <c r="Z840" s="45"/>
    </row>
    <row r="841">
      <c r="A841" s="51">
        <v>840.0</v>
      </c>
      <c r="B841" s="47" t="str">
        <f>'Project Stocktaking Template'!B841</f>
        <v>CONSTRUCTION OF WATER PAN</v>
      </c>
      <c r="C841" s="47" t="str">
        <f>'Project Stocktaking Template'!H841</f>
        <v>GarissaTownship</v>
      </c>
      <c r="D841" s="47" t="str">
        <f>'Project Stocktaking Template'!I841</f>
        <v>Township</v>
      </c>
      <c r="E841" s="48" t="str">
        <f>'Project Stocktaking Template'!O841</f>
        <v>1st aug 2024</v>
      </c>
      <c r="F841" s="48" t="str">
        <f>'Project Stocktaking Template'!P841</f>
        <v>30th june 2025</v>
      </c>
      <c r="G841" s="48" t="str">
        <f>'Project Stocktaking Template'!Q841</f>
        <v>30th june 2025</v>
      </c>
      <c r="H841" s="49">
        <f>'Project Stocktaking Template'!R841</f>
        <v>1000000</v>
      </c>
      <c r="I841" s="50" t="str">
        <f>'Project Stocktaking Template'!AD841</f>
        <v/>
      </c>
      <c r="J841" s="45"/>
      <c r="K841" s="45"/>
      <c r="L841" s="45"/>
      <c r="M841" s="45"/>
      <c r="N841" s="45"/>
      <c r="O841" s="45"/>
      <c r="P841" s="45"/>
      <c r="Q841" s="45"/>
      <c r="R841" s="45"/>
      <c r="S841" s="45"/>
      <c r="T841" s="45"/>
      <c r="U841" s="45"/>
      <c r="V841" s="45"/>
      <c r="W841" s="45"/>
      <c r="X841" s="45"/>
      <c r="Y841" s="45"/>
      <c r="Z841" s="45"/>
    </row>
    <row r="842">
      <c r="A842" s="46">
        <v>841.0</v>
      </c>
      <c r="B842" s="47" t="str">
        <f>'Project Stocktaking Template'!B842</f>
        <v>RENOVATION OF DEPARTMENT HEALTH OFFICE</v>
      </c>
      <c r="C842" s="47" t="str">
        <f>'Project Stocktaking Template'!H842</f>
        <v>GarissaTownship</v>
      </c>
      <c r="D842" s="47" t="str">
        <f>'Project Stocktaking Template'!I842</f>
        <v>Township</v>
      </c>
      <c r="E842" s="48" t="str">
        <f>'Project Stocktaking Template'!O842</f>
        <v>1st aug 2024</v>
      </c>
      <c r="F842" s="48" t="str">
        <f>'Project Stocktaking Template'!P842</f>
        <v>30th june 2025</v>
      </c>
      <c r="G842" s="48" t="str">
        <f>'Project Stocktaking Template'!Q842</f>
        <v>30th june 2025</v>
      </c>
      <c r="H842" s="49">
        <f>'Project Stocktaking Template'!R842</f>
        <v>2361268.55</v>
      </c>
      <c r="I842" s="50" t="str">
        <f>'Project Stocktaking Template'!AD842</f>
        <v/>
      </c>
      <c r="J842" s="45"/>
      <c r="K842" s="45"/>
      <c r="L842" s="45"/>
      <c r="M842" s="45"/>
      <c r="N842" s="45"/>
      <c r="O842" s="45"/>
      <c r="P842" s="45"/>
      <c r="Q842" s="45"/>
      <c r="R842" s="45"/>
      <c r="S842" s="45"/>
      <c r="T842" s="45"/>
      <c r="U842" s="45"/>
      <c r="V842" s="45"/>
      <c r="W842" s="45"/>
      <c r="X842" s="45"/>
      <c r="Y842" s="45"/>
      <c r="Z842" s="45"/>
    </row>
    <row r="843">
      <c r="A843" s="51">
        <v>842.0</v>
      </c>
      <c r="B843" s="47" t="str">
        <f>'Project Stocktaking Template'!B843</f>
        <v>CHAINLINK FENCE AT BOGYAR DISPESARY</v>
      </c>
      <c r="C843" s="47" t="str">
        <f>'Project Stocktaking Template'!H843</f>
        <v>Dadaab</v>
      </c>
      <c r="D843" s="47" t="str">
        <f>'Project Stocktaking Template'!I843</f>
        <v>Dadaab</v>
      </c>
      <c r="E843" s="48" t="str">
        <f>'Project Stocktaking Template'!O843</f>
        <v>1st aug 2024</v>
      </c>
      <c r="F843" s="48" t="str">
        <f>'Project Stocktaking Template'!P843</f>
        <v>30th june 2025</v>
      </c>
      <c r="G843" s="48" t="str">
        <f>'Project Stocktaking Template'!Q843</f>
        <v>30th june 2025</v>
      </c>
      <c r="H843" s="49">
        <f>'Project Stocktaking Template'!R843</f>
        <v>3512400</v>
      </c>
      <c r="I843" s="50" t="str">
        <f>'Project Stocktaking Template'!AD843</f>
        <v/>
      </c>
      <c r="J843" s="45"/>
      <c r="K843" s="45"/>
      <c r="L843" s="45"/>
      <c r="M843" s="45"/>
      <c r="N843" s="45"/>
      <c r="O843" s="45"/>
      <c r="P843" s="45"/>
      <c r="Q843" s="45"/>
      <c r="R843" s="45"/>
      <c r="S843" s="45"/>
      <c r="T843" s="45"/>
      <c r="U843" s="45"/>
      <c r="V843" s="45"/>
      <c r="W843" s="45"/>
      <c r="X843" s="45"/>
      <c r="Y843" s="45"/>
      <c r="Z843" s="45"/>
    </row>
    <row r="844">
      <c r="A844" s="46">
        <v>843.0</v>
      </c>
      <c r="B844" s="47" t="str">
        <f>'Project Stocktaking Template'!B844</f>
        <v>CONSTRUCTION OF WARD OFFICE AT SABENA WARD</v>
      </c>
      <c r="C844" s="47" t="str">
        <f>'Project Stocktaking Template'!H844</f>
        <v>Lagdera</v>
      </c>
      <c r="D844" s="47" t="str">
        <f>'Project Stocktaking Template'!I844</f>
        <v>Sabena</v>
      </c>
      <c r="E844" s="48" t="str">
        <f>'Project Stocktaking Template'!O844</f>
        <v>1st aug 2024</v>
      </c>
      <c r="F844" s="48" t="str">
        <f>'Project Stocktaking Template'!P844</f>
        <v>30th june 2025</v>
      </c>
      <c r="G844" s="48" t="str">
        <f>'Project Stocktaking Template'!Q844</f>
        <v>30th june 2025</v>
      </c>
      <c r="H844" s="49">
        <f>'Project Stocktaking Template'!R844</f>
        <v>347013.2</v>
      </c>
      <c r="I844" s="50" t="str">
        <f>'Project Stocktaking Template'!AD844</f>
        <v/>
      </c>
      <c r="J844" s="45"/>
      <c r="K844" s="45"/>
      <c r="L844" s="45"/>
      <c r="M844" s="45"/>
      <c r="N844" s="45"/>
      <c r="O844" s="45"/>
      <c r="P844" s="45"/>
      <c r="Q844" s="45"/>
      <c r="R844" s="45"/>
      <c r="S844" s="45"/>
      <c r="T844" s="45"/>
      <c r="U844" s="45"/>
      <c r="V844" s="45"/>
      <c r="W844" s="45"/>
      <c r="X844" s="45"/>
      <c r="Y844" s="45"/>
      <c r="Z844" s="45"/>
    </row>
    <row r="845">
      <c r="A845" s="51">
        <v>844.0</v>
      </c>
      <c r="B845" s="47" t="str">
        <f>'Project Stocktaking Template'!B845</f>
        <v>RENOVATION OF CEC AGRICULTURE OFFICE</v>
      </c>
      <c r="C845" s="47" t="str">
        <f>'Project Stocktaking Template'!H845</f>
        <v>GarissaTownship</v>
      </c>
      <c r="D845" s="47" t="str">
        <f>'Project Stocktaking Template'!I845</f>
        <v>Township</v>
      </c>
      <c r="E845" s="48" t="str">
        <f>'Project Stocktaking Template'!O845</f>
        <v>1st aug 2024</v>
      </c>
      <c r="F845" s="48" t="str">
        <f>'Project Stocktaking Template'!P845</f>
        <v>30th june 2025</v>
      </c>
      <c r="G845" s="48" t="str">
        <f>'Project Stocktaking Template'!Q845</f>
        <v>30th june 2025</v>
      </c>
      <c r="H845" s="49">
        <f>'Project Stocktaking Template'!R845</f>
        <v>152000</v>
      </c>
      <c r="I845" s="50" t="str">
        <f>'Project Stocktaking Template'!AD845</f>
        <v/>
      </c>
      <c r="J845" s="45"/>
      <c r="K845" s="45"/>
      <c r="L845" s="45"/>
      <c r="M845" s="45"/>
      <c r="N845" s="45"/>
      <c r="O845" s="45"/>
      <c r="P845" s="45"/>
      <c r="Q845" s="45"/>
      <c r="R845" s="45"/>
      <c r="S845" s="45"/>
      <c r="T845" s="45"/>
      <c r="U845" s="45"/>
      <c r="V845" s="45"/>
      <c r="W845" s="45"/>
      <c r="X845" s="45"/>
      <c r="Y845" s="45"/>
      <c r="Z845" s="45"/>
    </row>
    <row r="846">
      <c r="A846" s="46">
        <v>845.0</v>
      </c>
      <c r="B846" s="47" t="str">
        <f>'Project Stocktaking Template'!B846</f>
        <v>CONSTRUCTION AND UPGRADING TO BITUME STANDARD OF BULLA MADINA ROAD</v>
      </c>
      <c r="C846" s="47" t="str">
        <f>'Project Stocktaking Template'!H846</f>
        <v>GarissaTownship</v>
      </c>
      <c r="D846" s="47" t="str">
        <f>'Project Stocktaking Template'!I846</f>
        <v>Township</v>
      </c>
      <c r="E846" s="48" t="str">
        <f>'Project Stocktaking Template'!O846</f>
        <v>1st aug 2024</v>
      </c>
      <c r="F846" s="48" t="str">
        <f>'Project Stocktaking Template'!P846</f>
        <v>30th june 2025</v>
      </c>
      <c r="G846" s="48" t="str">
        <f>'Project Stocktaking Template'!Q846</f>
        <v>30th june 2025</v>
      </c>
      <c r="H846" s="49">
        <f>'Project Stocktaking Template'!R846</f>
        <v>4504976</v>
      </c>
      <c r="I846" s="50" t="str">
        <f>'Project Stocktaking Template'!AD846</f>
        <v/>
      </c>
      <c r="J846" s="45"/>
      <c r="K846" s="45"/>
      <c r="L846" s="45"/>
      <c r="M846" s="45"/>
      <c r="N846" s="45"/>
      <c r="O846" s="45"/>
      <c r="P846" s="45"/>
      <c r="Q846" s="45"/>
      <c r="R846" s="45"/>
      <c r="S846" s="45"/>
      <c r="T846" s="45"/>
      <c r="U846" s="45"/>
      <c r="V846" s="45"/>
      <c r="W846" s="45"/>
      <c r="X846" s="45"/>
      <c r="Y846" s="45"/>
      <c r="Z846" s="45"/>
    </row>
    <row r="847">
      <c r="A847" s="51">
        <v>846.0</v>
      </c>
      <c r="B847" s="47" t="str">
        <f>'Project Stocktaking Template'!B847</f>
        <v>EQUIPIN AND EXTENSION OF BARAKI MAALIM PIPLELINE</v>
      </c>
      <c r="C847" s="47" t="str">
        <f>'Project Stocktaking Template'!H847</f>
        <v>Lagdera</v>
      </c>
      <c r="D847" s="47" t="str">
        <f>'Project Stocktaking Template'!I847</f>
        <v>Baraki</v>
      </c>
      <c r="E847" s="48" t="str">
        <f>'Project Stocktaking Template'!O847</f>
        <v>1st aug 2024</v>
      </c>
      <c r="F847" s="48" t="str">
        <f>'Project Stocktaking Template'!P847</f>
        <v>30th june 2025</v>
      </c>
      <c r="G847" s="48" t="str">
        <f>'Project Stocktaking Template'!Q847</f>
        <v>30th june 2025</v>
      </c>
      <c r="H847" s="49">
        <f>'Project Stocktaking Template'!R847</f>
        <v>11000000</v>
      </c>
      <c r="I847" s="50" t="str">
        <f>'Project Stocktaking Template'!AD847</f>
        <v/>
      </c>
      <c r="J847" s="45"/>
      <c r="K847" s="45"/>
      <c r="L847" s="45"/>
      <c r="M847" s="45"/>
      <c r="N847" s="45"/>
      <c r="O847" s="45"/>
      <c r="P847" s="45"/>
      <c r="Q847" s="45"/>
      <c r="R847" s="45"/>
      <c r="S847" s="45"/>
      <c r="T847" s="45"/>
      <c r="U847" s="45"/>
      <c r="V847" s="45"/>
      <c r="W847" s="45"/>
      <c r="X847" s="45"/>
      <c r="Y847" s="45"/>
      <c r="Z847" s="45"/>
    </row>
    <row r="848">
      <c r="A848" s="46">
        <v>847.0</v>
      </c>
      <c r="B848" s="47" t="str">
        <f>'Project Stocktaking Template'!B848</f>
        <v>RENOVATION OF ELDERE DISPENSARY</v>
      </c>
      <c r="C848" s="47" t="str">
        <f>'Project Stocktaking Template'!H848</f>
        <v>GarissaTownship</v>
      </c>
      <c r="D848" s="47" t="str">
        <f>'Project Stocktaking Template'!I848</f>
        <v>Township</v>
      </c>
      <c r="E848" s="48" t="str">
        <f>'Project Stocktaking Template'!O848</f>
        <v>1st aug 2024</v>
      </c>
      <c r="F848" s="48" t="str">
        <f>'Project Stocktaking Template'!P848</f>
        <v>30th june 2025</v>
      </c>
      <c r="G848" s="48" t="str">
        <f>'Project Stocktaking Template'!Q848</f>
        <v>30th june 2025</v>
      </c>
      <c r="H848" s="49">
        <f>'Project Stocktaking Template'!R848</f>
        <v>400000</v>
      </c>
      <c r="I848" s="50" t="str">
        <f>'Project Stocktaking Template'!AD848</f>
        <v/>
      </c>
      <c r="J848" s="45"/>
      <c r="K848" s="45"/>
      <c r="L848" s="45"/>
      <c r="M848" s="45"/>
      <c r="N848" s="45"/>
      <c r="O848" s="45"/>
      <c r="P848" s="45"/>
      <c r="Q848" s="45"/>
      <c r="R848" s="45"/>
      <c r="S848" s="45"/>
      <c r="T848" s="45"/>
      <c r="U848" s="45"/>
      <c r="V848" s="45"/>
      <c r="W848" s="45"/>
      <c r="X848" s="45"/>
      <c r="Y848" s="45"/>
      <c r="Z848" s="45"/>
    </row>
    <row r="849">
      <c r="A849" s="51">
        <v>848.0</v>
      </c>
      <c r="B849" s="47" t="str">
        <f>'Project Stocktaking Template'!B849</f>
        <v>CONSTRUCTION OF NEW DISPENDARY AT MADAH GISI</v>
      </c>
      <c r="C849" s="47" t="str">
        <f>'Project Stocktaking Template'!H849</f>
        <v>Dadaab</v>
      </c>
      <c r="D849" s="47" t="str">
        <f>'Project Stocktaking Template'!I849</f>
        <v>Dertu</v>
      </c>
      <c r="E849" s="48" t="str">
        <f>'Project Stocktaking Template'!O849</f>
        <v>1st aug 2024</v>
      </c>
      <c r="F849" s="48" t="str">
        <f>'Project Stocktaking Template'!P849</f>
        <v>30th june 2025</v>
      </c>
      <c r="G849" s="48" t="str">
        <f>'Project Stocktaking Template'!Q849</f>
        <v>30th june 2025</v>
      </c>
      <c r="H849" s="49">
        <f>'Project Stocktaking Template'!R849</f>
        <v>400000</v>
      </c>
      <c r="I849" s="50" t="str">
        <f>'Project Stocktaking Template'!AD849</f>
        <v/>
      </c>
      <c r="J849" s="45"/>
      <c r="K849" s="45"/>
      <c r="L849" s="45"/>
      <c r="M849" s="45"/>
      <c r="N849" s="45"/>
      <c r="O849" s="45"/>
      <c r="P849" s="45"/>
      <c r="Q849" s="45"/>
      <c r="R849" s="45"/>
      <c r="S849" s="45"/>
      <c r="T849" s="45"/>
      <c r="U849" s="45"/>
      <c r="V849" s="45"/>
      <c r="W849" s="45"/>
      <c r="X849" s="45"/>
      <c r="Y849" s="45"/>
      <c r="Z849" s="45"/>
    </row>
    <row r="850">
      <c r="A850" s="46">
        <v>849.0</v>
      </c>
      <c r="B850" s="47" t="str">
        <f>'Project Stocktaking Template'!B850</f>
        <v>REHABILATION WORKS FOR GARISSA WATER AND SEWERAGE COMPANY</v>
      </c>
      <c r="C850" s="47" t="str">
        <f>'Project Stocktaking Template'!H850</f>
        <v>GarissaTownship</v>
      </c>
      <c r="D850" s="47" t="str">
        <f>'Project Stocktaking Template'!I850</f>
        <v>Township</v>
      </c>
      <c r="E850" s="48" t="str">
        <f>'Project Stocktaking Template'!O850</f>
        <v>1st aug 2024</v>
      </c>
      <c r="F850" s="48" t="str">
        <f>'Project Stocktaking Template'!P850</f>
        <v>30th june 2025</v>
      </c>
      <c r="G850" s="48" t="str">
        <f>'Project Stocktaking Template'!Q850</f>
        <v>30th june 2025</v>
      </c>
      <c r="H850" s="49">
        <f>'Project Stocktaking Template'!R850</f>
        <v>1700000</v>
      </c>
      <c r="I850" s="50" t="str">
        <f>'Project Stocktaking Template'!AD850</f>
        <v/>
      </c>
      <c r="J850" s="45"/>
      <c r="K850" s="45"/>
      <c r="L850" s="45"/>
      <c r="M850" s="45"/>
      <c r="N850" s="45"/>
      <c r="O850" s="45"/>
      <c r="P850" s="45"/>
      <c r="Q850" s="45"/>
      <c r="R850" s="45"/>
      <c r="S850" s="45"/>
      <c r="T850" s="45"/>
      <c r="U850" s="45"/>
      <c r="V850" s="45"/>
      <c r="W850" s="45"/>
      <c r="X850" s="45"/>
      <c r="Y850" s="45"/>
      <c r="Z850" s="45"/>
    </row>
    <row r="851">
      <c r="A851" s="51">
        <v>850.0</v>
      </c>
      <c r="B851" s="47" t="str">
        <f>'Project Stocktaking Template'!B851</f>
        <v>ADMINTRATION BLOCK AT PGH</v>
      </c>
      <c r="C851" s="47" t="str">
        <f>'Project Stocktaking Template'!H851</f>
        <v>GarissaTownship</v>
      </c>
      <c r="D851" s="47" t="str">
        <f>'Project Stocktaking Template'!I851</f>
        <v>Township</v>
      </c>
      <c r="E851" s="48" t="str">
        <f>'Project Stocktaking Template'!O851</f>
        <v>1st aug 2024</v>
      </c>
      <c r="F851" s="48" t="str">
        <f>'Project Stocktaking Template'!P851</f>
        <v>30th june 2025</v>
      </c>
      <c r="G851" s="48" t="str">
        <f>'Project Stocktaking Template'!Q851</f>
        <v>30th june 2025</v>
      </c>
      <c r="H851" s="49">
        <f>'Project Stocktaking Template'!R851</f>
        <v>2000000</v>
      </c>
      <c r="I851" s="50" t="str">
        <f>'Project Stocktaking Template'!AD851</f>
        <v/>
      </c>
      <c r="J851" s="45"/>
      <c r="K851" s="45"/>
      <c r="L851" s="45"/>
      <c r="M851" s="45"/>
      <c r="N851" s="45"/>
      <c r="O851" s="45"/>
      <c r="P851" s="45"/>
      <c r="Q851" s="45"/>
      <c r="R851" s="45"/>
      <c r="S851" s="45"/>
      <c r="T851" s="45"/>
      <c r="U851" s="45"/>
      <c r="V851" s="45"/>
      <c r="W851" s="45"/>
      <c r="X851" s="45"/>
      <c r="Y851" s="45"/>
      <c r="Z851" s="45"/>
    </row>
    <row r="852">
      <c r="A852" s="46">
        <v>851.0</v>
      </c>
      <c r="B852" s="47" t="str">
        <f>'Project Stocktaking Template'!B852</f>
        <v>CHAINLINK FENCE AT SHANTABAQ</v>
      </c>
      <c r="C852" s="47" t="str">
        <f>'Project Stocktaking Template'!H852</f>
        <v>Lagdera</v>
      </c>
      <c r="D852" s="47" t="str">
        <f>'Project Stocktaking Template'!I852</f>
        <v>Township</v>
      </c>
      <c r="E852" s="48" t="str">
        <f>'Project Stocktaking Template'!O852</f>
        <v>1st aug 2024</v>
      </c>
      <c r="F852" s="48" t="str">
        <f>'Project Stocktaking Template'!P852</f>
        <v>30th june 2025</v>
      </c>
      <c r="G852" s="48" t="str">
        <f>'Project Stocktaking Template'!Q852</f>
        <v>30th june 2025</v>
      </c>
      <c r="H852" s="49">
        <f>'Project Stocktaking Template'!R852</f>
        <v>4153883.6</v>
      </c>
      <c r="I852" s="50" t="str">
        <f>'Project Stocktaking Template'!AD852</f>
        <v/>
      </c>
      <c r="J852" s="45"/>
      <c r="K852" s="45"/>
      <c r="L852" s="45"/>
      <c r="M852" s="45"/>
      <c r="N852" s="45"/>
      <c r="O852" s="45"/>
      <c r="P852" s="45"/>
      <c r="Q852" s="45"/>
      <c r="R852" s="45"/>
      <c r="S852" s="45"/>
      <c r="T852" s="45"/>
      <c r="U852" s="45"/>
      <c r="V852" s="45"/>
      <c r="W852" s="45"/>
      <c r="X852" s="45"/>
      <c r="Y852" s="45"/>
      <c r="Z852" s="45"/>
    </row>
    <row r="853">
      <c r="A853" s="51">
        <v>852.0</v>
      </c>
      <c r="B853" s="47" t="str">
        <f>'Project Stocktaking Template'!B853</f>
        <v>CONSTRUCTION OF GALBET POLICE POST</v>
      </c>
      <c r="C853" s="47" t="str">
        <f>'Project Stocktaking Template'!H853</f>
        <v>GarissaTownship</v>
      </c>
      <c r="D853" s="47" t="str">
        <f>'Project Stocktaking Template'!I853</f>
        <v>Galbet</v>
      </c>
      <c r="E853" s="48" t="str">
        <f>'Project Stocktaking Template'!O853</f>
        <v>1st aug 2024</v>
      </c>
      <c r="F853" s="48" t="str">
        <f>'Project Stocktaking Template'!P853</f>
        <v>30th june 2025</v>
      </c>
      <c r="G853" s="48" t="str">
        <f>'Project Stocktaking Template'!Q853</f>
        <v>30th june 2025</v>
      </c>
      <c r="H853" s="49">
        <f>'Project Stocktaking Template'!R853</f>
        <v>1500000</v>
      </c>
      <c r="I853" s="50" t="str">
        <f>'Project Stocktaking Template'!AD853</f>
        <v/>
      </c>
      <c r="J853" s="45"/>
      <c r="K853" s="45"/>
      <c r="L853" s="45"/>
      <c r="M853" s="45"/>
      <c r="N853" s="45"/>
      <c r="O853" s="45"/>
      <c r="P853" s="45"/>
      <c r="Q853" s="45"/>
      <c r="R853" s="45"/>
      <c r="S853" s="45"/>
      <c r="T853" s="45"/>
      <c r="U853" s="45"/>
      <c r="V853" s="45"/>
      <c r="W853" s="45"/>
      <c r="X853" s="45"/>
      <c r="Y853" s="45"/>
      <c r="Z853" s="45"/>
    </row>
    <row r="854">
      <c r="A854" s="46">
        <v>853.0</v>
      </c>
      <c r="B854" s="47" t="str">
        <f>'Project Stocktaking Template'!B854</f>
        <v>CONSTRUCTION OF WARD ADMIN AT BARAKI</v>
      </c>
      <c r="C854" s="47" t="str">
        <f>'Project Stocktaking Template'!H854</f>
        <v>Lagdera</v>
      </c>
      <c r="D854" s="47" t="str">
        <f>'Project Stocktaking Template'!I854</f>
        <v>Baraki</v>
      </c>
      <c r="E854" s="48" t="str">
        <f>'Project Stocktaking Template'!O854</f>
        <v>1st aug 2024</v>
      </c>
      <c r="F854" s="48" t="str">
        <f>'Project Stocktaking Template'!P854</f>
        <v>30th june 2025</v>
      </c>
      <c r="G854" s="48" t="str">
        <f>'Project Stocktaking Template'!Q854</f>
        <v>30th june 2025</v>
      </c>
      <c r="H854" s="49">
        <f>'Project Stocktaking Template'!R854</f>
        <v>1615000</v>
      </c>
      <c r="I854" s="50" t="str">
        <f>'Project Stocktaking Template'!AD854</f>
        <v/>
      </c>
      <c r="J854" s="45"/>
      <c r="K854" s="45"/>
      <c r="L854" s="45"/>
      <c r="M854" s="45"/>
      <c r="N854" s="45"/>
      <c r="O854" s="45"/>
      <c r="P854" s="45"/>
      <c r="Q854" s="45"/>
      <c r="R854" s="45"/>
      <c r="S854" s="45"/>
      <c r="T854" s="45"/>
      <c r="U854" s="45"/>
      <c r="V854" s="45"/>
      <c r="W854" s="45"/>
      <c r="X854" s="45"/>
      <c r="Y854" s="45"/>
      <c r="Z854" s="45"/>
    </row>
    <row r="855">
      <c r="A855" s="51">
        <v>854.0</v>
      </c>
      <c r="B855" s="47" t="str">
        <f>'Project Stocktaking Template'!B855</f>
        <v>DEMOLITION AND CONSTRUCTION OF PARKING AT QORAXEY MARKET</v>
      </c>
      <c r="C855" s="47" t="str">
        <f>'Project Stocktaking Template'!H855</f>
        <v>GarissaTownship</v>
      </c>
      <c r="D855" s="47" t="str">
        <f>'Project Stocktaking Template'!I855</f>
        <v>Township</v>
      </c>
      <c r="E855" s="48" t="str">
        <f>'Project Stocktaking Template'!O855</f>
        <v>1st aug 2024</v>
      </c>
      <c r="F855" s="48" t="str">
        <f>'Project Stocktaking Template'!P855</f>
        <v>30th june 2025</v>
      </c>
      <c r="G855" s="48" t="str">
        <f>'Project Stocktaking Template'!Q855</f>
        <v>30th june 2025</v>
      </c>
      <c r="H855" s="49">
        <f>'Project Stocktaking Template'!R855</f>
        <v>3200000</v>
      </c>
      <c r="I855" s="50" t="str">
        <f>'Project Stocktaking Template'!AD855</f>
        <v/>
      </c>
      <c r="J855" s="45"/>
      <c r="K855" s="45"/>
      <c r="L855" s="45"/>
      <c r="M855" s="45"/>
      <c r="N855" s="45"/>
      <c r="O855" s="45"/>
      <c r="P855" s="45"/>
      <c r="Q855" s="45"/>
      <c r="R855" s="45"/>
      <c r="S855" s="45"/>
      <c r="T855" s="45"/>
      <c r="U855" s="45"/>
      <c r="V855" s="45"/>
      <c r="W855" s="45"/>
      <c r="X855" s="45"/>
      <c r="Y855" s="45"/>
      <c r="Z855" s="45"/>
    </row>
    <row r="856">
      <c r="A856" s="46">
        <v>855.0</v>
      </c>
      <c r="B856" s="47" t="str">
        <f>'Project Stocktaking Template'!B856</f>
        <v>PERIMETER FENCE BLOACK GUARD AND POWER HOUSE AT DADAAB MUNICIPALITY OFFICES</v>
      </c>
      <c r="C856" s="47" t="str">
        <f>'Project Stocktaking Template'!H856</f>
        <v>Dadaab</v>
      </c>
      <c r="D856" s="47" t="str">
        <f>'Project Stocktaking Template'!I856</f>
        <v>Dadaab</v>
      </c>
      <c r="E856" s="48" t="str">
        <f>'Project Stocktaking Template'!O856</f>
        <v>1st aug 2024</v>
      </c>
      <c r="F856" s="48" t="str">
        <f>'Project Stocktaking Template'!P856</f>
        <v>30th june 2025</v>
      </c>
      <c r="G856" s="48" t="str">
        <f>'Project Stocktaking Template'!Q856</f>
        <v>30th june 2025</v>
      </c>
      <c r="H856" s="49">
        <f>'Project Stocktaking Template'!R856</f>
        <v>3837413.8</v>
      </c>
      <c r="I856" s="50" t="str">
        <f>'Project Stocktaking Template'!AD856</f>
        <v/>
      </c>
      <c r="J856" s="45"/>
      <c r="K856" s="45"/>
      <c r="L856" s="45"/>
      <c r="M856" s="45"/>
      <c r="N856" s="45"/>
      <c r="O856" s="45"/>
      <c r="P856" s="45"/>
      <c r="Q856" s="45"/>
      <c r="R856" s="45"/>
      <c r="S856" s="45"/>
      <c r="T856" s="45"/>
      <c r="U856" s="45"/>
      <c r="V856" s="45"/>
      <c r="W856" s="45"/>
      <c r="X856" s="45"/>
      <c r="Y856" s="45"/>
      <c r="Z856" s="45"/>
    </row>
    <row r="857">
      <c r="A857" s="51">
        <v>856.0</v>
      </c>
      <c r="B857" s="47" t="str">
        <f>'Project Stocktaking Template'!B857</f>
        <v>PERIMTER WALL AT MG 16</v>
      </c>
      <c r="C857" s="47" t="str">
        <f>'Project Stocktaking Template'!H857</f>
        <v>GarissaTownship</v>
      </c>
      <c r="D857" s="47" t="str">
        <f>'Project Stocktaking Template'!I857</f>
        <v>Township</v>
      </c>
      <c r="E857" s="48" t="str">
        <f>'Project Stocktaking Template'!O857</f>
        <v>1st aug 2024</v>
      </c>
      <c r="F857" s="48" t="str">
        <f>'Project Stocktaking Template'!P857</f>
        <v>30th june 2025</v>
      </c>
      <c r="G857" s="48" t="str">
        <f>'Project Stocktaking Template'!Q857</f>
        <v>30th june 2025</v>
      </c>
      <c r="H857" s="49">
        <f>'Project Stocktaking Template'!R857</f>
        <v>500000</v>
      </c>
      <c r="I857" s="50" t="str">
        <f>'Project Stocktaking Template'!AD857</f>
        <v/>
      </c>
      <c r="J857" s="45"/>
      <c r="K857" s="45"/>
      <c r="L857" s="45"/>
      <c r="M857" s="45"/>
      <c r="N857" s="45"/>
      <c r="O857" s="45"/>
      <c r="P857" s="45"/>
      <c r="Q857" s="45"/>
      <c r="R857" s="45"/>
      <c r="S857" s="45"/>
      <c r="T857" s="45"/>
      <c r="U857" s="45"/>
      <c r="V857" s="45"/>
      <c r="W857" s="45"/>
      <c r="X857" s="45"/>
      <c r="Y857" s="45"/>
      <c r="Z857" s="45"/>
    </row>
    <row r="858">
      <c r="A858" s="46">
        <v>857.0</v>
      </c>
      <c r="B858" s="47" t="str">
        <f>'Project Stocktaking Template'!B858</f>
        <v>MAINTAINANCE OF ROADS</v>
      </c>
      <c r="C858" s="47" t="str">
        <f>'Project Stocktaking Template'!H858</f>
        <v>GarissaTownship</v>
      </c>
      <c r="D858" s="47" t="str">
        <f>'Project Stocktaking Template'!I858</f>
        <v>Township</v>
      </c>
      <c r="E858" s="48" t="str">
        <f>'Project Stocktaking Template'!O858</f>
        <v>1st aug 2024</v>
      </c>
      <c r="F858" s="48" t="str">
        <f>'Project Stocktaking Template'!P858</f>
        <v>30th june 2025</v>
      </c>
      <c r="G858" s="48" t="str">
        <f>'Project Stocktaking Template'!Q858</f>
        <v>30th june 2025</v>
      </c>
      <c r="H858" s="49">
        <f>'Project Stocktaking Template'!R858</f>
        <v>3500000</v>
      </c>
      <c r="I858" s="50" t="str">
        <f>'Project Stocktaking Template'!AD858</f>
        <v/>
      </c>
      <c r="J858" s="45"/>
      <c r="K858" s="45"/>
      <c r="L858" s="45"/>
      <c r="M858" s="45"/>
      <c r="N858" s="45"/>
      <c r="O858" s="45"/>
      <c r="P858" s="45"/>
      <c r="Q858" s="45"/>
      <c r="R858" s="45"/>
      <c r="S858" s="45"/>
      <c r="T858" s="45"/>
      <c r="U858" s="45"/>
      <c r="V858" s="45"/>
      <c r="W858" s="45"/>
      <c r="X858" s="45"/>
      <c r="Y858" s="45"/>
      <c r="Z858" s="45"/>
    </row>
    <row r="859">
      <c r="A859" s="51">
        <v>858.0</v>
      </c>
      <c r="B859" s="47" t="str">
        <f>'Project Stocktaking Template'!B859</f>
        <v>CHAINLINK FENCE AT GALNUNA CENTRE</v>
      </c>
      <c r="C859" s="47" t="str">
        <f>'Project Stocktaking Template'!H859</f>
        <v>GarissaTownship</v>
      </c>
      <c r="D859" s="47" t="str">
        <f>'Project Stocktaking Template'!I859</f>
        <v>Galbet</v>
      </c>
      <c r="E859" s="48" t="str">
        <f>'Project Stocktaking Template'!O859</f>
        <v>1st aug 2024</v>
      </c>
      <c r="F859" s="48" t="str">
        <f>'Project Stocktaking Template'!P859</f>
        <v>30th june 2025</v>
      </c>
      <c r="G859" s="48" t="str">
        <f>'Project Stocktaking Template'!Q859</f>
        <v>30th june 2025</v>
      </c>
      <c r="H859" s="49">
        <f>'Project Stocktaking Template'!R859</f>
        <v>3513600</v>
      </c>
      <c r="I859" s="50" t="str">
        <f>'Project Stocktaking Template'!AD859</f>
        <v/>
      </c>
      <c r="J859" s="45"/>
      <c r="K859" s="45"/>
      <c r="L859" s="45"/>
      <c r="M859" s="45"/>
      <c r="N859" s="45"/>
      <c r="O859" s="45"/>
      <c r="P859" s="45"/>
      <c r="Q859" s="45"/>
      <c r="R859" s="45"/>
      <c r="S859" s="45"/>
      <c r="T859" s="45"/>
      <c r="U859" s="45"/>
      <c r="V859" s="45"/>
      <c r="W859" s="45"/>
      <c r="X859" s="45"/>
      <c r="Y859" s="45"/>
      <c r="Z859" s="45"/>
    </row>
    <row r="860">
      <c r="A860" s="46">
        <v>859.0</v>
      </c>
      <c r="B860" s="47" t="str">
        <f>'Project Stocktaking Template'!B860</f>
        <v>MAINTAINCE OF ELKAMBERE ROADS</v>
      </c>
      <c r="C860" s="47" t="str">
        <f>'Project Stocktaking Template'!H860</f>
        <v>GarissaTownship</v>
      </c>
      <c r="D860" s="47" t="str">
        <f>'Project Stocktaking Template'!I860</f>
        <v>Township</v>
      </c>
      <c r="E860" s="48" t="str">
        <f>'Project Stocktaking Template'!O860</f>
        <v>1st aug 2024</v>
      </c>
      <c r="F860" s="48" t="str">
        <f>'Project Stocktaking Template'!P860</f>
        <v>30th june 2025</v>
      </c>
      <c r="G860" s="48" t="str">
        <f>'Project Stocktaking Template'!Q860</f>
        <v>30th june 2025</v>
      </c>
      <c r="H860" s="49">
        <f>'Project Stocktaking Template'!R860</f>
        <v>2988260</v>
      </c>
      <c r="I860" s="50" t="str">
        <f>'Project Stocktaking Template'!AD860</f>
        <v/>
      </c>
      <c r="J860" s="45"/>
      <c r="K860" s="45"/>
      <c r="L860" s="45"/>
      <c r="M860" s="45"/>
      <c r="N860" s="45"/>
      <c r="O860" s="45"/>
      <c r="P860" s="45"/>
      <c r="Q860" s="45"/>
      <c r="R860" s="45"/>
      <c r="S860" s="45"/>
      <c r="T860" s="45"/>
      <c r="U860" s="45"/>
      <c r="V860" s="45"/>
      <c r="W860" s="45"/>
      <c r="X860" s="45"/>
      <c r="Y860" s="45"/>
      <c r="Z860" s="45"/>
    </row>
    <row r="861">
      <c r="A861" s="51">
        <v>860.0</v>
      </c>
      <c r="B861" s="47" t="str">
        <f>'Project Stocktaking Template'!B861</f>
        <v>CONSTRUCTION OF WATER PAN</v>
      </c>
      <c r="C861" s="47" t="str">
        <f>'Project Stocktaking Template'!H861</f>
        <v>GarissaTownship</v>
      </c>
      <c r="D861" s="47" t="str">
        <f>'Project Stocktaking Template'!I861</f>
        <v>Township</v>
      </c>
      <c r="E861" s="48" t="str">
        <f>'Project Stocktaking Template'!O861</f>
        <v>1st aug 2024</v>
      </c>
      <c r="F861" s="48" t="str">
        <f>'Project Stocktaking Template'!P861</f>
        <v>30th june 2025</v>
      </c>
      <c r="G861" s="48" t="str">
        <f>'Project Stocktaking Template'!Q861</f>
        <v>30th june 2025</v>
      </c>
      <c r="H861" s="49">
        <f>'Project Stocktaking Template'!R861</f>
        <v>1200000</v>
      </c>
      <c r="I861" s="50" t="str">
        <f>'Project Stocktaking Template'!AD861</f>
        <v/>
      </c>
      <c r="J861" s="45"/>
      <c r="K861" s="45"/>
      <c r="L861" s="45"/>
      <c r="M861" s="45"/>
      <c r="N861" s="45"/>
      <c r="O861" s="45"/>
      <c r="P861" s="45"/>
      <c r="Q861" s="45"/>
      <c r="R861" s="45"/>
      <c r="S861" s="45"/>
      <c r="T861" s="45"/>
      <c r="U861" s="45"/>
      <c r="V861" s="45"/>
      <c r="W861" s="45"/>
      <c r="X861" s="45"/>
      <c r="Y861" s="45"/>
      <c r="Z861" s="45"/>
    </row>
    <row r="862">
      <c r="A862" s="46">
        <v>861.0</v>
      </c>
      <c r="B862" s="47" t="str">
        <f>'Project Stocktaking Template'!B862</f>
        <v>MAINTAINCE OF FARM ACCESS</v>
      </c>
      <c r="C862" s="47" t="str">
        <f>'Project Stocktaking Template'!H862</f>
        <v>GarissaTownship</v>
      </c>
      <c r="D862" s="47" t="str">
        <f>'Project Stocktaking Template'!I862</f>
        <v>Township</v>
      </c>
      <c r="E862" s="48" t="str">
        <f>'Project Stocktaking Template'!O862</f>
        <v>1st aug 2024</v>
      </c>
      <c r="F862" s="48" t="str">
        <f>'Project Stocktaking Template'!P862</f>
        <v>30th june 2025</v>
      </c>
      <c r="G862" s="48" t="str">
        <f>'Project Stocktaking Template'!Q862</f>
        <v>30th june 2025</v>
      </c>
      <c r="H862" s="49">
        <f>'Project Stocktaking Template'!R862</f>
        <v>3882400</v>
      </c>
      <c r="I862" s="50" t="str">
        <f>'Project Stocktaking Template'!AD862</f>
        <v/>
      </c>
      <c r="J862" s="45"/>
      <c r="K862" s="45"/>
      <c r="L862" s="45"/>
      <c r="M862" s="45"/>
      <c r="N862" s="45"/>
      <c r="O862" s="45"/>
      <c r="P862" s="45"/>
      <c r="Q862" s="45"/>
      <c r="R862" s="45"/>
      <c r="S862" s="45"/>
      <c r="T862" s="45"/>
      <c r="U862" s="45"/>
      <c r="V862" s="45"/>
      <c r="W862" s="45"/>
      <c r="X862" s="45"/>
      <c r="Y862" s="45"/>
      <c r="Z862" s="45"/>
    </row>
    <row r="863">
      <c r="A863" s="51">
        <v>862.0</v>
      </c>
      <c r="B863" s="47" t="str">
        <f>'Project Stocktaking Template'!B863</f>
        <v>CHAINLINK FENCE AND CONSTRUCTION OF WATER PAN</v>
      </c>
      <c r="C863" s="47" t="str">
        <f>'Project Stocktaking Template'!H863</f>
        <v>GarissaTownship</v>
      </c>
      <c r="D863" s="47" t="str">
        <f>'Project Stocktaking Template'!I863</f>
        <v>Township</v>
      </c>
      <c r="E863" s="48" t="str">
        <f>'Project Stocktaking Template'!O863</f>
        <v>1st aug 2024</v>
      </c>
      <c r="F863" s="48" t="str">
        <f>'Project Stocktaking Template'!P863</f>
        <v>30th june 2025</v>
      </c>
      <c r="G863" s="48" t="str">
        <f>'Project Stocktaking Template'!Q863</f>
        <v>30th june 2025</v>
      </c>
      <c r="H863" s="49">
        <f>'Project Stocktaking Template'!R863</f>
        <v>4951100</v>
      </c>
      <c r="I863" s="50" t="str">
        <f>'Project Stocktaking Template'!AD863</f>
        <v/>
      </c>
      <c r="J863" s="45"/>
      <c r="K863" s="45"/>
      <c r="L863" s="45"/>
      <c r="M863" s="45"/>
      <c r="N863" s="45"/>
      <c r="O863" s="45"/>
      <c r="P863" s="45"/>
      <c r="Q863" s="45"/>
      <c r="R863" s="45"/>
      <c r="S863" s="45"/>
      <c r="T863" s="45"/>
      <c r="U863" s="45"/>
      <c r="V863" s="45"/>
      <c r="W863" s="45"/>
      <c r="X863" s="45"/>
      <c r="Y863" s="45"/>
      <c r="Z863" s="45"/>
    </row>
    <row r="864">
      <c r="A864" s="46">
        <v>863.0</v>
      </c>
      <c r="B864" s="47" t="str">
        <f>'Project Stocktaking Template'!B864</f>
        <v>RENOVATION OF KITCHEN AT GARISSA URBAN PLANNING</v>
      </c>
      <c r="C864" s="47" t="str">
        <f>'Project Stocktaking Template'!H864</f>
        <v>GarissaTownship</v>
      </c>
      <c r="D864" s="47" t="str">
        <f>'Project Stocktaking Template'!I864</f>
        <v>Township</v>
      </c>
      <c r="E864" s="48" t="str">
        <f>'Project Stocktaking Template'!O864</f>
        <v>1st aug 2024</v>
      </c>
      <c r="F864" s="48" t="str">
        <f>'Project Stocktaking Template'!P864</f>
        <v>30th june 2025</v>
      </c>
      <c r="G864" s="48" t="str">
        <f>'Project Stocktaking Template'!Q864</f>
        <v>30th june 2025</v>
      </c>
      <c r="H864" s="49">
        <f>'Project Stocktaking Template'!R864</f>
        <v>4964200</v>
      </c>
      <c r="I864" s="50" t="str">
        <f>'Project Stocktaking Template'!AD864</f>
        <v/>
      </c>
      <c r="J864" s="45"/>
      <c r="K864" s="45"/>
      <c r="L864" s="45"/>
      <c r="M864" s="45"/>
      <c r="N864" s="45"/>
      <c r="O864" s="45"/>
      <c r="P864" s="45"/>
      <c r="Q864" s="45"/>
      <c r="R864" s="45"/>
      <c r="S864" s="45"/>
      <c r="T864" s="45"/>
      <c r="U864" s="45"/>
      <c r="V864" s="45"/>
      <c r="W864" s="45"/>
      <c r="X864" s="45"/>
      <c r="Y864" s="45"/>
      <c r="Z864" s="45"/>
    </row>
    <row r="865">
      <c r="A865" s="51">
        <v>864.0</v>
      </c>
      <c r="B865" s="47" t="str">
        <f>'Project Stocktaking Template'!B865</f>
        <v>MAINTAINANCE OF ROADS</v>
      </c>
      <c r="C865" s="47" t="str">
        <f>'Project Stocktaking Template'!H865</f>
        <v>GarissaTownship</v>
      </c>
      <c r="D865" s="47" t="str">
        <f>'Project Stocktaking Template'!I865</f>
        <v>Township</v>
      </c>
      <c r="E865" s="48" t="str">
        <f>'Project Stocktaking Template'!O865</f>
        <v>1st aug 2024</v>
      </c>
      <c r="F865" s="48" t="str">
        <f>'Project Stocktaking Template'!P865</f>
        <v>30th june 2025</v>
      </c>
      <c r="G865" s="48" t="str">
        <f>'Project Stocktaking Template'!Q865</f>
        <v>30th june 2025</v>
      </c>
      <c r="H865" s="49">
        <f>'Project Stocktaking Template'!R865</f>
        <v>5434100</v>
      </c>
      <c r="I865" s="50" t="str">
        <f>'Project Stocktaking Template'!AD865</f>
        <v/>
      </c>
      <c r="J865" s="45"/>
      <c r="K865" s="45"/>
      <c r="L865" s="45"/>
      <c r="M865" s="45"/>
      <c r="N865" s="45"/>
      <c r="O865" s="45"/>
      <c r="P865" s="45"/>
      <c r="Q865" s="45"/>
      <c r="R865" s="45"/>
      <c r="S865" s="45"/>
      <c r="T865" s="45"/>
      <c r="U865" s="45"/>
      <c r="V865" s="45"/>
      <c r="W865" s="45"/>
      <c r="X865" s="45"/>
      <c r="Y865" s="45"/>
      <c r="Z865" s="45"/>
    </row>
    <row r="866">
      <c r="A866" s="46">
        <v>865.0</v>
      </c>
      <c r="B866" s="47" t="str">
        <f>'Project Stocktaking Template'!B866</f>
        <v>CONTRUCTION OF WATER</v>
      </c>
      <c r="C866" s="47" t="str">
        <f>'Project Stocktaking Template'!H866</f>
        <v>GarissaTownship</v>
      </c>
      <c r="D866" s="47" t="str">
        <f>'Project Stocktaking Template'!I866</f>
        <v>Township</v>
      </c>
      <c r="E866" s="48" t="str">
        <f>'Project Stocktaking Template'!O866</f>
        <v>1st aug 2024</v>
      </c>
      <c r="F866" s="48" t="str">
        <f>'Project Stocktaking Template'!P866</f>
        <v>30th june 2025</v>
      </c>
      <c r="G866" s="48" t="str">
        <f>'Project Stocktaking Template'!Q866</f>
        <v>30th june 2025</v>
      </c>
      <c r="H866" s="49">
        <f>'Project Stocktaking Template'!R866</f>
        <v>5596200</v>
      </c>
      <c r="I866" s="50" t="str">
        <f>'Project Stocktaking Template'!AD866</f>
        <v/>
      </c>
      <c r="J866" s="45"/>
      <c r="K866" s="45"/>
      <c r="L866" s="45"/>
      <c r="M866" s="45"/>
      <c r="N866" s="45"/>
      <c r="O866" s="45"/>
      <c r="P866" s="45"/>
      <c r="Q866" s="45"/>
      <c r="R866" s="45"/>
      <c r="S866" s="45"/>
      <c r="T866" s="45"/>
      <c r="U866" s="45"/>
      <c r="V866" s="45"/>
      <c r="W866" s="45"/>
      <c r="X866" s="45"/>
      <c r="Y866" s="45"/>
      <c r="Z866" s="45"/>
    </row>
    <row r="867">
      <c r="A867" s="51">
        <v>866.0</v>
      </c>
      <c r="B867" s="47" t="str">
        <f>'Project Stocktaking Template'!B867</f>
        <v>IMPROVEMENT OF ROADS</v>
      </c>
      <c r="C867" s="47" t="str">
        <f>'Project Stocktaking Template'!H867</f>
        <v>GarissaTownship</v>
      </c>
      <c r="D867" s="47" t="str">
        <f>'Project Stocktaking Template'!I867</f>
        <v>Township</v>
      </c>
      <c r="E867" s="48" t="str">
        <f>'Project Stocktaking Template'!O867</f>
        <v>1st aug 2024</v>
      </c>
      <c r="F867" s="48" t="str">
        <f>'Project Stocktaking Template'!P867</f>
        <v>30th june 2025</v>
      </c>
      <c r="G867" s="48" t="str">
        <f>'Project Stocktaking Template'!Q867</f>
        <v>30th june 2025</v>
      </c>
      <c r="H867" s="49">
        <f>'Project Stocktaking Template'!R867</f>
        <v>2256200</v>
      </c>
      <c r="I867" s="50" t="str">
        <f>'Project Stocktaking Template'!AD867</f>
        <v/>
      </c>
      <c r="J867" s="45"/>
      <c r="K867" s="45"/>
      <c r="L867" s="45"/>
      <c r="M867" s="45"/>
      <c r="N867" s="45"/>
      <c r="O867" s="45"/>
      <c r="P867" s="45"/>
      <c r="Q867" s="45"/>
      <c r="R867" s="45"/>
      <c r="S867" s="45"/>
      <c r="T867" s="45"/>
      <c r="U867" s="45"/>
      <c r="V867" s="45"/>
      <c r="W867" s="45"/>
      <c r="X867" s="45"/>
      <c r="Y867" s="45"/>
      <c r="Z867" s="45"/>
    </row>
    <row r="868">
      <c r="A868" s="46">
        <v>867.0</v>
      </c>
      <c r="B868" s="47" t="str">
        <f>'Project Stocktaking Template'!B868</f>
        <v>RENOVATION OF ECONOMIC PLANNING OFFICES</v>
      </c>
      <c r="C868" s="47" t="str">
        <f>'Project Stocktaking Template'!H868</f>
        <v>GarissaTownship</v>
      </c>
      <c r="D868" s="47" t="str">
        <f>'Project Stocktaking Template'!I868</f>
        <v>Township</v>
      </c>
      <c r="E868" s="48" t="str">
        <f>'Project Stocktaking Template'!O868</f>
        <v>1st aug 2024</v>
      </c>
      <c r="F868" s="48" t="str">
        <f>'Project Stocktaking Template'!P868</f>
        <v>30th june 2025</v>
      </c>
      <c r="G868" s="48" t="str">
        <f>'Project Stocktaking Template'!Q868</f>
        <v>30th june 2025</v>
      </c>
      <c r="H868" s="49">
        <f>'Project Stocktaking Template'!R868</f>
        <v>2752600</v>
      </c>
      <c r="I868" s="50" t="str">
        <f>'Project Stocktaking Template'!AD868</f>
        <v/>
      </c>
      <c r="J868" s="45"/>
      <c r="K868" s="45"/>
      <c r="L868" s="45"/>
      <c r="M868" s="45"/>
      <c r="N868" s="45"/>
      <c r="O868" s="45"/>
      <c r="P868" s="45"/>
      <c r="Q868" s="45"/>
      <c r="R868" s="45"/>
      <c r="S868" s="45"/>
      <c r="T868" s="45"/>
      <c r="U868" s="45"/>
      <c r="V868" s="45"/>
      <c r="W868" s="45"/>
      <c r="X868" s="45"/>
      <c r="Y868" s="45"/>
      <c r="Z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ht="14.25" customHeight="1"/>
    <row r="2" ht="14.25" customHeight="1"/>
    <row r="3" ht="14.25" customHeight="1">
      <c r="B3" s="8" t="s">
        <v>835</v>
      </c>
    </row>
    <row r="4" ht="14.25" customHeight="1">
      <c r="B4" s="8" t="s">
        <v>836</v>
      </c>
    </row>
    <row r="5" ht="14.25" customHeight="1">
      <c r="B5" s="8" t="s">
        <v>837</v>
      </c>
    </row>
    <row r="6" ht="14.25" customHeight="1"/>
    <row r="7" ht="14.25" customHeight="1"/>
    <row r="8" ht="14.25" customHeight="1">
      <c r="B8" s="8" t="s">
        <v>838</v>
      </c>
    </row>
    <row r="9" ht="14.25" customHeight="1">
      <c r="B9" s="8" t="s">
        <v>839</v>
      </c>
    </row>
    <row r="10" ht="14.25" customHeight="1"/>
    <row r="11" ht="14.25" customHeight="1"/>
    <row r="12" ht="14.25" customHeight="1">
      <c r="B12" s="8" t="s">
        <v>840</v>
      </c>
    </row>
    <row r="13" ht="14.25" customHeight="1">
      <c r="B13" s="8" t="s">
        <v>841</v>
      </c>
    </row>
    <row r="14" ht="14.25" customHeight="1">
      <c r="B14" s="8" t="s">
        <v>842</v>
      </c>
    </row>
    <row r="15" ht="14.25" customHeight="1"/>
    <row r="16" ht="14.25" customHeight="1">
      <c r="B16" s="8" t="s">
        <v>72</v>
      </c>
    </row>
    <row r="17" ht="14.25" customHeight="1">
      <c r="B17" s="8" t="s">
        <v>843</v>
      </c>
    </row>
    <row r="18" ht="14.25" customHeight="1">
      <c r="B18" s="8" t="s">
        <v>844</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0">
      <c r="A10" s="52" t="s">
        <v>845</v>
      </c>
      <c r="B10" s="53"/>
      <c r="C10" s="53"/>
      <c r="D10" s="54"/>
      <c r="E10" s="45"/>
      <c r="F10" s="45"/>
      <c r="G10" s="45"/>
      <c r="H10" s="45"/>
      <c r="I10" s="45"/>
      <c r="J10" s="45"/>
      <c r="K10" s="45"/>
      <c r="L10" s="45"/>
      <c r="M10" s="45"/>
      <c r="N10" s="45"/>
      <c r="O10" s="45"/>
      <c r="P10" s="45"/>
      <c r="Q10" s="45"/>
      <c r="R10" s="45"/>
      <c r="S10" s="55"/>
      <c r="T10" s="55"/>
      <c r="U10" s="55"/>
      <c r="V10" s="45"/>
      <c r="W10" s="45"/>
      <c r="X10" s="45"/>
      <c r="Y10" s="45"/>
      <c r="Z10" s="56"/>
    </row>
    <row r="11">
      <c r="A11" s="57" t="s">
        <v>846</v>
      </c>
      <c r="B11" s="45"/>
      <c r="C11" s="45"/>
      <c r="D11" s="58"/>
      <c r="E11" s="45"/>
      <c r="F11" s="45"/>
      <c r="G11" s="45"/>
      <c r="H11" s="45"/>
      <c r="I11" s="45"/>
      <c r="J11" s="45"/>
      <c r="K11" s="45"/>
      <c r="L11" s="45"/>
      <c r="M11" s="45"/>
      <c r="N11" s="45"/>
      <c r="O11" s="45"/>
      <c r="P11" s="45"/>
      <c r="Q11" s="45"/>
      <c r="R11" s="45"/>
      <c r="S11" s="55"/>
      <c r="T11" s="55"/>
      <c r="U11" s="55"/>
      <c r="V11" s="45"/>
      <c r="W11" s="45"/>
      <c r="X11" s="45"/>
      <c r="Y11" s="45"/>
      <c r="Z11" s="56"/>
    </row>
    <row r="12">
      <c r="A12" s="57" t="s">
        <v>847</v>
      </c>
      <c r="B12" s="45"/>
      <c r="C12" s="45"/>
      <c r="D12" s="58"/>
      <c r="E12" s="45"/>
      <c r="F12" s="45"/>
      <c r="G12" s="45"/>
      <c r="H12" s="45"/>
      <c r="I12" s="45"/>
      <c r="J12" s="45"/>
      <c r="K12" s="45"/>
      <c r="L12" s="45"/>
      <c r="M12" s="45"/>
      <c r="N12" s="45"/>
      <c r="O12" s="45"/>
      <c r="P12" s="45"/>
      <c r="Q12" s="45"/>
      <c r="R12" s="45"/>
      <c r="S12" s="55"/>
      <c r="T12" s="55"/>
      <c r="U12" s="55"/>
      <c r="V12" s="45"/>
      <c r="W12" s="45"/>
      <c r="X12" s="45"/>
      <c r="Y12" s="45"/>
      <c r="Z12" s="56"/>
    </row>
    <row r="13">
      <c r="A13" s="57" t="s">
        <v>848</v>
      </c>
      <c r="B13" s="45"/>
      <c r="C13" s="45"/>
      <c r="D13" s="58"/>
      <c r="E13" s="45"/>
      <c r="F13" s="45"/>
      <c r="G13" s="45"/>
      <c r="H13" s="45"/>
      <c r="I13" s="45"/>
      <c r="J13" s="45"/>
      <c r="K13" s="45"/>
      <c r="L13" s="45"/>
      <c r="M13" s="45"/>
      <c r="N13" s="45"/>
      <c r="O13" s="45"/>
      <c r="P13" s="45"/>
      <c r="Q13" s="45"/>
      <c r="R13" s="45"/>
      <c r="S13" s="55"/>
      <c r="T13" s="55"/>
      <c r="U13" s="55"/>
      <c r="V13" s="45"/>
      <c r="W13" s="45"/>
      <c r="X13" s="45"/>
      <c r="Y13" s="45"/>
      <c r="Z13" s="56"/>
    </row>
    <row r="14">
      <c r="A14" s="59"/>
      <c r="B14" s="45"/>
      <c r="C14" s="45"/>
      <c r="D14" s="58"/>
      <c r="E14" s="45"/>
      <c r="F14" s="45"/>
      <c r="G14" s="45"/>
      <c r="H14" s="45"/>
      <c r="I14" s="45"/>
      <c r="J14" s="45"/>
      <c r="K14" s="45"/>
      <c r="L14" s="45"/>
      <c r="M14" s="45"/>
      <c r="N14" s="45"/>
      <c r="O14" s="45"/>
      <c r="P14" s="45"/>
      <c r="Q14" s="45"/>
      <c r="R14" s="45"/>
      <c r="S14" s="55"/>
      <c r="T14" s="55"/>
      <c r="U14" s="55"/>
      <c r="V14" s="45"/>
      <c r="W14" s="45"/>
      <c r="X14" s="45"/>
      <c r="Y14" s="45"/>
      <c r="Z14" s="56"/>
    </row>
    <row r="15">
      <c r="A15" s="59"/>
      <c r="B15" s="45"/>
      <c r="C15" s="45"/>
      <c r="D15" s="58"/>
      <c r="E15" s="45"/>
      <c r="F15" s="45"/>
      <c r="G15" s="45"/>
      <c r="H15" s="45"/>
      <c r="I15" s="45"/>
      <c r="J15" s="45"/>
      <c r="K15" s="45"/>
      <c r="L15" s="45"/>
      <c r="M15" s="45"/>
      <c r="N15" s="45"/>
      <c r="O15" s="45"/>
      <c r="P15" s="45"/>
      <c r="Q15" s="45"/>
      <c r="R15" s="45"/>
      <c r="S15" s="55"/>
      <c r="T15" s="55"/>
      <c r="U15" s="55"/>
      <c r="V15" s="45"/>
      <c r="W15" s="45"/>
      <c r="X15" s="45"/>
      <c r="Y15" s="45"/>
      <c r="Z15" s="56"/>
    </row>
    <row r="16">
      <c r="A16" s="57" t="s">
        <v>849</v>
      </c>
      <c r="B16" s="45"/>
      <c r="C16" s="45"/>
      <c r="D16" s="58"/>
      <c r="E16" s="45"/>
      <c r="F16" s="45"/>
      <c r="G16" s="45"/>
      <c r="H16" s="45"/>
      <c r="I16" s="45"/>
      <c r="J16" s="45"/>
      <c r="K16" s="45"/>
      <c r="L16" s="45"/>
      <c r="M16" s="45"/>
      <c r="N16" s="45"/>
      <c r="O16" s="45"/>
      <c r="P16" s="45"/>
      <c r="Q16" s="45"/>
      <c r="R16" s="45"/>
      <c r="S16" s="55"/>
      <c r="T16" s="55"/>
      <c r="U16" s="55"/>
      <c r="V16" s="45"/>
      <c r="W16" s="45"/>
      <c r="X16" s="45"/>
      <c r="Y16" s="45"/>
      <c r="Z16" s="56"/>
    </row>
    <row r="17">
      <c r="A17" s="57" t="s">
        <v>846</v>
      </c>
      <c r="B17" s="45"/>
      <c r="C17" s="45"/>
      <c r="D17" s="58"/>
      <c r="E17" s="45"/>
      <c r="F17" s="45"/>
      <c r="G17" s="45"/>
      <c r="H17" s="45"/>
      <c r="I17" s="45"/>
      <c r="J17" s="45"/>
      <c r="K17" s="45"/>
      <c r="L17" s="45"/>
      <c r="M17" s="45"/>
      <c r="N17" s="45"/>
      <c r="O17" s="45"/>
      <c r="P17" s="45"/>
      <c r="Q17" s="45"/>
      <c r="R17" s="45"/>
      <c r="S17" s="55"/>
      <c r="T17" s="55"/>
      <c r="U17" s="55"/>
      <c r="V17" s="45"/>
      <c r="W17" s="45"/>
      <c r="X17" s="45"/>
      <c r="Y17" s="45"/>
      <c r="Z17" s="56"/>
    </row>
    <row r="18">
      <c r="A18" s="57" t="s">
        <v>847</v>
      </c>
      <c r="B18" s="45"/>
      <c r="C18" s="45"/>
      <c r="D18" s="58"/>
      <c r="E18" s="45"/>
      <c r="F18" s="45"/>
      <c r="G18" s="45"/>
      <c r="H18" s="45"/>
      <c r="I18" s="45"/>
      <c r="J18" s="45"/>
      <c r="K18" s="45"/>
      <c r="L18" s="45"/>
      <c r="M18" s="45"/>
      <c r="N18" s="45"/>
      <c r="O18" s="45"/>
      <c r="P18" s="45"/>
      <c r="Q18" s="45"/>
      <c r="R18" s="45"/>
      <c r="S18" s="55"/>
      <c r="T18" s="55"/>
      <c r="U18" s="55"/>
      <c r="V18" s="45"/>
      <c r="W18" s="45"/>
      <c r="X18" s="45"/>
      <c r="Y18" s="45"/>
      <c r="Z18" s="56"/>
    </row>
    <row r="19">
      <c r="A19" s="60" t="s">
        <v>848</v>
      </c>
      <c r="B19" s="61"/>
      <c r="C19" s="61"/>
      <c r="D19" s="62"/>
      <c r="E19" s="45"/>
      <c r="F19" s="45"/>
      <c r="G19" s="45"/>
      <c r="H19" s="45"/>
      <c r="I19" s="45"/>
      <c r="J19" s="45"/>
      <c r="K19" s="45"/>
      <c r="L19" s="45"/>
      <c r="M19" s="45"/>
      <c r="N19" s="45"/>
      <c r="O19" s="45"/>
      <c r="P19" s="45"/>
      <c r="Q19" s="45"/>
      <c r="R19" s="45"/>
      <c r="S19" s="55"/>
      <c r="T19" s="55"/>
      <c r="U19" s="55"/>
      <c r="V19" s="45"/>
      <c r="W19" s="45"/>
      <c r="X19" s="45"/>
      <c r="Y19" s="45"/>
      <c r="Z19"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sheetData>
    <row r="1">
      <c r="A1" s="63" t="s">
        <v>850</v>
      </c>
      <c r="B1" s="63" t="s">
        <v>851</v>
      </c>
      <c r="C1" s="63" t="s">
        <v>852</v>
      </c>
      <c r="D1" s="8"/>
      <c r="E1" s="8"/>
      <c r="F1" s="8"/>
      <c r="G1" s="8"/>
      <c r="H1" s="8"/>
      <c r="I1" s="8"/>
      <c r="J1" s="8"/>
      <c r="K1" s="8"/>
      <c r="L1" s="8"/>
      <c r="M1" s="8"/>
      <c r="N1" s="8"/>
      <c r="O1" s="8"/>
      <c r="P1" s="8"/>
      <c r="Q1" s="8"/>
      <c r="R1" s="8"/>
      <c r="S1" s="8"/>
      <c r="T1" s="8"/>
      <c r="U1" s="8"/>
      <c r="V1" s="8"/>
      <c r="W1" s="8"/>
      <c r="X1" s="8"/>
      <c r="Y1" s="8"/>
      <c r="Z1" s="8"/>
    </row>
    <row r="2">
      <c r="A2" s="64"/>
      <c r="B2" s="64" t="s">
        <v>75</v>
      </c>
      <c r="C2" s="65" t="s">
        <v>853</v>
      </c>
      <c r="D2" s="8"/>
      <c r="E2" s="8"/>
      <c r="F2" s="8"/>
      <c r="G2" s="8"/>
      <c r="H2" s="8"/>
      <c r="I2" s="8"/>
      <c r="J2" s="8"/>
      <c r="K2" s="8"/>
      <c r="L2" s="8"/>
      <c r="M2" s="8"/>
      <c r="N2" s="8"/>
      <c r="O2" s="8"/>
      <c r="P2" s="8"/>
      <c r="Q2" s="8"/>
      <c r="R2" s="8"/>
      <c r="S2" s="8"/>
      <c r="T2" s="8"/>
      <c r="U2" s="8"/>
      <c r="V2" s="8"/>
      <c r="W2" s="8"/>
      <c r="X2" s="8"/>
      <c r="Y2" s="8"/>
      <c r="Z2" s="8"/>
    </row>
    <row r="3">
      <c r="A3" s="66"/>
      <c r="B3" s="66" t="s">
        <v>100</v>
      </c>
      <c r="C3" s="67" t="s">
        <v>854</v>
      </c>
      <c r="D3" s="8"/>
      <c r="E3" s="8"/>
      <c r="F3" s="8"/>
      <c r="G3" s="8"/>
      <c r="H3" s="8"/>
      <c r="I3" s="8"/>
      <c r="J3" s="8"/>
      <c r="K3" s="8"/>
      <c r="L3" s="8"/>
      <c r="M3" s="8"/>
      <c r="N3" s="8"/>
      <c r="O3" s="8"/>
      <c r="P3" s="8"/>
      <c r="Q3" s="8"/>
      <c r="R3" s="8"/>
      <c r="S3" s="8"/>
      <c r="T3" s="8"/>
      <c r="U3" s="8"/>
      <c r="V3" s="8"/>
      <c r="W3" s="8"/>
      <c r="X3" s="8"/>
      <c r="Y3" s="8"/>
      <c r="Z3" s="8"/>
    </row>
    <row r="4">
      <c r="A4" s="64"/>
      <c r="B4" s="64" t="s">
        <v>102</v>
      </c>
      <c r="C4" s="65" t="s">
        <v>855</v>
      </c>
      <c r="D4" s="8"/>
      <c r="E4" s="8"/>
      <c r="F4" s="8"/>
      <c r="G4" s="8"/>
      <c r="H4" s="8"/>
      <c r="I4" s="8"/>
      <c r="J4" s="8"/>
      <c r="K4" s="8"/>
      <c r="L4" s="8"/>
      <c r="M4" s="8"/>
      <c r="N4" s="8"/>
      <c r="O4" s="8"/>
      <c r="P4" s="8"/>
      <c r="Q4" s="8"/>
      <c r="R4" s="8"/>
      <c r="S4" s="8"/>
      <c r="T4" s="8"/>
      <c r="U4" s="8"/>
      <c r="V4" s="8"/>
      <c r="W4" s="8"/>
      <c r="X4" s="8"/>
      <c r="Y4" s="8"/>
      <c r="Z4" s="8"/>
    </row>
    <row r="5">
      <c r="A5" s="66"/>
      <c r="B5" s="66" t="s">
        <v>564</v>
      </c>
      <c r="C5" s="67" t="s">
        <v>856</v>
      </c>
      <c r="D5" s="8"/>
      <c r="E5" s="8"/>
      <c r="F5" s="8"/>
      <c r="G5" s="8"/>
      <c r="H5" s="8"/>
      <c r="I5" s="8"/>
      <c r="J5" s="8"/>
      <c r="K5" s="8"/>
      <c r="L5" s="8"/>
      <c r="M5" s="8"/>
      <c r="N5" s="8"/>
      <c r="O5" s="8"/>
      <c r="P5" s="8"/>
      <c r="Q5" s="8"/>
      <c r="R5" s="8"/>
      <c r="S5" s="8"/>
      <c r="T5" s="8"/>
      <c r="U5" s="8"/>
      <c r="V5" s="8"/>
      <c r="W5" s="8"/>
      <c r="X5" s="8"/>
      <c r="Y5" s="8"/>
      <c r="Z5" s="8"/>
    </row>
    <row r="6">
      <c r="A6" s="64"/>
      <c r="B6" s="64" t="s">
        <v>857</v>
      </c>
      <c r="C6" s="65" t="s">
        <v>858</v>
      </c>
      <c r="D6" s="8"/>
      <c r="E6" s="8"/>
      <c r="F6" s="8"/>
      <c r="G6" s="8"/>
      <c r="H6" s="8"/>
      <c r="I6" s="8"/>
      <c r="J6" s="8"/>
      <c r="K6" s="8"/>
      <c r="L6" s="8"/>
      <c r="M6" s="8"/>
      <c r="N6" s="8"/>
      <c r="O6" s="8"/>
      <c r="P6" s="8"/>
      <c r="Q6" s="8"/>
      <c r="R6" s="8"/>
      <c r="S6" s="8"/>
      <c r="T6" s="8"/>
      <c r="U6" s="8"/>
      <c r="V6" s="8"/>
      <c r="W6" s="8"/>
      <c r="X6" s="8"/>
      <c r="Y6" s="8"/>
      <c r="Z6" s="8"/>
    </row>
    <row r="7">
      <c r="A7" s="66"/>
      <c r="B7" s="66" t="s">
        <v>107</v>
      </c>
      <c r="C7" s="67" t="s">
        <v>859</v>
      </c>
      <c r="D7" s="8"/>
      <c r="E7" s="8"/>
      <c r="F7" s="8"/>
      <c r="G7" s="8"/>
      <c r="H7" s="8"/>
      <c r="I7" s="8"/>
      <c r="J7" s="8"/>
      <c r="K7" s="8"/>
      <c r="L7" s="8"/>
      <c r="M7" s="8"/>
      <c r="N7" s="8"/>
      <c r="O7" s="8"/>
      <c r="P7" s="8"/>
      <c r="Q7" s="8"/>
      <c r="R7" s="8"/>
      <c r="S7" s="8"/>
      <c r="T7" s="8"/>
      <c r="U7" s="8"/>
      <c r="V7" s="8"/>
      <c r="W7" s="8"/>
      <c r="X7" s="8"/>
      <c r="Y7" s="8"/>
      <c r="Z7" s="8"/>
    </row>
    <row r="8">
      <c r="A8" s="64"/>
      <c r="B8" s="64" t="s">
        <v>98</v>
      </c>
      <c r="C8" s="65" t="s">
        <v>860</v>
      </c>
      <c r="D8" s="8"/>
      <c r="E8" s="8"/>
      <c r="F8" s="8"/>
      <c r="G8" s="8"/>
      <c r="H8" s="8"/>
      <c r="I8" s="8"/>
      <c r="J8" s="8"/>
      <c r="K8" s="8"/>
      <c r="L8" s="8"/>
      <c r="M8" s="8"/>
      <c r="N8" s="8"/>
      <c r="O8" s="8"/>
      <c r="P8" s="8"/>
      <c r="Q8" s="8"/>
      <c r="R8" s="8"/>
      <c r="S8" s="8"/>
      <c r="T8" s="8"/>
      <c r="U8" s="8"/>
      <c r="V8" s="8"/>
      <c r="W8" s="8"/>
      <c r="X8" s="8"/>
      <c r="Y8" s="8"/>
      <c r="Z8" s="8"/>
    </row>
    <row r="9">
      <c r="A9" s="66"/>
      <c r="B9" s="66" t="s">
        <v>84</v>
      </c>
      <c r="C9" s="67" t="s">
        <v>861</v>
      </c>
      <c r="D9" s="8"/>
      <c r="E9" s="8"/>
      <c r="F9" s="8"/>
      <c r="G9" s="8"/>
      <c r="H9" s="8"/>
      <c r="I9" s="8"/>
      <c r="J9" s="8"/>
      <c r="K9" s="8"/>
      <c r="L9" s="8"/>
      <c r="M9" s="8"/>
      <c r="N9" s="8"/>
      <c r="O9" s="8"/>
      <c r="P9" s="8"/>
      <c r="Q9" s="8"/>
      <c r="R9" s="8"/>
      <c r="S9" s="8"/>
      <c r="T9" s="8"/>
      <c r="U9" s="8"/>
      <c r="V9" s="8"/>
      <c r="W9" s="8"/>
      <c r="X9" s="8"/>
      <c r="Y9" s="8"/>
      <c r="Z9" s="8"/>
    </row>
    <row r="10">
      <c r="A10" s="64"/>
      <c r="B10" s="64" t="s">
        <v>862</v>
      </c>
      <c r="C10" s="65" t="s">
        <v>862</v>
      </c>
      <c r="D10" s="8"/>
      <c r="E10" s="8"/>
      <c r="F10" s="8"/>
      <c r="G10" s="8"/>
      <c r="H10" s="8"/>
      <c r="I10" s="8"/>
      <c r="J10" s="8"/>
      <c r="K10" s="8"/>
      <c r="L10" s="8"/>
      <c r="M10" s="8"/>
      <c r="N10" s="8"/>
      <c r="O10" s="8"/>
      <c r="P10" s="8"/>
      <c r="Q10" s="8"/>
      <c r="R10" s="8"/>
      <c r="S10" s="8"/>
      <c r="T10" s="8"/>
      <c r="U10" s="8"/>
      <c r="V10" s="8"/>
      <c r="W10" s="8"/>
      <c r="X10" s="8"/>
      <c r="Y10" s="8"/>
      <c r="Z10" s="8"/>
    </row>
    <row r="11">
      <c r="A11" s="66"/>
      <c r="B11" s="66" t="s">
        <v>134</v>
      </c>
      <c r="C11" s="67" t="s">
        <v>863</v>
      </c>
      <c r="D11" s="8"/>
      <c r="E11" s="8"/>
      <c r="F11" s="8"/>
      <c r="G11" s="8"/>
      <c r="H11" s="8"/>
      <c r="I11" s="8"/>
      <c r="J11" s="8"/>
      <c r="K11" s="8"/>
      <c r="L11" s="8"/>
      <c r="M11" s="8"/>
      <c r="N11" s="8"/>
      <c r="O11" s="8"/>
      <c r="P11" s="8"/>
      <c r="Q11" s="8"/>
      <c r="R11" s="8"/>
      <c r="S11" s="8"/>
      <c r="T11" s="8"/>
      <c r="U11" s="8"/>
      <c r="V11" s="8"/>
      <c r="W11" s="8"/>
      <c r="X11" s="8"/>
      <c r="Y11" s="8"/>
      <c r="Z11" s="8"/>
    </row>
    <row r="12">
      <c r="A12" s="64"/>
      <c r="B12" s="64"/>
      <c r="C12" s="64"/>
      <c r="D12" s="8"/>
      <c r="E12" s="8"/>
      <c r="F12" s="8"/>
      <c r="G12" s="8"/>
      <c r="H12" s="8"/>
      <c r="I12" s="8"/>
      <c r="J12" s="8"/>
      <c r="K12" s="8"/>
      <c r="L12" s="8"/>
      <c r="M12" s="8"/>
      <c r="N12" s="8"/>
      <c r="O12" s="8"/>
      <c r="P12" s="8"/>
      <c r="Q12" s="8"/>
      <c r="R12" s="8"/>
      <c r="S12" s="8"/>
      <c r="T12" s="8"/>
      <c r="U12" s="8"/>
      <c r="V12" s="8"/>
      <c r="W12" s="8"/>
      <c r="X12" s="8"/>
      <c r="Y12" s="8"/>
      <c r="Z12" s="8"/>
    </row>
    <row r="13">
      <c r="A13" s="66"/>
      <c r="B13" s="66"/>
      <c r="C13" s="66"/>
      <c r="D13" s="8"/>
      <c r="E13" s="8"/>
      <c r="F13" s="8"/>
      <c r="G13" s="8"/>
      <c r="H13" s="8"/>
      <c r="I13" s="8"/>
      <c r="J13" s="8"/>
      <c r="K13" s="8"/>
      <c r="L13" s="8"/>
      <c r="M13" s="8"/>
      <c r="N13" s="8"/>
      <c r="O13" s="8"/>
      <c r="P13" s="8"/>
      <c r="Q13" s="8"/>
      <c r="R13" s="8"/>
      <c r="S13" s="8"/>
      <c r="T13" s="8"/>
      <c r="U13" s="8"/>
      <c r="V13" s="8"/>
      <c r="W13" s="8"/>
      <c r="X13" s="8"/>
      <c r="Y13" s="8"/>
      <c r="Z13" s="8"/>
    </row>
    <row r="14">
      <c r="A14" s="64"/>
      <c r="B14" s="64"/>
      <c r="C14" s="64"/>
      <c r="D14" s="8"/>
      <c r="E14" s="8"/>
      <c r="F14" s="8"/>
      <c r="G14" s="8"/>
      <c r="H14" s="8"/>
      <c r="I14" s="8"/>
      <c r="J14" s="8"/>
      <c r="K14" s="8"/>
      <c r="L14" s="8"/>
      <c r="M14" s="8"/>
      <c r="N14" s="8"/>
      <c r="O14" s="8"/>
      <c r="P14" s="8"/>
      <c r="Q14" s="8"/>
      <c r="R14" s="8"/>
      <c r="S14" s="8"/>
      <c r="T14" s="8"/>
      <c r="U14" s="8"/>
      <c r="V14" s="8"/>
      <c r="W14" s="8"/>
      <c r="X14" s="8"/>
      <c r="Y14" s="8"/>
      <c r="Z14" s="8"/>
    </row>
    <row r="15">
      <c r="A15" s="66"/>
      <c r="B15" s="66"/>
      <c r="C15" s="66"/>
      <c r="D15" s="8"/>
      <c r="E15" s="8"/>
      <c r="F15" s="8"/>
      <c r="G15" s="8"/>
      <c r="H15" s="8"/>
      <c r="I15" s="8"/>
      <c r="J15" s="8"/>
      <c r="K15" s="8"/>
      <c r="L15" s="8"/>
      <c r="M15" s="8"/>
      <c r="N15" s="8"/>
      <c r="O15" s="8"/>
      <c r="P15" s="8"/>
      <c r="Q15" s="8"/>
      <c r="R15" s="8"/>
      <c r="S15" s="8"/>
      <c r="T15" s="8"/>
      <c r="U15" s="8"/>
      <c r="V15" s="8"/>
      <c r="W15" s="8"/>
      <c r="X15" s="8"/>
      <c r="Y15" s="8"/>
      <c r="Z15" s="8"/>
    </row>
    <row r="16">
      <c r="A16" s="64"/>
      <c r="B16" s="64"/>
      <c r="C16" s="64"/>
      <c r="D16" s="8"/>
      <c r="E16" s="8"/>
      <c r="F16" s="8"/>
      <c r="G16" s="8"/>
      <c r="H16" s="8"/>
      <c r="I16" s="8"/>
      <c r="J16" s="8"/>
      <c r="K16" s="8"/>
      <c r="L16" s="8"/>
      <c r="M16" s="8"/>
      <c r="N16" s="8"/>
      <c r="O16" s="8"/>
      <c r="P16" s="8"/>
      <c r="Q16" s="8"/>
      <c r="R16" s="8"/>
      <c r="S16" s="8"/>
      <c r="T16" s="8"/>
      <c r="U16" s="8"/>
      <c r="V16" s="8"/>
      <c r="W16" s="8"/>
      <c r="X16" s="8"/>
      <c r="Y16" s="8"/>
      <c r="Z16" s="8"/>
    </row>
    <row r="17">
      <c r="A17" s="66"/>
      <c r="B17" s="66"/>
      <c r="C17" s="66"/>
      <c r="D17" s="8"/>
      <c r="E17" s="8"/>
      <c r="F17" s="8"/>
      <c r="G17" s="8"/>
      <c r="H17" s="8"/>
      <c r="I17" s="8"/>
      <c r="J17" s="8"/>
      <c r="K17" s="8"/>
      <c r="L17" s="8"/>
      <c r="M17" s="8"/>
      <c r="N17" s="8"/>
      <c r="O17" s="8"/>
      <c r="P17" s="8"/>
      <c r="Q17" s="8"/>
      <c r="R17" s="8"/>
      <c r="S17" s="8"/>
      <c r="T17" s="8"/>
      <c r="U17" s="8"/>
      <c r="V17" s="8"/>
      <c r="W17" s="8"/>
      <c r="X17" s="8"/>
      <c r="Y17" s="8"/>
      <c r="Z17" s="8"/>
    </row>
    <row r="18">
      <c r="A18" s="64"/>
      <c r="B18" s="64"/>
      <c r="C18" s="64"/>
      <c r="D18" s="8"/>
      <c r="E18" s="8"/>
      <c r="F18" s="8"/>
      <c r="G18" s="8"/>
      <c r="H18" s="8"/>
      <c r="I18" s="8"/>
      <c r="J18" s="8"/>
      <c r="K18" s="8"/>
      <c r="L18" s="8"/>
      <c r="M18" s="8"/>
      <c r="N18" s="8"/>
      <c r="O18" s="8"/>
      <c r="P18" s="8"/>
      <c r="Q18" s="8"/>
      <c r="R18" s="8"/>
      <c r="S18" s="8"/>
      <c r="T18" s="8"/>
      <c r="U18" s="8"/>
      <c r="V18" s="8"/>
      <c r="W18" s="8"/>
      <c r="X18" s="8"/>
      <c r="Y18" s="8"/>
      <c r="Z18" s="8"/>
    </row>
    <row r="19">
      <c r="A19" s="66"/>
      <c r="B19" s="66"/>
      <c r="C19" s="66"/>
      <c r="D19" s="8"/>
      <c r="E19" s="8"/>
      <c r="F19" s="8"/>
      <c r="G19" s="8"/>
      <c r="H19" s="8"/>
      <c r="I19" s="8"/>
      <c r="J19" s="8"/>
      <c r="K19" s="8"/>
      <c r="L19" s="8"/>
      <c r="M19" s="8"/>
      <c r="N19" s="8"/>
      <c r="O19" s="8"/>
      <c r="P19" s="8"/>
      <c r="Q19" s="8"/>
      <c r="R19" s="8"/>
      <c r="S19" s="8"/>
      <c r="T19" s="8"/>
      <c r="U19" s="8"/>
      <c r="V19" s="8"/>
      <c r="W19" s="8"/>
      <c r="X19" s="8"/>
      <c r="Y19" s="8"/>
      <c r="Z19" s="8"/>
    </row>
    <row r="20">
      <c r="A20" s="64"/>
      <c r="B20" s="64"/>
      <c r="C20" s="64"/>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5.86"/>
    <col customWidth="1" min="2" max="2" width="48.71"/>
    <col customWidth="1" min="7" max="7" width="18.43"/>
  </cols>
  <sheetData>
    <row r="1">
      <c r="A1" s="68" t="s">
        <v>26</v>
      </c>
      <c r="B1" s="68" t="s">
        <v>864</v>
      </c>
      <c r="C1" s="69" t="s">
        <v>865</v>
      </c>
      <c r="D1" s="8"/>
      <c r="E1" s="8"/>
      <c r="F1" s="70" t="s">
        <v>866</v>
      </c>
      <c r="G1" s="71"/>
      <c r="H1" s="71"/>
      <c r="I1" s="71"/>
      <c r="J1" s="71"/>
      <c r="K1" s="71"/>
      <c r="L1" s="71" t="s">
        <v>867</v>
      </c>
      <c r="M1" s="71" t="s">
        <v>868</v>
      </c>
      <c r="N1" s="8"/>
      <c r="O1" s="8"/>
      <c r="P1" s="8"/>
      <c r="Q1" s="8"/>
      <c r="R1" s="8"/>
      <c r="S1" s="8"/>
      <c r="T1" s="8"/>
      <c r="U1" s="8"/>
      <c r="V1" s="8"/>
      <c r="W1" s="8"/>
      <c r="X1" s="8"/>
      <c r="Y1" s="8"/>
      <c r="Z1" s="8"/>
    </row>
    <row r="2">
      <c r="A2" s="72" t="s">
        <v>869</v>
      </c>
      <c r="B2" s="72" t="s">
        <v>870</v>
      </c>
      <c r="C2" s="8" t="s">
        <v>90</v>
      </c>
      <c r="D2" s="8"/>
      <c r="E2" s="8"/>
      <c r="F2" s="73" t="s">
        <v>871</v>
      </c>
      <c r="G2" s="74" t="s">
        <v>871</v>
      </c>
      <c r="H2" s="70"/>
      <c r="I2" s="70"/>
      <c r="J2" s="70"/>
      <c r="K2" s="70"/>
      <c r="L2" s="71"/>
      <c r="M2" s="71"/>
      <c r="N2" s="8"/>
      <c r="O2" s="8"/>
      <c r="P2" s="8"/>
      <c r="Q2" s="8"/>
      <c r="R2" s="8"/>
      <c r="S2" s="8"/>
      <c r="T2" s="8"/>
      <c r="U2" s="8"/>
      <c r="V2" s="8"/>
      <c r="W2" s="8"/>
      <c r="X2" s="8"/>
      <c r="Y2" s="8"/>
      <c r="Z2" s="8"/>
    </row>
    <row r="3">
      <c r="A3" s="72" t="s">
        <v>104</v>
      </c>
      <c r="B3" s="72" t="s">
        <v>872</v>
      </c>
      <c r="C3" s="8" t="s">
        <v>74</v>
      </c>
      <c r="D3" s="8"/>
      <c r="E3" s="8"/>
      <c r="F3" s="73" t="s">
        <v>873</v>
      </c>
      <c r="H3" s="71"/>
      <c r="I3" s="71"/>
      <c r="J3" s="71"/>
      <c r="K3" s="71"/>
      <c r="L3" s="71"/>
      <c r="M3" s="71"/>
      <c r="N3" s="8"/>
      <c r="O3" s="8"/>
      <c r="P3" s="8"/>
      <c r="Q3" s="8"/>
      <c r="R3" s="8"/>
      <c r="S3" s="8"/>
      <c r="T3" s="8"/>
      <c r="U3" s="8"/>
      <c r="V3" s="8"/>
      <c r="W3" s="8"/>
      <c r="X3" s="8"/>
      <c r="Y3" s="8"/>
      <c r="Z3" s="8"/>
    </row>
    <row r="4">
      <c r="A4" s="72" t="s">
        <v>81</v>
      </c>
      <c r="B4" s="72" t="s">
        <v>874</v>
      </c>
      <c r="C4" s="8" t="s">
        <v>66</v>
      </c>
      <c r="D4" s="8"/>
      <c r="E4" s="8"/>
      <c r="F4" s="73" t="s">
        <v>875</v>
      </c>
      <c r="H4" s="71"/>
      <c r="I4" s="71"/>
      <c r="J4" s="71"/>
      <c r="K4" s="71"/>
      <c r="L4" s="71"/>
      <c r="M4" s="71"/>
      <c r="N4" s="8"/>
      <c r="O4" s="8"/>
      <c r="P4" s="8"/>
      <c r="Q4" s="8"/>
      <c r="R4" s="8"/>
      <c r="S4" s="8"/>
      <c r="T4" s="8"/>
      <c r="U4" s="8"/>
      <c r="V4" s="8"/>
      <c r="W4" s="8"/>
      <c r="X4" s="8"/>
      <c r="Y4" s="8"/>
      <c r="Z4" s="8"/>
    </row>
    <row r="5">
      <c r="A5" s="72" t="s">
        <v>160</v>
      </c>
      <c r="B5" s="72" t="s">
        <v>876</v>
      </c>
      <c r="C5" s="8" t="s">
        <v>87</v>
      </c>
      <c r="D5" s="8"/>
      <c r="E5" s="8"/>
      <c r="F5" s="73" t="s">
        <v>877</v>
      </c>
      <c r="H5" s="71"/>
      <c r="I5" s="71"/>
      <c r="J5" s="71"/>
      <c r="K5" s="71"/>
      <c r="L5" s="71"/>
      <c r="M5" s="71"/>
      <c r="N5" s="8"/>
      <c r="O5" s="8"/>
      <c r="P5" s="8"/>
      <c r="Q5" s="8"/>
      <c r="R5" s="8"/>
      <c r="S5" s="8"/>
      <c r="T5" s="8"/>
      <c r="U5" s="8"/>
      <c r="V5" s="8"/>
      <c r="W5" s="8"/>
      <c r="X5" s="8"/>
      <c r="Y5" s="8"/>
      <c r="Z5" s="8"/>
    </row>
    <row r="6">
      <c r="A6" s="72" t="s">
        <v>77</v>
      </c>
      <c r="B6" s="72" t="s">
        <v>878</v>
      </c>
      <c r="C6" s="8" t="s">
        <v>104</v>
      </c>
      <c r="D6" s="8"/>
      <c r="E6" s="8"/>
      <c r="F6" s="73" t="s">
        <v>879</v>
      </c>
      <c r="H6" s="71"/>
      <c r="I6" s="71"/>
      <c r="J6" s="71"/>
      <c r="K6" s="71"/>
      <c r="L6" s="71"/>
      <c r="M6" s="71"/>
      <c r="N6" s="8"/>
      <c r="O6" s="8"/>
      <c r="P6" s="8"/>
      <c r="Q6" s="8"/>
      <c r="R6" s="8"/>
      <c r="S6" s="8"/>
      <c r="T6" s="8"/>
      <c r="U6" s="8"/>
      <c r="V6" s="8"/>
      <c r="W6" s="8"/>
      <c r="X6" s="8"/>
      <c r="Y6" s="8"/>
      <c r="Z6" s="8"/>
    </row>
    <row r="7">
      <c r="A7" s="72" t="s">
        <v>113</v>
      </c>
      <c r="B7" s="72" t="s">
        <v>880</v>
      </c>
      <c r="C7" s="8" t="s">
        <v>199</v>
      </c>
      <c r="D7" s="8"/>
      <c r="E7" s="8"/>
      <c r="F7" s="73" t="s">
        <v>881</v>
      </c>
      <c r="H7" s="71"/>
      <c r="I7" s="71"/>
      <c r="J7" s="71"/>
      <c r="K7" s="71"/>
      <c r="L7" s="71"/>
      <c r="M7" s="71"/>
      <c r="N7" s="8"/>
      <c r="O7" s="8"/>
      <c r="P7" s="8"/>
      <c r="Q7" s="8"/>
      <c r="R7" s="8"/>
      <c r="S7" s="8"/>
      <c r="T7" s="8"/>
      <c r="U7" s="8"/>
      <c r="V7" s="8"/>
      <c r="W7" s="8"/>
      <c r="X7" s="8"/>
      <c r="Y7" s="8"/>
      <c r="Z7" s="8"/>
    </row>
    <row r="8">
      <c r="A8" s="8"/>
      <c r="B8" s="8"/>
      <c r="C8" s="8" t="s">
        <v>182</v>
      </c>
      <c r="D8" s="8"/>
      <c r="E8" s="8"/>
      <c r="F8" s="73" t="s">
        <v>882</v>
      </c>
      <c r="H8" s="71"/>
      <c r="I8" s="71"/>
      <c r="J8" s="71"/>
      <c r="K8" s="71"/>
      <c r="L8" s="71"/>
      <c r="M8" s="71"/>
      <c r="N8" s="8"/>
      <c r="O8" s="8"/>
      <c r="P8" s="8"/>
      <c r="Q8" s="8"/>
      <c r="R8" s="8"/>
      <c r="S8" s="8"/>
      <c r="T8" s="8"/>
      <c r="U8" s="8"/>
      <c r="V8" s="8"/>
      <c r="W8" s="8"/>
      <c r="X8" s="8"/>
      <c r="Y8" s="8"/>
      <c r="Z8" s="8"/>
    </row>
    <row r="9">
      <c r="A9" s="8"/>
      <c r="B9" s="8"/>
      <c r="C9" s="8" t="s">
        <v>165</v>
      </c>
      <c r="D9" s="8"/>
      <c r="E9" s="8"/>
      <c r="F9" s="73" t="s">
        <v>883</v>
      </c>
      <c r="H9" s="71"/>
      <c r="I9" s="71"/>
      <c r="J9" s="71"/>
      <c r="K9" s="71"/>
      <c r="L9" s="71"/>
      <c r="M9" s="71"/>
      <c r="N9" s="8"/>
      <c r="O9" s="8"/>
      <c r="P9" s="8"/>
      <c r="Q9" s="8"/>
      <c r="R9" s="8"/>
      <c r="S9" s="8"/>
      <c r="T9" s="8"/>
      <c r="U9" s="8"/>
      <c r="V9" s="8"/>
      <c r="W9" s="8"/>
      <c r="X9" s="8"/>
      <c r="Y9" s="8"/>
      <c r="Z9" s="8"/>
    </row>
    <row r="10">
      <c r="A10" s="8"/>
      <c r="B10" s="8"/>
      <c r="C10" s="8" t="s">
        <v>167</v>
      </c>
      <c r="D10" s="8"/>
      <c r="E10" s="8"/>
      <c r="F10" s="73" t="s">
        <v>884</v>
      </c>
      <c r="H10" s="8"/>
      <c r="I10" s="8"/>
      <c r="J10" s="8"/>
      <c r="K10" s="8"/>
      <c r="L10" s="8"/>
      <c r="M10" s="8"/>
      <c r="N10" s="8"/>
      <c r="O10" s="8"/>
      <c r="P10" s="8"/>
      <c r="Q10" s="8"/>
      <c r="R10" s="8"/>
      <c r="S10" s="8"/>
      <c r="T10" s="8"/>
      <c r="U10" s="8"/>
      <c r="V10" s="8"/>
      <c r="W10" s="8"/>
      <c r="X10" s="8"/>
      <c r="Y10" s="8"/>
      <c r="Z10" s="8"/>
    </row>
    <row r="11">
      <c r="A11" s="8"/>
      <c r="B11" s="8"/>
      <c r="C11" s="8" t="s">
        <v>151</v>
      </c>
      <c r="D11" s="8"/>
      <c r="E11" s="8"/>
      <c r="F11" s="73" t="s">
        <v>885</v>
      </c>
      <c r="H11" s="8"/>
      <c r="I11" s="8"/>
      <c r="J11" s="8"/>
      <c r="K11" s="8"/>
      <c r="L11" s="8"/>
      <c r="M11" s="8"/>
      <c r="N11" s="8"/>
      <c r="O11" s="8"/>
      <c r="P11" s="8"/>
      <c r="Q11" s="8"/>
      <c r="R11" s="8"/>
      <c r="S11" s="8"/>
      <c r="T11" s="8"/>
      <c r="U11" s="8"/>
      <c r="V11" s="8"/>
      <c r="W11" s="8"/>
      <c r="X11" s="8"/>
      <c r="Y11" s="8"/>
      <c r="Z11" s="8"/>
    </row>
    <row r="12">
      <c r="A12" s="8"/>
      <c r="B12" s="8"/>
      <c r="C12" s="8" t="s">
        <v>886</v>
      </c>
      <c r="D12" s="8"/>
      <c r="E12" s="8"/>
      <c r="F12" s="73" t="s">
        <v>885</v>
      </c>
      <c r="H12" s="8"/>
      <c r="I12" s="8"/>
      <c r="J12" s="8"/>
      <c r="K12" s="8"/>
      <c r="L12" s="8"/>
      <c r="M12" s="8"/>
      <c r="N12" s="8"/>
      <c r="O12" s="8"/>
      <c r="P12" s="8"/>
      <c r="Q12" s="8"/>
      <c r="R12" s="8"/>
      <c r="S12" s="8"/>
      <c r="T12" s="8"/>
      <c r="U12" s="8"/>
      <c r="V12" s="8"/>
      <c r="W12" s="8"/>
      <c r="X12" s="8"/>
      <c r="Y12" s="8"/>
      <c r="Z12" s="8"/>
    </row>
    <row r="13">
      <c r="A13" s="8"/>
      <c r="B13" s="8"/>
      <c r="C13" s="8" t="s">
        <v>81</v>
      </c>
      <c r="D13" s="8"/>
      <c r="E13" s="8"/>
      <c r="F13" s="73" t="s">
        <v>885</v>
      </c>
      <c r="H13" s="8"/>
      <c r="I13" s="8"/>
      <c r="J13" s="8"/>
      <c r="K13" s="8"/>
      <c r="L13" s="8"/>
      <c r="M13" s="8"/>
      <c r="N13" s="8"/>
      <c r="O13" s="8"/>
      <c r="P13" s="8"/>
      <c r="Q13" s="8"/>
      <c r="R13" s="8"/>
      <c r="S13" s="8"/>
      <c r="T13" s="8"/>
      <c r="U13" s="8"/>
      <c r="V13" s="8"/>
      <c r="W13" s="8"/>
      <c r="X13" s="8"/>
      <c r="Y13" s="8"/>
      <c r="Z13" s="8"/>
    </row>
    <row r="14">
      <c r="A14" s="8"/>
      <c r="B14" s="8"/>
      <c r="C14" s="8" t="s">
        <v>83</v>
      </c>
      <c r="D14" s="8"/>
      <c r="E14" s="8"/>
      <c r="F14" s="73" t="s">
        <v>887</v>
      </c>
      <c r="H14" s="8"/>
      <c r="I14" s="8"/>
      <c r="J14" s="8"/>
      <c r="K14" s="8"/>
      <c r="L14" s="8"/>
      <c r="M14" s="8"/>
      <c r="N14" s="8"/>
      <c r="O14" s="8"/>
      <c r="P14" s="8"/>
      <c r="Q14" s="8"/>
      <c r="R14" s="8"/>
      <c r="S14" s="8"/>
      <c r="T14" s="8"/>
      <c r="U14" s="8"/>
      <c r="V14" s="8"/>
      <c r="W14" s="8"/>
      <c r="X14" s="8"/>
      <c r="Y14" s="8"/>
      <c r="Z14" s="8"/>
    </row>
    <row r="15">
      <c r="A15" s="8"/>
      <c r="B15" s="8"/>
      <c r="C15" s="8" t="s">
        <v>207</v>
      </c>
      <c r="D15" s="8"/>
      <c r="E15" s="8"/>
      <c r="F15" s="73" t="s">
        <v>888</v>
      </c>
      <c r="H15" s="8"/>
      <c r="I15" s="8"/>
      <c r="J15" s="8"/>
      <c r="K15" s="8"/>
      <c r="L15" s="8"/>
      <c r="M15" s="8"/>
      <c r="N15" s="8"/>
      <c r="O15" s="8"/>
      <c r="P15" s="8"/>
      <c r="Q15" s="8"/>
      <c r="R15" s="8"/>
      <c r="S15" s="8"/>
      <c r="T15" s="8"/>
      <c r="U15" s="8"/>
      <c r="V15" s="8"/>
      <c r="W15" s="8"/>
      <c r="X15" s="8"/>
      <c r="Y15" s="8"/>
      <c r="Z15" s="8"/>
    </row>
    <row r="16">
      <c r="A16" s="8"/>
      <c r="B16" s="8"/>
      <c r="C16" s="8" t="s">
        <v>889</v>
      </c>
      <c r="D16" s="8"/>
      <c r="E16" s="8"/>
      <c r="F16" s="73" t="s">
        <v>890</v>
      </c>
      <c r="H16" s="8"/>
      <c r="I16" s="8"/>
      <c r="J16" s="8"/>
      <c r="K16" s="8"/>
      <c r="L16" s="8"/>
      <c r="M16" s="8"/>
      <c r="N16" s="8"/>
      <c r="O16" s="8"/>
      <c r="P16" s="8"/>
      <c r="Q16" s="8"/>
      <c r="R16" s="8"/>
      <c r="S16" s="8"/>
      <c r="T16" s="8"/>
      <c r="U16" s="8"/>
      <c r="V16" s="8"/>
      <c r="W16" s="8"/>
      <c r="X16" s="8"/>
      <c r="Y16" s="8"/>
      <c r="Z16" s="8"/>
    </row>
    <row r="17">
      <c r="A17" s="8"/>
      <c r="B17" s="8"/>
      <c r="C17" s="8" t="s">
        <v>191</v>
      </c>
      <c r="D17" s="8"/>
      <c r="E17" s="8"/>
      <c r="F17" s="73" t="s">
        <v>891</v>
      </c>
      <c r="H17" s="8"/>
      <c r="I17" s="8"/>
      <c r="J17" s="8"/>
      <c r="K17" s="8"/>
      <c r="L17" s="8"/>
      <c r="M17" s="8"/>
      <c r="N17" s="8"/>
      <c r="O17" s="8"/>
      <c r="P17" s="8"/>
      <c r="Q17" s="8"/>
      <c r="R17" s="8"/>
      <c r="S17" s="8"/>
      <c r="T17" s="8"/>
      <c r="U17" s="8"/>
      <c r="V17" s="8"/>
      <c r="W17" s="8"/>
      <c r="X17" s="8"/>
      <c r="Y17" s="8"/>
      <c r="Z17" s="8"/>
    </row>
    <row r="18">
      <c r="A18" s="8"/>
      <c r="B18" s="8"/>
      <c r="C18" s="8" t="s">
        <v>160</v>
      </c>
      <c r="D18" s="8"/>
      <c r="E18" s="8"/>
      <c r="F18" s="73" t="s">
        <v>891</v>
      </c>
      <c r="H18" s="8"/>
      <c r="I18" s="8"/>
      <c r="J18" s="8"/>
      <c r="K18" s="8"/>
      <c r="L18" s="8"/>
      <c r="M18" s="8"/>
      <c r="N18" s="8"/>
      <c r="O18" s="8"/>
      <c r="P18" s="8"/>
      <c r="Q18" s="8"/>
      <c r="R18" s="8"/>
      <c r="S18" s="8"/>
      <c r="T18" s="8"/>
      <c r="U18" s="8"/>
      <c r="V18" s="8"/>
      <c r="W18" s="8"/>
      <c r="X18" s="8"/>
      <c r="Y18" s="8"/>
      <c r="Z18" s="8"/>
    </row>
    <row r="19">
      <c r="A19" s="8"/>
      <c r="B19" s="8"/>
      <c r="C19" s="8" t="s">
        <v>356</v>
      </c>
      <c r="D19" s="8"/>
      <c r="E19" s="8"/>
      <c r="F19" s="73" t="s">
        <v>892</v>
      </c>
      <c r="H19" s="8"/>
      <c r="I19" s="8"/>
      <c r="J19" s="8"/>
      <c r="K19" s="8"/>
      <c r="L19" s="8"/>
      <c r="M19" s="8"/>
      <c r="N19" s="8"/>
      <c r="O19" s="8"/>
      <c r="P19" s="8"/>
      <c r="Q19" s="8"/>
      <c r="R19" s="8"/>
      <c r="S19" s="8"/>
      <c r="T19" s="8"/>
      <c r="U19" s="8"/>
      <c r="V19" s="8"/>
      <c r="W19" s="8"/>
      <c r="X19" s="8"/>
      <c r="Y19" s="8"/>
      <c r="Z19" s="8"/>
    </row>
    <row r="20">
      <c r="A20" s="8"/>
      <c r="B20" s="8"/>
      <c r="C20" s="8" t="s">
        <v>78</v>
      </c>
      <c r="D20" s="8"/>
      <c r="E20" s="8"/>
      <c r="F20" s="73" t="s">
        <v>893</v>
      </c>
      <c r="H20" s="8"/>
      <c r="I20" s="8"/>
      <c r="J20" s="8"/>
      <c r="K20" s="8"/>
      <c r="L20" s="8"/>
      <c r="M20" s="8"/>
      <c r="N20" s="8"/>
      <c r="O20" s="8"/>
      <c r="P20" s="8"/>
      <c r="Q20" s="8"/>
      <c r="R20" s="8"/>
      <c r="S20" s="8"/>
      <c r="T20" s="8"/>
      <c r="U20" s="8"/>
      <c r="V20" s="8"/>
      <c r="W20" s="8"/>
      <c r="X20" s="8"/>
      <c r="Y20" s="8"/>
      <c r="Z20" s="8"/>
    </row>
    <row r="21">
      <c r="A21" s="8"/>
      <c r="B21" s="8"/>
      <c r="C21" s="8" t="s">
        <v>77</v>
      </c>
      <c r="D21" s="8"/>
      <c r="E21" s="8"/>
      <c r="F21" s="73" t="s">
        <v>893</v>
      </c>
      <c r="H21" s="8"/>
      <c r="I21" s="8"/>
      <c r="J21" s="8"/>
      <c r="K21" s="8"/>
      <c r="L21" s="8"/>
      <c r="M21" s="8"/>
      <c r="N21" s="8"/>
      <c r="O21" s="8"/>
      <c r="P21" s="8"/>
      <c r="Q21" s="8"/>
      <c r="R21" s="8"/>
      <c r="S21" s="8"/>
      <c r="T21" s="8"/>
      <c r="U21" s="8"/>
      <c r="V21" s="8"/>
      <c r="W21" s="8"/>
      <c r="X21" s="8"/>
      <c r="Y21" s="8"/>
      <c r="Z21" s="8"/>
    </row>
    <row r="22">
      <c r="A22" s="8"/>
      <c r="B22" s="8"/>
      <c r="C22" s="8" t="s">
        <v>527</v>
      </c>
      <c r="D22" s="8"/>
      <c r="E22" s="8"/>
      <c r="F22" s="73" t="s">
        <v>894</v>
      </c>
      <c r="H22" s="8"/>
      <c r="I22" s="8"/>
      <c r="J22" s="8"/>
      <c r="K22" s="8"/>
      <c r="L22" s="8"/>
      <c r="M22" s="8"/>
      <c r="N22" s="8"/>
      <c r="O22" s="8"/>
      <c r="P22" s="8"/>
      <c r="Q22" s="8"/>
      <c r="R22" s="8"/>
      <c r="S22" s="8"/>
      <c r="T22" s="8"/>
      <c r="U22" s="8"/>
      <c r="V22" s="8"/>
      <c r="W22" s="8"/>
      <c r="X22" s="8"/>
      <c r="Y22" s="8"/>
      <c r="Z22" s="8"/>
    </row>
    <row r="23">
      <c r="A23" s="8"/>
      <c r="B23" s="8"/>
      <c r="C23" s="8" t="s">
        <v>128</v>
      </c>
      <c r="D23" s="8"/>
      <c r="E23" s="8"/>
      <c r="F23" s="73" t="s">
        <v>895</v>
      </c>
      <c r="H23" s="8"/>
      <c r="I23" s="8"/>
      <c r="J23" s="8"/>
      <c r="K23" s="8"/>
      <c r="L23" s="8"/>
      <c r="M23" s="8"/>
      <c r="N23" s="8"/>
      <c r="O23" s="8"/>
      <c r="P23" s="8"/>
      <c r="Q23" s="8"/>
      <c r="R23" s="8"/>
      <c r="S23" s="8"/>
      <c r="T23" s="8"/>
      <c r="U23" s="8"/>
      <c r="V23" s="8"/>
      <c r="W23" s="8"/>
      <c r="X23" s="8"/>
      <c r="Y23" s="8"/>
      <c r="Z23" s="8"/>
    </row>
    <row r="24">
      <c r="A24" s="8"/>
      <c r="B24" s="8"/>
      <c r="C24" s="8" t="s">
        <v>157</v>
      </c>
      <c r="D24" s="8"/>
      <c r="E24" s="8"/>
      <c r="F24" s="73" t="s">
        <v>896</v>
      </c>
      <c r="H24" s="8"/>
      <c r="I24" s="8"/>
      <c r="J24" s="8"/>
      <c r="K24" s="8"/>
      <c r="L24" s="8"/>
      <c r="M24" s="8"/>
      <c r="N24" s="8"/>
      <c r="O24" s="8"/>
      <c r="P24" s="8"/>
      <c r="Q24" s="8"/>
      <c r="R24" s="8"/>
      <c r="S24" s="8"/>
      <c r="T24" s="8"/>
      <c r="U24" s="8"/>
      <c r="V24" s="8"/>
      <c r="W24" s="8"/>
      <c r="X24" s="8"/>
      <c r="Y24" s="8"/>
      <c r="Z24" s="8"/>
    </row>
    <row r="25">
      <c r="A25" s="8"/>
      <c r="B25" s="8"/>
      <c r="C25" s="8" t="s">
        <v>180</v>
      </c>
      <c r="D25" s="8"/>
      <c r="E25" s="8"/>
      <c r="F25" s="73" t="s">
        <v>892</v>
      </c>
      <c r="H25" s="8"/>
      <c r="I25" s="8"/>
      <c r="J25" s="8"/>
      <c r="K25" s="8"/>
      <c r="L25" s="8"/>
      <c r="M25" s="8"/>
      <c r="N25" s="8"/>
      <c r="O25" s="8"/>
      <c r="P25" s="8"/>
      <c r="Q25" s="8"/>
      <c r="R25" s="8"/>
      <c r="S25" s="8"/>
      <c r="T25" s="8"/>
      <c r="U25" s="8"/>
      <c r="V25" s="8"/>
      <c r="W25" s="8"/>
      <c r="X25" s="8"/>
      <c r="Y25" s="8"/>
      <c r="Z25" s="8"/>
    </row>
    <row r="26">
      <c r="A26" s="8"/>
      <c r="B26" s="8"/>
      <c r="C26" s="8" t="s">
        <v>114</v>
      </c>
      <c r="D26" s="8"/>
      <c r="E26" s="8"/>
      <c r="F26" s="73" t="s">
        <v>897</v>
      </c>
      <c r="H26" s="8"/>
      <c r="I26" s="8"/>
      <c r="J26" s="8"/>
      <c r="K26" s="8"/>
      <c r="L26" s="8"/>
      <c r="M26" s="8"/>
      <c r="N26" s="8"/>
      <c r="O26" s="8"/>
      <c r="P26" s="8"/>
      <c r="Q26" s="8"/>
      <c r="R26" s="8"/>
      <c r="S26" s="8"/>
      <c r="T26" s="8"/>
      <c r="U26" s="8"/>
      <c r="V26" s="8"/>
      <c r="W26" s="8"/>
      <c r="X26" s="8"/>
      <c r="Y26" s="8"/>
      <c r="Z26" s="8"/>
    </row>
    <row r="27">
      <c r="A27" s="8"/>
      <c r="B27" s="8"/>
      <c r="C27" s="8" t="s">
        <v>397</v>
      </c>
      <c r="D27" s="8"/>
      <c r="E27" s="8"/>
      <c r="F27" s="73" t="s">
        <v>898</v>
      </c>
      <c r="H27" s="8"/>
      <c r="I27" s="8"/>
      <c r="J27" s="8"/>
      <c r="K27" s="8"/>
      <c r="L27" s="8"/>
      <c r="M27" s="8"/>
      <c r="N27" s="8"/>
      <c r="O27" s="8"/>
      <c r="P27" s="8"/>
      <c r="Q27" s="8"/>
      <c r="R27" s="8"/>
      <c r="S27" s="8"/>
      <c r="T27" s="8"/>
      <c r="U27" s="8"/>
      <c r="V27" s="8"/>
      <c r="W27" s="8"/>
      <c r="X27" s="8"/>
      <c r="Y27" s="8"/>
      <c r="Z27" s="8"/>
    </row>
    <row r="28">
      <c r="A28" s="8"/>
      <c r="B28" s="8"/>
      <c r="C28" s="8" t="s">
        <v>899</v>
      </c>
      <c r="D28" s="8"/>
      <c r="E28" s="8"/>
      <c r="G28" s="8"/>
      <c r="H28" s="8"/>
      <c r="I28" s="8"/>
      <c r="J28" s="8"/>
      <c r="K28" s="8"/>
      <c r="L28" s="8"/>
      <c r="M28" s="8"/>
      <c r="N28" s="8"/>
      <c r="O28" s="8"/>
      <c r="P28" s="8"/>
      <c r="Q28" s="8"/>
      <c r="R28" s="8"/>
      <c r="S28" s="8"/>
      <c r="T28" s="8"/>
      <c r="U28" s="8"/>
      <c r="V28" s="8"/>
      <c r="W28" s="8"/>
      <c r="X28" s="8"/>
      <c r="Y28" s="8"/>
      <c r="Z28" s="8"/>
    </row>
    <row r="29">
      <c r="A29" s="8"/>
      <c r="B29" s="8"/>
      <c r="C29" s="8" t="s">
        <v>132</v>
      </c>
      <c r="D29" s="8"/>
      <c r="E29" s="8"/>
      <c r="G29" s="8"/>
      <c r="H29" s="8"/>
      <c r="I29" s="8"/>
      <c r="J29" s="8"/>
      <c r="K29" s="8"/>
      <c r="L29" s="8"/>
      <c r="M29" s="8"/>
      <c r="N29" s="8"/>
      <c r="O29" s="8"/>
      <c r="P29" s="8"/>
      <c r="Q29" s="8"/>
      <c r="R29" s="8"/>
      <c r="S29" s="8"/>
      <c r="T29" s="8"/>
      <c r="U29" s="8"/>
      <c r="V29" s="8"/>
      <c r="W29" s="8"/>
      <c r="X29" s="8"/>
      <c r="Y29" s="8"/>
      <c r="Z29" s="8"/>
    </row>
    <row r="30">
      <c r="A30" s="8"/>
      <c r="B30" s="8"/>
      <c r="C30" s="8" t="s">
        <v>353</v>
      </c>
      <c r="D30" s="8"/>
      <c r="E30" s="8"/>
      <c r="F30" s="73" t="s">
        <v>900</v>
      </c>
      <c r="G30" s="75" t="s">
        <v>900</v>
      </c>
      <c r="H30" s="8"/>
      <c r="I30" s="8"/>
      <c r="J30" s="8"/>
      <c r="K30" s="8"/>
      <c r="L30" s="8"/>
      <c r="M30" s="8"/>
      <c r="N30" s="8"/>
      <c r="O30" s="8"/>
      <c r="P30" s="8"/>
      <c r="Q30" s="8"/>
      <c r="R30" s="8"/>
      <c r="S30" s="8"/>
      <c r="T30" s="8"/>
      <c r="U30" s="8"/>
      <c r="V30" s="8"/>
      <c r="W30" s="8"/>
      <c r="X30" s="8"/>
      <c r="Y30" s="8"/>
      <c r="Z30" s="8"/>
    </row>
    <row r="31">
      <c r="A31" s="8"/>
      <c r="B31" s="8"/>
      <c r="C31" s="8" t="s">
        <v>348</v>
      </c>
      <c r="D31" s="8"/>
      <c r="E31" s="8"/>
      <c r="F31" s="73" t="s">
        <v>901</v>
      </c>
      <c r="H31" s="8"/>
      <c r="I31" s="8"/>
      <c r="J31" s="8"/>
      <c r="K31" s="8"/>
      <c r="L31" s="8"/>
      <c r="M31" s="8"/>
      <c r="N31" s="8"/>
      <c r="O31" s="8"/>
      <c r="P31" s="8"/>
      <c r="Q31" s="8"/>
      <c r="R31" s="8"/>
      <c r="S31" s="8"/>
      <c r="T31" s="8"/>
      <c r="U31" s="8"/>
      <c r="V31" s="8"/>
      <c r="W31" s="8"/>
      <c r="X31" s="8"/>
      <c r="Y31" s="8"/>
      <c r="Z31" s="8"/>
    </row>
    <row r="32">
      <c r="A32" s="8"/>
      <c r="B32" s="8"/>
      <c r="C32" s="8"/>
      <c r="D32" s="8"/>
      <c r="E32" s="8"/>
      <c r="F32" s="73" t="s">
        <v>902</v>
      </c>
      <c r="H32" s="8"/>
      <c r="I32" s="8"/>
      <c r="J32" s="8"/>
      <c r="K32" s="8"/>
      <c r="L32" s="8"/>
      <c r="M32" s="8"/>
      <c r="N32" s="8"/>
      <c r="O32" s="8"/>
      <c r="P32" s="8"/>
      <c r="Q32" s="8"/>
      <c r="R32" s="8"/>
      <c r="S32" s="8"/>
      <c r="T32" s="8"/>
      <c r="U32" s="8"/>
      <c r="V32" s="8"/>
      <c r="W32" s="8"/>
      <c r="X32" s="8"/>
      <c r="Y32" s="8"/>
      <c r="Z32" s="8"/>
    </row>
    <row r="33">
      <c r="A33" s="8"/>
      <c r="B33" s="8"/>
      <c r="C33" s="8"/>
      <c r="D33" s="8"/>
      <c r="E33" s="8"/>
      <c r="F33" s="73" t="s">
        <v>903</v>
      </c>
      <c r="H33" s="8"/>
      <c r="I33" s="8"/>
      <c r="J33" s="8"/>
      <c r="K33" s="8"/>
      <c r="L33" s="8"/>
      <c r="M33" s="8"/>
      <c r="N33" s="8"/>
      <c r="O33" s="8"/>
      <c r="P33" s="8"/>
      <c r="Q33" s="8"/>
      <c r="R33" s="8"/>
      <c r="S33" s="8"/>
      <c r="T33" s="8"/>
      <c r="U33" s="8"/>
      <c r="V33" s="8"/>
      <c r="W33" s="8"/>
      <c r="X33" s="8"/>
      <c r="Y33" s="8"/>
      <c r="Z33" s="8"/>
    </row>
    <row r="34">
      <c r="A34" s="8"/>
      <c r="B34" s="8"/>
      <c r="C34" s="8"/>
      <c r="D34" s="8"/>
      <c r="E34" s="8"/>
      <c r="F34" s="76" t="s">
        <v>904</v>
      </c>
      <c r="H34" s="8"/>
      <c r="I34" s="8"/>
      <c r="J34" s="8"/>
      <c r="K34" s="8"/>
      <c r="L34" s="8"/>
      <c r="M34" s="8"/>
      <c r="N34" s="8"/>
      <c r="O34" s="8"/>
      <c r="P34" s="8"/>
      <c r="Q34" s="8"/>
      <c r="R34" s="8"/>
      <c r="S34" s="8"/>
      <c r="T34" s="8"/>
      <c r="U34" s="8"/>
      <c r="V34" s="8"/>
      <c r="W34" s="8"/>
      <c r="X34" s="8"/>
      <c r="Y34" s="8"/>
      <c r="Z34" s="8"/>
    </row>
    <row r="35">
      <c r="A35" s="8"/>
      <c r="B35" s="8"/>
      <c r="C35" s="8"/>
      <c r="D35" s="8"/>
      <c r="E35" s="8"/>
      <c r="F35" s="73" t="s">
        <v>905</v>
      </c>
      <c r="H35" s="8"/>
      <c r="I35" s="8"/>
      <c r="J35" s="8"/>
      <c r="K35" s="8"/>
      <c r="L35" s="8"/>
      <c r="M35" s="8"/>
      <c r="N35" s="8"/>
      <c r="O35" s="8"/>
      <c r="P35" s="8"/>
      <c r="Q35" s="8"/>
      <c r="R35" s="8"/>
      <c r="S35" s="8"/>
      <c r="T35" s="8"/>
      <c r="U35" s="8"/>
      <c r="V35" s="8"/>
      <c r="W35" s="8"/>
      <c r="X35" s="8"/>
      <c r="Y35" s="8"/>
      <c r="Z35" s="8"/>
    </row>
    <row r="36">
      <c r="A36" s="8"/>
      <c r="B36" s="8"/>
      <c r="C36" s="8"/>
      <c r="D36" s="8"/>
      <c r="E36" s="8"/>
      <c r="F36" s="73" t="s">
        <v>906</v>
      </c>
      <c r="H36" s="8"/>
      <c r="I36" s="8"/>
      <c r="J36" s="8"/>
      <c r="K36" s="8"/>
      <c r="L36" s="8"/>
      <c r="M36" s="8"/>
      <c r="N36" s="8"/>
      <c r="O36" s="8"/>
      <c r="P36" s="8"/>
      <c r="Q36" s="8"/>
      <c r="R36" s="8"/>
      <c r="S36" s="8"/>
      <c r="T36" s="8"/>
      <c r="U36" s="8"/>
      <c r="V36" s="8"/>
      <c r="W36" s="8"/>
      <c r="X36" s="8"/>
      <c r="Y36" s="8"/>
      <c r="Z36" s="8"/>
    </row>
    <row r="37">
      <c r="A37" s="8"/>
      <c r="B37" s="8"/>
      <c r="C37" s="8"/>
      <c r="D37" s="8"/>
      <c r="E37" s="8"/>
      <c r="F37" s="73" t="s">
        <v>907</v>
      </c>
      <c r="H37" s="8"/>
      <c r="I37" s="8"/>
      <c r="J37" s="8"/>
      <c r="K37" s="8"/>
      <c r="L37" s="8"/>
      <c r="M37" s="8"/>
      <c r="N37" s="8"/>
      <c r="O37" s="8"/>
      <c r="P37" s="8"/>
      <c r="Q37" s="8"/>
      <c r="R37" s="8"/>
      <c r="S37" s="8"/>
      <c r="T37" s="8"/>
      <c r="U37" s="8"/>
      <c r="V37" s="8"/>
      <c r="W37" s="8"/>
      <c r="X37" s="8"/>
      <c r="Y37" s="8"/>
      <c r="Z37" s="8"/>
    </row>
    <row r="38">
      <c r="A38" s="8"/>
      <c r="B38" s="8"/>
      <c r="C38" s="8"/>
      <c r="D38" s="8"/>
      <c r="E38" s="8"/>
      <c r="F38" s="73" t="s">
        <v>908</v>
      </c>
      <c r="H38" s="8"/>
      <c r="I38" s="8"/>
      <c r="J38" s="8"/>
      <c r="K38" s="8"/>
      <c r="L38" s="8"/>
      <c r="M38" s="8"/>
      <c r="N38" s="8"/>
      <c r="O38" s="8"/>
      <c r="P38" s="8"/>
      <c r="Q38" s="8"/>
      <c r="R38" s="8"/>
      <c r="S38" s="8"/>
      <c r="T38" s="8"/>
      <c r="U38" s="8"/>
      <c r="V38" s="8"/>
      <c r="W38" s="8"/>
      <c r="X38" s="8"/>
      <c r="Y38" s="8"/>
      <c r="Z38" s="8"/>
    </row>
    <row r="39">
      <c r="A39" s="8"/>
      <c r="B39" s="8"/>
      <c r="C39" s="8"/>
      <c r="D39" s="8"/>
      <c r="E39" s="8"/>
      <c r="F39" s="73" t="s">
        <v>909</v>
      </c>
      <c r="H39" s="8"/>
      <c r="I39" s="8"/>
      <c r="J39" s="8"/>
      <c r="K39" s="8"/>
      <c r="L39" s="8"/>
      <c r="M39" s="8"/>
      <c r="N39" s="8"/>
      <c r="O39" s="8"/>
      <c r="P39" s="8"/>
      <c r="Q39" s="8"/>
      <c r="R39" s="8"/>
      <c r="S39" s="8"/>
      <c r="T39" s="8"/>
      <c r="U39" s="8"/>
      <c r="V39" s="8"/>
      <c r="W39" s="8"/>
      <c r="X39" s="8"/>
      <c r="Y39" s="8"/>
      <c r="Z39" s="8"/>
    </row>
    <row r="40">
      <c r="A40" s="8"/>
      <c r="B40" s="8"/>
      <c r="C40" s="8"/>
      <c r="D40" s="8"/>
      <c r="E40" s="8"/>
      <c r="F40" s="73" t="s">
        <v>910</v>
      </c>
      <c r="H40" s="8"/>
      <c r="I40" s="8"/>
      <c r="J40" s="8"/>
      <c r="K40" s="8"/>
      <c r="L40" s="8"/>
      <c r="M40" s="8"/>
      <c r="N40" s="8"/>
      <c r="O40" s="8"/>
      <c r="P40" s="8"/>
      <c r="Q40" s="8"/>
      <c r="R40" s="8"/>
      <c r="S40" s="8"/>
      <c r="T40" s="8"/>
      <c r="U40" s="8"/>
      <c r="V40" s="8"/>
      <c r="W40" s="8"/>
      <c r="X40" s="8"/>
      <c r="Y40" s="8"/>
      <c r="Z40" s="8"/>
    </row>
    <row r="41">
      <c r="A41" s="8"/>
      <c r="B41" s="8"/>
      <c r="C41" s="8"/>
      <c r="D41" s="8"/>
      <c r="E41" s="8"/>
      <c r="F41" s="73" t="s">
        <v>911</v>
      </c>
      <c r="H41" s="8"/>
      <c r="I41" s="8"/>
      <c r="J41" s="8"/>
      <c r="K41" s="8"/>
      <c r="L41" s="8"/>
      <c r="M41" s="8"/>
      <c r="N41" s="8"/>
      <c r="O41" s="8"/>
      <c r="P41" s="8"/>
      <c r="Q41" s="8"/>
      <c r="R41" s="8"/>
      <c r="S41" s="8"/>
      <c r="T41" s="8"/>
      <c r="U41" s="8"/>
      <c r="V41" s="8"/>
      <c r="W41" s="8"/>
      <c r="X41" s="8"/>
      <c r="Y41" s="8"/>
      <c r="Z41" s="8"/>
    </row>
    <row r="42">
      <c r="A42" s="8"/>
      <c r="B42" s="8"/>
      <c r="C42" s="8"/>
      <c r="D42" s="8"/>
      <c r="E42" s="8"/>
      <c r="F42" s="73" t="s">
        <v>912</v>
      </c>
      <c r="H42" s="8"/>
      <c r="I42" s="8"/>
      <c r="J42" s="8"/>
      <c r="K42" s="8"/>
      <c r="L42" s="8"/>
      <c r="M42" s="8"/>
      <c r="N42" s="8"/>
      <c r="O42" s="8"/>
      <c r="P42" s="8"/>
      <c r="Q42" s="8"/>
      <c r="R42" s="8"/>
      <c r="S42" s="8"/>
      <c r="T42" s="8"/>
      <c r="U42" s="8"/>
      <c r="V42" s="8"/>
      <c r="W42" s="8"/>
      <c r="X42" s="8"/>
      <c r="Y42" s="8"/>
      <c r="Z42" s="8"/>
    </row>
    <row r="43">
      <c r="A43" s="8"/>
      <c r="B43" s="8"/>
      <c r="C43" s="8"/>
      <c r="D43" s="8"/>
      <c r="E43" s="8"/>
      <c r="F43" s="73" t="s">
        <v>913</v>
      </c>
      <c r="H43" s="8"/>
      <c r="I43" s="8"/>
      <c r="J43" s="8"/>
      <c r="K43" s="8"/>
      <c r="L43" s="8"/>
      <c r="M43" s="8"/>
      <c r="N43" s="8"/>
      <c r="O43" s="8"/>
      <c r="P43" s="8"/>
      <c r="Q43" s="8"/>
      <c r="R43" s="8"/>
      <c r="S43" s="8"/>
      <c r="T43" s="8"/>
      <c r="U43" s="8"/>
      <c r="V43" s="8"/>
      <c r="W43" s="8"/>
      <c r="X43" s="8"/>
      <c r="Y43" s="8"/>
      <c r="Z43" s="8"/>
    </row>
    <row r="44">
      <c r="A44" s="8"/>
      <c r="B44" s="8"/>
      <c r="C44" s="8"/>
      <c r="D44" s="8"/>
      <c r="E44" s="8"/>
      <c r="F44" s="73" t="s">
        <v>914</v>
      </c>
      <c r="H44" s="8"/>
      <c r="I44" s="8"/>
      <c r="J44" s="8"/>
      <c r="K44" s="8"/>
      <c r="L44" s="8"/>
      <c r="M44" s="8"/>
      <c r="N44" s="8"/>
      <c r="O44" s="8"/>
      <c r="P44" s="8"/>
      <c r="Q44" s="8"/>
      <c r="R44" s="8"/>
      <c r="S44" s="8"/>
      <c r="T44" s="8"/>
      <c r="U44" s="8"/>
      <c r="V44" s="8"/>
      <c r="W44" s="8"/>
      <c r="X44" s="8"/>
      <c r="Y44" s="8"/>
      <c r="Z44" s="8"/>
    </row>
    <row r="45">
      <c r="A45" s="8"/>
      <c r="B45" s="8"/>
      <c r="C45" s="8"/>
      <c r="D45" s="8"/>
      <c r="E45" s="8"/>
      <c r="G45" s="8"/>
      <c r="H45" s="8"/>
      <c r="I45" s="8"/>
      <c r="J45" s="8"/>
      <c r="K45" s="8"/>
      <c r="L45" s="8"/>
      <c r="M45" s="8"/>
      <c r="N45" s="8"/>
      <c r="O45" s="8"/>
      <c r="P45" s="8"/>
      <c r="Q45" s="8"/>
      <c r="R45" s="8"/>
      <c r="S45" s="8"/>
      <c r="T45" s="8"/>
      <c r="U45" s="8"/>
      <c r="V45" s="8"/>
      <c r="W45" s="8"/>
      <c r="X45" s="8"/>
      <c r="Y45" s="8"/>
      <c r="Z45" s="8"/>
    </row>
    <row r="46">
      <c r="A46" s="8"/>
      <c r="B46" s="8"/>
      <c r="C46" s="8"/>
      <c r="D46" s="8"/>
      <c r="E46" s="8"/>
      <c r="G46" s="8"/>
      <c r="H46" s="8"/>
      <c r="I46" s="8"/>
      <c r="J46" s="8"/>
      <c r="K46" s="8"/>
      <c r="L46" s="8"/>
      <c r="M46" s="8"/>
      <c r="N46" s="8"/>
      <c r="O46" s="8"/>
      <c r="P46" s="8"/>
      <c r="Q46" s="8"/>
      <c r="R46" s="8"/>
      <c r="S46" s="8"/>
      <c r="T46" s="8"/>
      <c r="U46" s="8"/>
      <c r="V46" s="8"/>
      <c r="W46" s="8"/>
      <c r="X46" s="8"/>
      <c r="Y46" s="8"/>
      <c r="Z46" s="8"/>
    </row>
    <row r="47">
      <c r="A47" s="8"/>
      <c r="B47" s="8"/>
      <c r="C47" s="8"/>
      <c r="D47" s="8"/>
      <c r="E47" s="8"/>
      <c r="G47" s="8"/>
      <c r="H47" s="8"/>
      <c r="I47" s="8"/>
      <c r="J47" s="8"/>
      <c r="K47" s="8"/>
      <c r="L47" s="8"/>
      <c r="M47" s="8"/>
      <c r="N47" s="8"/>
      <c r="O47" s="8"/>
      <c r="P47" s="8"/>
      <c r="Q47" s="8"/>
      <c r="R47" s="8"/>
      <c r="S47" s="8"/>
      <c r="T47" s="8"/>
      <c r="U47" s="8"/>
      <c r="V47" s="8"/>
      <c r="W47" s="8"/>
      <c r="X47" s="8"/>
      <c r="Y47" s="8"/>
      <c r="Z47" s="8"/>
    </row>
    <row r="48">
      <c r="A48" s="8"/>
      <c r="B48" s="8"/>
      <c r="C48" s="8"/>
      <c r="D48" s="8"/>
      <c r="E48" s="8"/>
      <c r="F48" s="73" t="s">
        <v>915</v>
      </c>
      <c r="G48" s="77" t="s">
        <v>915</v>
      </c>
      <c r="H48" s="8"/>
      <c r="I48" s="8"/>
      <c r="J48" s="8"/>
      <c r="K48" s="8"/>
      <c r="L48" s="8"/>
      <c r="M48" s="8"/>
      <c r="N48" s="8"/>
      <c r="O48" s="8"/>
      <c r="P48" s="8"/>
      <c r="Q48" s="8"/>
      <c r="R48" s="8"/>
      <c r="S48" s="8"/>
      <c r="T48" s="8"/>
      <c r="U48" s="8"/>
      <c r="V48" s="8"/>
      <c r="W48" s="8"/>
      <c r="X48" s="8"/>
      <c r="Y48" s="8"/>
      <c r="Z48" s="8"/>
    </row>
    <row r="49">
      <c r="A49" s="8"/>
      <c r="B49" s="8"/>
      <c r="C49" s="8"/>
      <c r="D49" s="8"/>
      <c r="E49" s="8"/>
      <c r="F49" s="73" t="s">
        <v>916</v>
      </c>
      <c r="H49" s="8"/>
      <c r="I49" s="8"/>
      <c r="J49" s="8"/>
      <c r="K49" s="8"/>
      <c r="L49" s="8"/>
      <c r="M49" s="8"/>
      <c r="N49" s="8"/>
      <c r="O49" s="8"/>
      <c r="P49" s="8"/>
      <c r="Q49" s="8"/>
      <c r="R49" s="8"/>
      <c r="S49" s="8"/>
      <c r="T49" s="8"/>
      <c r="U49" s="8"/>
      <c r="V49" s="8"/>
      <c r="W49" s="8"/>
      <c r="X49" s="8"/>
      <c r="Y49" s="8"/>
      <c r="Z49" s="8"/>
    </row>
    <row r="50">
      <c r="A50" s="8"/>
      <c r="B50" s="8"/>
      <c r="C50" s="8"/>
      <c r="D50" s="8"/>
      <c r="E50" s="8"/>
      <c r="F50" s="73" t="s">
        <v>917</v>
      </c>
      <c r="H50" s="8"/>
      <c r="I50" s="8"/>
      <c r="J50" s="8"/>
      <c r="K50" s="8"/>
      <c r="L50" s="8"/>
      <c r="M50" s="8"/>
      <c r="N50" s="8"/>
      <c r="O50" s="8"/>
      <c r="P50" s="8"/>
      <c r="Q50" s="8"/>
      <c r="R50" s="8"/>
      <c r="S50" s="8"/>
      <c r="T50" s="8"/>
      <c r="U50" s="8"/>
      <c r="V50" s="8"/>
      <c r="W50" s="8"/>
      <c r="X50" s="8"/>
      <c r="Y50" s="8"/>
      <c r="Z50" s="8"/>
    </row>
    <row r="51">
      <c r="A51" s="8"/>
      <c r="B51" s="8"/>
      <c r="C51" s="8"/>
      <c r="D51" s="8"/>
      <c r="E51" s="8"/>
      <c r="F51" s="73" t="s">
        <v>918</v>
      </c>
      <c r="H51" s="8"/>
      <c r="I51" s="8"/>
      <c r="J51" s="8"/>
      <c r="K51" s="8"/>
      <c r="L51" s="8"/>
      <c r="M51" s="8"/>
      <c r="N51" s="8"/>
      <c r="O51" s="8"/>
      <c r="P51" s="8"/>
      <c r="Q51" s="8"/>
      <c r="R51" s="8"/>
      <c r="S51" s="8"/>
      <c r="T51" s="8"/>
      <c r="U51" s="8"/>
      <c r="V51" s="8"/>
      <c r="W51" s="8"/>
      <c r="X51" s="8"/>
      <c r="Y51" s="8"/>
      <c r="Z51" s="8"/>
    </row>
    <row r="52">
      <c r="A52" s="8"/>
      <c r="B52" s="8"/>
      <c r="C52" s="8"/>
      <c r="D52" s="8"/>
      <c r="E52" s="8"/>
      <c r="F52" s="73" t="s">
        <v>919</v>
      </c>
      <c r="H52" s="8"/>
      <c r="I52" s="8"/>
      <c r="J52" s="8"/>
      <c r="K52" s="8"/>
      <c r="L52" s="8"/>
      <c r="M52" s="8"/>
      <c r="N52" s="8"/>
      <c r="O52" s="8"/>
      <c r="P52" s="8"/>
      <c r="Q52" s="8"/>
      <c r="R52" s="8"/>
      <c r="S52" s="8"/>
      <c r="T52" s="8"/>
      <c r="U52" s="8"/>
      <c r="V52" s="8"/>
      <c r="W52" s="8"/>
      <c r="X52" s="8"/>
      <c r="Y52" s="8"/>
      <c r="Z52" s="8"/>
    </row>
    <row r="53">
      <c r="A53" s="8"/>
      <c r="B53" s="8"/>
      <c r="C53" s="8"/>
      <c r="D53" s="8"/>
      <c r="E53" s="8"/>
      <c r="F53" s="73" t="s">
        <v>920</v>
      </c>
      <c r="H53" s="8"/>
      <c r="I53" s="8"/>
      <c r="J53" s="8"/>
      <c r="K53" s="8"/>
      <c r="L53" s="8"/>
      <c r="M53" s="8"/>
      <c r="N53" s="8"/>
      <c r="O53" s="8"/>
      <c r="P53" s="8"/>
      <c r="Q53" s="8"/>
      <c r="R53" s="8"/>
      <c r="S53" s="8"/>
      <c r="T53" s="8"/>
      <c r="U53" s="8"/>
      <c r="V53" s="8"/>
      <c r="W53" s="8"/>
      <c r="X53" s="8"/>
      <c r="Y53" s="8"/>
      <c r="Z53" s="8"/>
    </row>
    <row r="54">
      <c r="A54" s="8"/>
      <c r="B54" s="8"/>
      <c r="C54" s="8"/>
      <c r="D54" s="8"/>
      <c r="E54" s="8"/>
      <c r="F54" s="73" t="s">
        <v>921</v>
      </c>
      <c r="H54" s="8"/>
      <c r="I54" s="8"/>
      <c r="J54" s="8"/>
      <c r="K54" s="8"/>
      <c r="L54" s="8"/>
      <c r="M54" s="8"/>
      <c r="N54" s="8"/>
      <c r="O54" s="8"/>
      <c r="P54" s="8"/>
      <c r="Q54" s="8"/>
      <c r="R54" s="8"/>
      <c r="S54" s="8"/>
      <c r="T54" s="8"/>
      <c r="U54" s="8"/>
      <c r="V54" s="8"/>
      <c r="W54" s="8"/>
      <c r="X54" s="8"/>
      <c r="Y54" s="8"/>
      <c r="Z54" s="8"/>
    </row>
    <row r="55">
      <c r="A55" s="8"/>
      <c r="B55" s="8"/>
      <c r="C55" s="8"/>
      <c r="D55" s="8"/>
      <c r="E55" s="8"/>
      <c r="F55" s="73" t="s">
        <v>922</v>
      </c>
      <c r="H55" s="8"/>
      <c r="I55" s="8"/>
      <c r="J55" s="8"/>
      <c r="K55" s="8"/>
      <c r="L55" s="8"/>
      <c r="M55" s="8"/>
      <c r="N55" s="8"/>
      <c r="O55" s="8"/>
      <c r="P55" s="8"/>
      <c r="Q55" s="8"/>
      <c r="R55" s="8"/>
      <c r="S55" s="8"/>
      <c r="T55" s="8"/>
      <c r="U55" s="8"/>
      <c r="V55" s="8"/>
      <c r="W55" s="8"/>
      <c r="X55" s="8"/>
      <c r="Y55" s="8"/>
      <c r="Z55" s="8"/>
    </row>
    <row r="56">
      <c r="A56" s="8"/>
      <c r="B56" s="8"/>
      <c r="C56" s="8"/>
      <c r="D56" s="8"/>
      <c r="E56" s="8"/>
      <c r="F56" s="73" t="s">
        <v>923</v>
      </c>
      <c r="H56" s="8"/>
      <c r="I56" s="8"/>
      <c r="J56" s="8"/>
      <c r="K56" s="8"/>
      <c r="L56" s="8"/>
      <c r="M56" s="8"/>
      <c r="N56" s="8"/>
      <c r="O56" s="8"/>
      <c r="P56" s="8"/>
      <c r="Q56" s="8"/>
      <c r="R56" s="8"/>
      <c r="S56" s="8"/>
      <c r="T56" s="8"/>
      <c r="U56" s="8"/>
      <c r="V56" s="8"/>
      <c r="W56" s="8"/>
      <c r="X56" s="8"/>
      <c r="Y56" s="8"/>
      <c r="Z56" s="8"/>
    </row>
    <row r="57">
      <c r="A57" s="8"/>
      <c r="B57" s="8"/>
      <c r="C57" s="8"/>
      <c r="D57" s="8"/>
      <c r="E57" s="8"/>
      <c r="F57" s="73" t="s">
        <v>924</v>
      </c>
      <c r="H57" s="8"/>
      <c r="I57" s="8"/>
      <c r="J57" s="8"/>
      <c r="K57" s="8"/>
      <c r="L57" s="8"/>
      <c r="M57" s="8"/>
      <c r="N57" s="8"/>
      <c r="O57" s="8"/>
      <c r="P57" s="8"/>
      <c r="Q57" s="8"/>
      <c r="R57" s="8"/>
      <c r="S57" s="8"/>
      <c r="T57" s="8"/>
      <c r="U57" s="8"/>
      <c r="V57" s="8"/>
      <c r="W57" s="8"/>
      <c r="X57" s="8"/>
      <c r="Y57" s="8"/>
      <c r="Z57" s="8"/>
    </row>
    <row r="58">
      <c r="A58" s="8"/>
      <c r="B58" s="8"/>
      <c r="C58" s="8"/>
      <c r="D58" s="8"/>
      <c r="E58" s="8"/>
      <c r="F58" s="73" t="s">
        <v>925</v>
      </c>
      <c r="H58" s="8"/>
      <c r="I58" s="8"/>
      <c r="J58" s="8"/>
      <c r="K58" s="8"/>
      <c r="L58" s="8"/>
      <c r="M58" s="8"/>
      <c r="N58" s="8"/>
      <c r="O58" s="8"/>
      <c r="P58" s="8"/>
      <c r="Q58" s="8"/>
      <c r="R58" s="8"/>
      <c r="S58" s="8"/>
      <c r="T58" s="8"/>
      <c r="U58" s="8"/>
      <c r="V58" s="8"/>
      <c r="W58" s="8"/>
      <c r="X58" s="8"/>
      <c r="Y58" s="8"/>
      <c r="Z58" s="8"/>
    </row>
    <row r="59">
      <c r="A59" s="8"/>
      <c r="B59" s="8"/>
      <c r="C59" s="8"/>
      <c r="D59" s="8"/>
      <c r="E59" s="8"/>
      <c r="F59" s="73" t="s">
        <v>926</v>
      </c>
      <c r="H59" s="8"/>
      <c r="I59" s="8"/>
      <c r="J59" s="8"/>
      <c r="K59" s="8"/>
      <c r="L59" s="8"/>
      <c r="M59" s="8"/>
      <c r="N59" s="8"/>
      <c r="O59" s="8"/>
      <c r="P59" s="8"/>
      <c r="Q59" s="8"/>
      <c r="R59" s="8"/>
      <c r="S59" s="8"/>
      <c r="T59" s="8"/>
      <c r="U59" s="8"/>
      <c r="V59" s="8"/>
      <c r="W59" s="8"/>
      <c r="X59" s="8"/>
      <c r="Y59" s="8"/>
      <c r="Z59" s="8"/>
    </row>
    <row r="60">
      <c r="A60" s="8"/>
      <c r="B60" s="8"/>
      <c r="C60" s="8"/>
      <c r="D60" s="8"/>
      <c r="E60" s="8"/>
      <c r="F60" s="73" t="s">
        <v>927</v>
      </c>
      <c r="H60" s="8"/>
      <c r="I60" s="8"/>
      <c r="J60" s="8"/>
      <c r="K60" s="8"/>
      <c r="L60" s="8"/>
      <c r="M60" s="8"/>
      <c r="N60" s="8"/>
      <c r="O60" s="8"/>
      <c r="P60" s="8"/>
      <c r="Q60" s="8"/>
      <c r="R60" s="8"/>
      <c r="S60" s="8"/>
      <c r="T60" s="8"/>
      <c r="U60" s="8"/>
      <c r="V60" s="8"/>
      <c r="W60" s="8"/>
      <c r="X60" s="8"/>
      <c r="Y60" s="8"/>
      <c r="Z60" s="8"/>
    </row>
    <row r="61">
      <c r="A61" s="8"/>
      <c r="B61" s="8"/>
      <c r="C61" s="8"/>
      <c r="D61" s="8"/>
      <c r="E61" s="8"/>
      <c r="F61" s="73" t="s">
        <v>928</v>
      </c>
      <c r="H61" s="8"/>
      <c r="I61" s="8"/>
      <c r="J61" s="8"/>
      <c r="K61" s="8"/>
      <c r="L61" s="8"/>
      <c r="M61" s="8"/>
      <c r="N61" s="8"/>
      <c r="O61" s="8"/>
      <c r="P61" s="8"/>
      <c r="Q61" s="8"/>
      <c r="R61" s="8"/>
      <c r="S61" s="8"/>
      <c r="T61" s="8"/>
      <c r="U61" s="8"/>
      <c r="V61" s="8"/>
      <c r="W61" s="8"/>
      <c r="X61" s="8"/>
      <c r="Y61" s="8"/>
      <c r="Z61" s="8"/>
    </row>
    <row r="62">
      <c r="A62" s="8"/>
      <c r="B62" s="8"/>
      <c r="C62" s="8"/>
      <c r="D62" s="8"/>
      <c r="E62" s="8"/>
      <c r="F62" s="73" t="s">
        <v>929</v>
      </c>
      <c r="H62" s="8"/>
      <c r="I62" s="8"/>
      <c r="J62" s="8"/>
      <c r="K62" s="8"/>
      <c r="L62" s="8"/>
      <c r="M62" s="8"/>
      <c r="N62" s="8"/>
      <c r="O62" s="8"/>
      <c r="P62" s="8"/>
      <c r="Q62" s="8"/>
      <c r="R62" s="8"/>
      <c r="S62" s="8"/>
      <c r="T62" s="8"/>
      <c r="U62" s="8"/>
      <c r="V62" s="8"/>
      <c r="W62" s="8"/>
      <c r="X62" s="8"/>
      <c r="Y62" s="8"/>
      <c r="Z62" s="8"/>
    </row>
    <row r="63">
      <c r="A63" s="8"/>
      <c r="B63" s="8"/>
      <c r="C63" s="8"/>
      <c r="D63" s="8"/>
      <c r="E63" s="8"/>
      <c r="F63" s="73" t="s">
        <v>930</v>
      </c>
      <c r="H63" s="8"/>
      <c r="I63" s="8"/>
      <c r="J63" s="8"/>
      <c r="K63" s="8"/>
      <c r="L63" s="8"/>
      <c r="M63" s="8"/>
      <c r="N63" s="8"/>
      <c r="O63" s="8"/>
      <c r="P63" s="8"/>
      <c r="Q63" s="8"/>
      <c r="R63" s="8"/>
      <c r="S63" s="8"/>
      <c r="T63" s="8"/>
      <c r="U63" s="8"/>
      <c r="V63" s="8"/>
      <c r="W63" s="8"/>
      <c r="X63" s="8"/>
      <c r="Y63" s="8"/>
      <c r="Z63" s="8"/>
    </row>
    <row r="64">
      <c r="A64" s="8"/>
      <c r="B64" s="8"/>
      <c r="C64" s="8"/>
      <c r="D64" s="8"/>
      <c r="E64" s="8"/>
      <c r="F64" s="73" t="s">
        <v>931</v>
      </c>
      <c r="H64" s="8"/>
      <c r="I64" s="8"/>
      <c r="J64" s="8"/>
      <c r="K64" s="8"/>
      <c r="L64" s="8"/>
      <c r="M64" s="8"/>
      <c r="N64" s="8"/>
      <c r="O64" s="8"/>
      <c r="P64" s="8"/>
      <c r="Q64" s="8"/>
      <c r="R64" s="8"/>
      <c r="S64" s="8"/>
      <c r="T64" s="8"/>
      <c r="U64" s="8"/>
      <c r="V64" s="8"/>
      <c r="W64" s="8"/>
      <c r="X64" s="8"/>
      <c r="Y64" s="8"/>
      <c r="Z64" s="8"/>
    </row>
    <row r="65">
      <c r="A65" s="8"/>
      <c r="B65" s="8"/>
      <c r="C65" s="8"/>
      <c r="D65" s="8"/>
      <c r="E65" s="8"/>
      <c r="F65" s="73" t="s">
        <v>932</v>
      </c>
      <c r="H65" s="8"/>
      <c r="I65" s="8"/>
      <c r="J65" s="8"/>
      <c r="K65" s="8"/>
      <c r="L65" s="8"/>
      <c r="M65" s="8"/>
      <c r="N65" s="8"/>
      <c r="O65" s="8"/>
      <c r="P65" s="8"/>
      <c r="Q65" s="8"/>
      <c r="R65" s="8"/>
      <c r="S65" s="8"/>
      <c r="T65" s="8"/>
      <c r="U65" s="8"/>
      <c r="V65" s="8"/>
      <c r="W65" s="8"/>
      <c r="X65" s="8"/>
      <c r="Y65" s="8"/>
      <c r="Z65" s="8"/>
    </row>
    <row r="66">
      <c r="A66" s="8"/>
      <c r="B66" s="8"/>
      <c r="C66" s="8"/>
      <c r="D66" s="8"/>
      <c r="E66" s="8"/>
      <c r="F66" s="73" t="s">
        <v>933</v>
      </c>
      <c r="H66" s="8"/>
      <c r="I66" s="8"/>
      <c r="J66" s="8"/>
      <c r="K66" s="8"/>
      <c r="L66" s="8"/>
      <c r="M66" s="8"/>
      <c r="N66" s="8"/>
      <c r="O66" s="8"/>
      <c r="P66" s="8"/>
      <c r="Q66" s="8"/>
      <c r="R66" s="8"/>
      <c r="S66" s="8"/>
      <c r="T66" s="8"/>
      <c r="U66" s="8"/>
      <c r="V66" s="8"/>
      <c r="W66" s="8"/>
      <c r="X66" s="8"/>
      <c r="Y66" s="8"/>
      <c r="Z66" s="8"/>
    </row>
    <row r="67">
      <c r="A67" s="8"/>
      <c r="B67" s="8"/>
      <c r="C67" s="8"/>
      <c r="D67" s="8"/>
      <c r="E67" s="8"/>
      <c r="F67" s="73" t="s">
        <v>934</v>
      </c>
      <c r="H67" s="8"/>
      <c r="I67" s="8"/>
      <c r="J67" s="8"/>
      <c r="K67" s="8"/>
      <c r="L67" s="8"/>
      <c r="M67" s="8"/>
      <c r="N67" s="8"/>
      <c r="O67" s="8"/>
      <c r="P67" s="8"/>
      <c r="Q67" s="8"/>
      <c r="R67" s="8"/>
      <c r="S67" s="8"/>
      <c r="T67" s="8"/>
      <c r="U67" s="8"/>
      <c r="V67" s="8"/>
      <c r="W67" s="8"/>
      <c r="X67" s="8"/>
      <c r="Y67" s="8"/>
      <c r="Z67" s="8"/>
    </row>
    <row r="68">
      <c r="A68" s="8"/>
      <c r="B68" s="8"/>
      <c r="C68" s="8"/>
      <c r="D68" s="8"/>
      <c r="E68" s="8"/>
      <c r="F68" s="73" t="s">
        <v>935</v>
      </c>
      <c r="H68" s="8"/>
      <c r="I68" s="8"/>
      <c r="J68" s="8"/>
      <c r="K68" s="8"/>
      <c r="L68" s="8"/>
      <c r="M68" s="8"/>
      <c r="N68" s="8"/>
      <c r="O68" s="8"/>
      <c r="P68" s="8"/>
      <c r="Q68" s="8"/>
      <c r="R68" s="8"/>
      <c r="S68" s="8"/>
      <c r="T68" s="8"/>
      <c r="U68" s="8"/>
      <c r="V68" s="8"/>
      <c r="W68" s="8"/>
      <c r="X68" s="8"/>
      <c r="Y68" s="8"/>
      <c r="Z68" s="8"/>
    </row>
    <row r="69">
      <c r="A69" s="8"/>
      <c r="B69" s="8"/>
      <c r="C69" s="8"/>
      <c r="D69" s="8"/>
      <c r="E69" s="8"/>
      <c r="F69" s="73" t="s">
        <v>936</v>
      </c>
      <c r="H69" s="8"/>
      <c r="I69" s="8"/>
      <c r="J69" s="8"/>
      <c r="K69" s="8"/>
      <c r="L69" s="8"/>
      <c r="M69" s="8"/>
      <c r="N69" s="8"/>
      <c r="O69" s="8"/>
      <c r="P69" s="8"/>
      <c r="Q69" s="8"/>
      <c r="R69" s="8"/>
      <c r="S69" s="8"/>
      <c r="T69" s="8"/>
      <c r="U69" s="8"/>
      <c r="V69" s="8"/>
      <c r="W69" s="8"/>
      <c r="X69" s="8"/>
      <c r="Y69" s="8"/>
      <c r="Z69" s="8"/>
    </row>
    <row r="70">
      <c r="A70" s="8"/>
      <c r="B70" s="8"/>
      <c r="C70" s="8"/>
      <c r="D70" s="8"/>
      <c r="E70" s="8"/>
      <c r="F70" s="73" t="s">
        <v>937</v>
      </c>
      <c r="H70" s="8"/>
      <c r="I70" s="8"/>
      <c r="J70" s="8"/>
      <c r="K70" s="8"/>
      <c r="L70" s="8"/>
      <c r="M70" s="8"/>
      <c r="N70" s="8"/>
      <c r="O70" s="8"/>
      <c r="P70" s="8"/>
      <c r="Q70" s="8"/>
      <c r="R70" s="8"/>
      <c r="S70" s="8"/>
      <c r="T70" s="8"/>
      <c r="U70" s="8"/>
      <c r="V70" s="8"/>
      <c r="W70" s="8"/>
      <c r="X70" s="8"/>
      <c r="Y70" s="8"/>
      <c r="Z70" s="8"/>
    </row>
    <row r="71">
      <c r="A71" s="8"/>
      <c r="B71" s="8"/>
      <c r="C71" s="8"/>
      <c r="D71" s="8"/>
      <c r="E71" s="8"/>
      <c r="F71" s="73" t="s">
        <v>938</v>
      </c>
      <c r="H71" s="8"/>
      <c r="I71" s="8"/>
      <c r="J71" s="8"/>
      <c r="K71" s="8"/>
      <c r="L71" s="8"/>
      <c r="M71" s="8"/>
      <c r="N71" s="8"/>
      <c r="O71" s="8"/>
      <c r="P71" s="8"/>
      <c r="Q71" s="8"/>
      <c r="R71" s="8"/>
      <c r="S71" s="8"/>
      <c r="T71" s="8"/>
      <c r="U71" s="8"/>
      <c r="V71" s="8"/>
      <c r="W71" s="8"/>
      <c r="X71" s="8"/>
      <c r="Y71" s="8"/>
      <c r="Z71" s="8"/>
    </row>
    <row r="72">
      <c r="A72" s="8"/>
      <c r="B72" s="8"/>
      <c r="C72" s="8"/>
      <c r="D72" s="8"/>
      <c r="E72" s="8"/>
      <c r="G72" s="8"/>
      <c r="H72" s="8"/>
      <c r="I72" s="8"/>
      <c r="J72" s="8"/>
      <c r="K72" s="8"/>
      <c r="L72" s="8"/>
      <c r="M72" s="8"/>
      <c r="N72" s="8"/>
      <c r="O72" s="8"/>
      <c r="P72" s="8"/>
      <c r="Q72" s="8"/>
      <c r="R72" s="8"/>
      <c r="S72" s="8"/>
      <c r="T72" s="8"/>
      <c r="U72" s="8"/>
      <c r="V72" s="8"/>
      <c r="W72" s="8"/>
      <c r="X72" s="8"/>
      <c r="Y72" s="8"/>
      <c r="Z72" s="8"/>
    </row>
    <row r="73">
      <c r="A73" s="8"/>
      <c r="B73" s="8"/>
      <c r="C73" s="8"/>
      <c r="D73" s="8"/>
      <c r="E73" s="8"/>
      <c r="G73" s="8"/>
      <c r="H73" s="8"/>
      <c r="I73" s="8"/>
      <c r="J73" s="8"/>
      <c r="K73" s="8"/>
      <c r="L73" s="8"/>
      <c r="M73" s="8"/>
      <c r="N73" s="8"/>
      <c r="O73" s="8"/>
      <c r="P73" s="8"/>
      <c r="Q73" s="8"/>
      <c r="R73" s="8"/>
      <c r="S73" s="8"/>
      <c r="T73" s="8"/>
      <c r="U73" s="8"/>
      <c r="V73" s="8"/>
      <c r="W73" s="8"/>
      <c r="X73" s="8"/>
      <c r="Y73" s="8"/>
      <c r="Z73" s="8"/>
    </row>
    <row r="74">
      <c r="A74" s="8"/>
      <c r="B74" s="8"/>
      <c r="C74" s="8"/>
      <c r="D74" s="8"/>
      <c r="E74" s="8"/>
      <c r="G74" s="8"/>
      <c r="H74" s="8"/>
      <c r="I74" s="8"/>
      <c r="J74" s="8"/>
      <c r="K74" s="8"/>
      <c r="L74" s="8"/>
      <c r="M74" s="8"/>
      <c r="N74" s="8"/>
      <c r="O74" s="8"/>
      <c r="P74" s="8"/>
      <c r="Q74" s="8"/>
      <c r="R74" s="8"/>
      <c r="S74" s="8"/>
      <c r="T74" s="8"/>
      <c r="U74" s="8"/>
      <c r="V74" s="8"/>
      <c r="W74" s="8"/>
      <c r="X74" s="8"/>
      <c r="Y74" s="8"/>
      <c r="Z74" s="8"/>
    </row>
    <row r="75">
      <c r="A75" s="8"/>
      <c r="B75" s="8"/>
      <c r="C75" s="8"/>
      <c r="D75" s="8"/>
      <c r="E75" s="8"/>
      <c r="F75" s="73"/>
      <c r="G75" s="8"/>
      <c r="H75" s="8"/>
      <c r="I75" s="8"/>
      <c r="J75" s="8"/>
      <c r="K75" s="8"/>
      <c r="L75" s="8"/>
      <c r="M75" s="8"/>
      <c r="N75" s="8"/>
      <c r="O75" s="8"/>
      <c r="P75" s="8"/>
      <c r="Q75" s="8"/>
      <c r="R75" s="8"/>
      <c r="S75" s="8"/>
      <c r="T75" s="8"/>
      <c r="U75" s="8"/>
      <c r="V75" s="8"/>
      <c r="W75" s="8"/>
      <c r="X75" s="8"/>
      <c r="Y75" s="8"/>
      <c r="Z75" s="8"/>
    </row>
    <row r="76">
      <c r="A76" s="8"/>
      <c r="B76" s="8"/>
      <c r="C76" s="8"/>
      <c r="D76" s="8"/>
      <c r="E76" s="8"/>
      <c r="F76" s="73" t="s">
        <v>939</v>
      </c>
      <c r="G76" s="78" t="s">
        <v>940</v>
      </c>
      <c r="H76" s="8"/>
      <c r="I76" s="8"/>
      <c r="J76" s="8"/>
      <c r="K76" s="8"/>
      <c r="L76" s="8"/>
      <c r="M76" s="8"/>
      <c r="N76" s="8"/>
      <c r="O76" s="8"/>
      <c r="P76" s="8"/>
      <c r="Q76" s="8"/>
      <c r="R76" s="8"/>
      <c r="S76" s="8"/>
      <c r="T76" s="8"/>
      <c r="U76" s="8"/>
      <c r="V76" s="8"/>
      <c r="W76" s="8"/>
      <c r="X76" s="8"/>
      <c r="Y76" s="8"/>
      <c r="Z76" s="8"/>
    </row>
    <row r="77">
      <c r="A77" s="8"/>
      <c r="B77" s="8"/>
      <c r="C77" s="8"/>
      <c r="D77" s="8"/>
      <c r="E77" s="8"/>
      <c r="F77" s="73" t="s">
        <v>941</v>
      </c>
      <c r="H77" s="8"/>
      <c r="I77" s="8"/>
      <c r="J77" s="8"/>
      <c r="K77" s="8"/>
      <c r="L77" s="8"/>
      <c r="M77" s="8"/>
      <c r="N77" s="8"/>
      <c r="O77" s="8"/>
      <c r="P77" s="8"/>
      <c r="Q77" s="8"/>
      <c r="R77" s="8"/>
      <c r="S77" s="8"/>
      <c r="T77" s="8"/>
      <c r="U77" s="8"/>
      <c r="V77" s="8"/>
      <c r="W77" s="8"/>
      <c r="X77" s="8"/>
      <c r="Y77" s="8"/>
      <c r="Z77" s="8"/>
    </row>
    <row r="78">
      <c r="A78" s="8"/>
      <c r="B78" s="8"/>
      <c r="C78" s="8"/>
      <c r="D78" s="8"/>
      <c r="E78" s="8"/>
      <c r="F78" s="73" t="s">
        <v>942</v>
      </c>
      <c r="H78" s="8"/>
      <c r="I78" s="8"/>
      <c r="J78" s="8"/>
      <c r="K78" s="8"/>
      <c r="L78" s="8"/>
      <c r="M78" s="8"/>
      <c r="N78" s="8"/>
      <c r="O78" s="8"/>
      <c r="P78" s="8"/>
      <c r="Q78" s="8"/>
      <c r="R78" s="8"/>
      <c r="S78" s="8"/>
      <c r="T78" s="8"/>
      <c r="U78" s="8"/>
      <c r="V78" s="8"/>
      <c r="W78" s="8"/>
      <c r="X78" s="8"/>
      <c r="Y78" s="8"/>
      <c r="Z78" s="8"/>
    </row>
    <row r="79">
      <c r="A79" s="8"/>
      <c r="B79" s="8"/>
      <c r="C79" s="8"/>
      <c r="D79" s="8"/>
      <c r="E79" s="8"/>
      <c r="F79" s="73" t="s">
        <v>942</v>
      </c>
      <c r="H79" s="8"/>
      <c r="I79" s="8"/>
      <c r="J79" s="8"/>
      <c r="K79" s="8"/>
      <c r="L79" s="8"/>
      <c r="M79" s="8"/>
      <c r="N79" s="8"/>
      <c r="O79" s="8"/>
      <c r="P79" s="8"/>
      <c r="Q79" s="8"/>
      <c r="R79" s="8"/>
      <c r="S79" s="8"/>
      <c r="T79" s="8"/>
      <c r="U79" s="8"/>
      <c r="V79" s="8"/>
      <c r="W79" s="8"/>
      <c r="X79" s="8"/>
      <c r="Y79" s="8"/>
      <c r="Z79" s="8"/>
    </row>
    <row r="80">
      <c r="A80" s="8"/>
      <c r="B80" s="8"/>
      <c r="C80" s="8"/>
      <c r="D80" s="8"/>
      <c r="E80" s="8"/>
      <c r="F80" s="73" t="s">
        <v>943</v>
      </c>
      <c r="H80" s="8"/>
      <c r="I80" s="8"/>
      <c r="J80" s="8"/>
      <c r="K80" s="8"/>
      <c r="L80" s="8"/>
      <c r="M80" s="8"/>
      <c r="N80" s="8"/>
      <c r="O80" s="8"/>
      <c r="P80" s="8"/>
      <c r="Q80" s="8"/>
      <c r="R80" s="8"/>
      <c r="S80" s="8"/>
      <c r="T80" s="8"/>
      <c r="U80" s="8"/>
      <c r="V80" s="8"/>
      <c r="W80" s="8"/>
      <c r="X80" s="8"/>
      <c r="Y80" s="8"/>
      <c r="Z80" s="8"/>
    </row>
    <row r="81">
      <c r="A81" s="8"/>
      <c r="B81" s="8"/>
      <c r="C81" s="8"/>
      <c r="D81" s="8"/>
      <c r="E81" s="8"/>
      <c r="F81" s="73" t="s">
        <v>943</v>
      </c>
      <c r="H81" s="8"/>
      <c r="I81" s="8"/>
      <c r="J81" s="8"/>
      <c r="K81" s="8"/>
      <c r="L81" s="8"/>
      <c r="M81" s="8"/>
      <c r="N81" s="8"/>
      <c r="O81" s="8"/>
      <c r="P81" s="8"/>
      <c r="Q81" s="8"/>
      <c r="R81" s="8"/>
      <c r="S81" s="8"/>
      <c r="T81" s="8"/>
      <c r="U81" s="8"/>
      <c r="V81" s="8"/>
      <c r="W81" s="8"/>
      <c r="X81" s="8"/>
      <c r="Y81" s="8"/>
      <c r="Z81" s="8"/>
    </row>
    <row r="82">
      <c r="A82" s="8"/>
      <c r="B82" s="8"/>
      <c r="C82" s="8"/>
      <c r="D82" s="8"/>
      <c r="E82" s="8"/>
      <c r="F82" s="73" t="s">
        <v>944</v>
      </c>
      <c r="H82" s="8"/>
      <c r="I82" s="8"/>
      <c r="J82" s="8"/>
      <c r="K82" s="8"/>
      <c r="L82" s="8"/>
      <c r="M82" s="8"/>
      <c r="N82" s="8"/>
      <c r="O82" s="8"/>
      <c r="P82" s="8"/>
      <c r="Q82" s="8"/>
      <c r="R82" s="8"/>
      <c r="S82" s="8"/>
      <c r="T82" s="8"/>
      <c r="U82" s="8"/>
      <c r="V82" s="8"/>
      <c r="W82" s="8"/>
      <c r="X82" s="8"/>
      <c r="Y82" s="8"/>
      <c r="Z82" s="8"/>
    </row>
    <row r="83">
      <c r="A83" s="8"/>
      <c r="B83" s="8"/>
      <c r="C83" s="8"/>
      <c r="D83" s="8"/>
      <c r="E83" s="8"/>
      <c r="F83" s="73" t="s">
        <v>945</v>
      </c>
      <c r="H83" s="8"/>
      <c r="I83" s="8"/>
      <c r="J83" s="8"/>
      <c r="K83" s="8"/>
      <c r="L83" s="8"/>
      <c r="M83" s="8"/>
      <c r="N83" s="8"/>
      <c r="O83" s="8"/>
      <c r="P83" s="8"/>
      <c r="Q83" s="8"/>
      <c r="R83" s="8"/>
      <c r="S83" s="8"/>
      <c r="T83" s="8"/>
      <c r="U83" s="8"/>
      <c r="V83" s="8"/>
      <c r="W83" s="8"/>
      <c r="X83" s="8"/>
      <c r="Y83" s="8"/>
      <c r="Z83" s="8"/>
    </row>
    <row r="84">
      <c r="A84" s="8"/>
      <c r="B84" s="8"/>
      <c r="C84" s="8"/>
      <c r="D84" s="8"/>
      <c r="E84" s="8"/>
      <c r="F84" s="73" t="s">
        <v>946</v>
      </c>
      <c r="H84" s="8"/>
      <c r="I84" s="8"/>
      <c r="J84" s="8"/>
      <c r="K84" s="8"/>
      <c r="L84" s="8"/>
      <c r="M84" s="8"/>
      <c r="N84" s="8"/>
      <c r="O84" s="8"/>
      <c r="P84" s="8"/>
      <c r="Q84" s="8"/>
      <c r="R84" s="8"/>
      <c r="S84" s="8"/>
      <c r="T84" s="8"/>
      <c r="U84" s="8"/>
      <c r="V84" s="8"/>
      <c r="W84" s="8"/>
      <c r="X84" s="8"/>
      <c r="Y84" s="8"/>
      <c r="Z84" s="8"/>
    </row>
    <row r="85">
      <c r="A85" s="8"/>
      <c r="B85" s="8"/>
      <c r="C85" s="8"/>
      <c r="D85" s="8"/>
      <c r="E85" s="8"/>
      <c r="F85" s="73" t="s">
        <v>947</v>
      </c>
      <c r="H85" s="8"/>
      <c r="I85" s="8"/>
      <c r="J85" s="8"/>
      <c r="K85" s="8"/>
      <c r="L85" s="8"/>
      <c r="M85" s="8"/>
      <c r="N85" s="8"/>
      <c r="O85" s="8"/>
      <c r="P85" s="8"/>
      <c r="Q85" s="8"/>
      <c r="R85" s="8"/>
      <c r="S85" s="8"/>
      <c r="T85" s="8"/>
      <c r="U85" s="8"/>
      <c r="V85" s="8"/>
      <c r="W85" s="8"/>
      <c r="X85" s="8"/>
      <c r="Y85" s="8"/>
      <c r="Z85" s="8"/>
    </row>
    <row r="86">
      <c r="A86" s="8"/>
      <c r="B86" s="8"/>
      <c r="C86" s="8"/>
      <c r="D86" s="8"/>
      <c r="E86" s="8"/>
      <c r="F86" s="73" t="s">
        <v>940</v>
      </c>
      <c r="H86" s="8"/>
      <c r="I86" s="8"/>
      <c r="J86" s="8"/>
      <c r="K86" s="8"/>
      <c r="L86" s="8"/>
      <c r="M86" s="8"/>
      <c r="N86" s="8"/>
      <c r="O86" s="8"/>
      <c r="P86" s="8"/>
      <c r="Q86" s="8"/>
      <c r="R86" s="8"/>
      <c r="S86" s="8"/>
      <c r="T86" s="8"/>
      <c r="U86" s="8"/>
      <c r="V86" s="8"/>
      <c r="W86" s="8"/>
      <c r="X86" s="8"/>
      <c r="Y86" s="8"/>
      <c r="Z86" s="8"/>
    </row>
    <row r="87">
      <c r="A87" s="8"/>
      <c r="B87" s="8"/>
      <c r="C87" s="8"/>
      <c r="D87" s="8"/>
      <c r="E87" s="8"/>
      <c r="F87" s="73" t="s">
        <v>948</v>
      </c>
      <c r="H87" s="8"/>
      <c r="I87" s="8"/>
      <c r="J87" s="8"/>
      <c r="K87" s="8"/>
      <c r="L87" s="8"/>
      <c r="M87" s="8"/>
      <c r="N87" s="8"/>
      <c r="O87" s="8"/>
      <c r="P87" s="8"/>
      <c r="Q87" s="8"/>
      <c r="R87" s="8"/>
      <c r="S87" s="8"/>
      <c r="T87" s="8"/>
      <c r="U87" s="8"/>
      <c r="V87" s="8"/>
      <c r="W87" s="8"/>
      <c r="X87" s="8"/>
      <c r="Y87" s="8"/>
      <c r="Z87" s="8"/>
    </row>
    <row r="88">
      <c r="A88" s="8"/>
      <c r="B88" s="8"/>
      <c r="C88" s="8"/>
      <c r="D88" s="8"/>
      <c r="E88" s="8"/>
      <c r="F88" s="73" t="s">
        <v>949</v>
      </c>
      <c r="H88" s="8"/>
      <c r="I88" s="8"/>
      <c r="J88" s="8"/>
      <c r="K88" s="8"/>
      <c r="L88" s="8"/>
      <c r="M88" s="8"/>
      <c r="N88" s="8"/>
      <c r="O88" s="8"/>
      <c r="P88" s="8"/>
      <c r="Q88" s="8"/>
      <c r="R88" s="8"/>
      <c r="S88" s="8"/>
      <c r="T88" s="8"/>
      <c r="U88" s="8"/>
      <c r="V88" s="8"/>
      <c r="W88" s="8"/>
      <c r="X88" s="8"/>
      <c r="Y88" s="8"/>
      <c r="Z88" s="8"/>
    </row>
    <row r="89">
      <c r="A89" s="8"/>
      <c r="B89" s="8"/>
      <c r="C89" s="8"/>
      <c r="D89" s="8"/>
      <c r="E89" s="8"/>
      <c r="F89" s="73" t="s">
        <v>950</v>
      </c>
      <c r="H89" s="8"/>
      <c r="I89" s="8"/>
      <c r="J89" s="8"/>
      <c r="K89" s="8"/>
      <c r="L89" s="8"/>
      <c r="M89" s="8"/>
      <c r="N89" s="8"/>
      <c r="O89" s="8"/>
      <c r="P89" s="8"/>
      <c r="Q89" s="8"/>
      <c r="R89" s="8"/>
      <c r="S89" s="8"/>
      <c r="T89" s="8"/>
      <c r="U89" s="8"/>
      <c r="V89" s="8"/>
      <c r="W89" s="8"/>
      <c r="X89" s="8"/>
      <c r="Y89" s="8"/>
      <c r="Z89" s="8"/>
    </row>
    <row r="90">
      <c r="A90" s="8"/>
      <c r="B90" s="8"/>
      <c r="C90" s="8"/>
      <c r="D90" s="8"/>
      <c r="E90" s="8"/>
      <c r="F90" s="73" t="s">
        <v>951</v>
      </c>
      <c r="H90" s="8"/>
      <c r="I90" s="8"/>
      <c r="J90" s="8"/>
      <c r="K90" s="8"/>
      <c r="L90" s="8"/>
      <c r="M90" s="8"/>
      <c r="N90" s="8"/>
      <c r="O90" s="8"/>
      <c r="P90" s="8"/>
      <c r="Q90" s="8"/>
      <c r="R90" s="8"/>
      <c r="S90" s="8"/>
      <c r="T90" s="8"/>
      <c r="U90" s="8"/>
      <c r="V90" s="8"/>
      <c r="W90" s="8"/>
      <c r="X90" s="8"/>
      <c r="Y90" s="8"/>
      <c r="Z90" s="8"/>
    </row>
    <row r="91">
      <c r="A91" s="8"/>
      <c r="B91" s="8"/>
      <c r="C91" s="8"/>
      <c r="D91" s="8"/>
      <c r="E91" s="8"/>
      <c r="F91" s="73" t="s">
        <v>952</v>
      </c>
      <c r="H91" s="8"/>
      <c r="I91" s="8"/>
      <c r="J91" s="8"/>
      <c r="K91" s="8"/>
      <c r="L91" s="8"/>
      <c r="M91" s="8"/>
      <c r="N91" s="8"/>
      <c r="O91" s="8"/>
      <c r="P91" s="8"/>
      <c r="Q91" s="8"/>
      <c r="R91" s="8"/>
      <c r="S91" s="8"/>
      <c r="T91" s="8"/>
      <c r="U91" s="8"/>
      <c r="V91" s="8"/>
      <c r="W91" s="8"/>
      <c r="X91" s="8"/>
      <c r="Y91" s="8"/>
      <c r="Z91" s="8"/>
    </row>
    <row r="92">
      <c r="A92" s="8"/>
      <c r="B92" s="8"/>
      <c r="C92" s="8"/>
      <c r="D92" s="8"/>
      <c r="E92" s="8"/>
      <c r="F92" s="73" t="s">
        <v>953</v>
      </c>
      <c r="H92" s="8"/>
      <c r="I92" s="8"/>
      <c r="J92" s="8"/>
      <c r="K92" s="8"/>
      <c r="L92" s="8"/>
      <c r="M92" s="8"/>
      <c r="N92" s="8"/>
      <c r="O92" s="8"/>
      <c r="P92" s="8"/>
      <c r="Q92" s="8"/>
      <c r="R92" s="8"/>
      <c r="S92" s="8"/>
      <c r="T92" s="8"/>
      <c r="U92" s="8"/>
      <c r="V92" s="8"/>
      <c r="W92" s="8"/>
      <c r="X92" s="8"/>
      <c r="Y92" s="8"/>
      <c r="Z92" s="8"/>
    </row>
    <row r="93">
      <c r="A93" s="8"/>
      <c r="B93" s="8"/>
      <c r="C93" s="8"/>
      <c r="D93" s="8"/>
      <c r="E93" s="8"/>
      <c r="F93" s="73" t="s">
        <v>951</v>
      </c>
      <c r="H93" s="8"/>
      <c r="I93" s="8"/>
      <c r="J93" s="8"/>
      <c r="K93" s="8"/>
      <c r="L93" s="8"/>
      <c r="M93" s="8"/>
      <c r="N93" s="8"/>
      <c r="O93" s="8"/>
      <c r="P93" s="8"/>
      <c r="Q93" s="8"/>
      <c r="R93" s="8"/>
      <c r="S93" s="8"/>
      <c r="T93" s="8"/>
      <c r="U93" s="8"/>
      <c r="V93" s="8"/>
      <c r="W93" s="8"/>
      <c r="X93" s="8"/>
      <c r="Y93" s="8"/>
      <c r="Z93" s="8"/>
    </row>
    <row r="94">
      <c r="A94" s="8"/>
      <c r="B94" s="8"/>
      <c r="C94" s="8"/>
      <c r="D94" s="8"/>
      <c r="E94" s="8"/>
      <c r="F94" s="73" t="s">
        <v>954</v>
      </c>
      <c r="H94" s="8"/>
      <c r="I94" s="8"/>
      <c r="J94" s="8"/>
      <c r="K94" s="8"/>
      <c r="L94" s="8"/>
      <c r="M94" s="8"/>
      <c r="N94" s="8"/>
      <c r="O94" s="8"/>
      <c r="P94" s="8"/>
      <c r="Q94" s="8"/>
      <c r="R94" s="8"/>
      <c r="S94" s="8"/>
      <c r="T94" s="8"/>
      <c r="U94" s="8"/>
      <c r="V94" s="8"/>
      <c r="W94" s="8"/>
      <c r="X94" s="8"/>
      <c r="Y94" s="8"/>
      <c r="Z94" s="8"/>
    </row>
    <row r="95">
      <c r="A95" s="8"/>
      <c r="B95" s="8"/>
      <c r="C95" s="8"/>
      <c r="D95" s="8"/>
      <c r="E95" s="8"/>
      <c r="F95" s="73" t="s">
        <v>955</v>
      </c>
      <c r="H95" s="8"/>
      <c r="I95" s="8"/>
      <c r="J95" s="8"/>
      <c r="K95" s="8"/>
      <c r="L95" s="8"/>
      <c r="M95" s="8"/>
      <c r="N95" s="8"/>
      <c r="O95" s="8"/>
      <c r="P95" s="8"/>
      <c r="Q95" s="8"/>
      <c r="R95" s="8"/>
      <c r="S95" s="8"/>
      <c r="T95" s="8"/>
      <c r="U95" s="8"/>
      <c r="V95" s="8"/>
      <c r="W95" s="8"/>
      <c r="X95" s="8"/>
      <c r="Y95" s="8"/>
      <c r="Z95" s="8"/>
    </row>
    <row r="96">
      <c r="A96" s="8"/>
      <c r="B96" s="8"/>
      <c r="C96" s="8"/>
      <c r="D96" s="8"/>
      <c r="E96" s="8"/>
      <c r="F96" s="73" t="s">
        <v>956</v>
      </c>
      <c r="H96" s="8"/>
      <c r="I96" s="8"/>
      <c r="J96" s="8"/>
      <c r="K96" s="8"/>
      <c r="L96" s="8"/>
      <c r="M96" s="8"/>
      <c r="N96" s="8"/>
      <c r="O96" s="8"/>
      <c r="P96" s="8"/>
      <c r="Q96" s="8"/>
      <c r="R96" s="8"/>
      <c r="S96" s="8"/>
      <c r="T96" s="8"/>
      <c r="U96" s="8"/>
      <c r="V96" s="8"/>
      <c r="W96" s="8"/>
      <c r="X96" s="8"/>
      <c r="Y96" s="8"/>
      <c r="Z96" s="8"/>
    </row>
    <row r="97">
      <c r="A97" s="8"/>
      <c r="B97" s="8"/>
      <c r="C97" s="8"/>
      <c r="D97" s="8"/>
      <c r="E97" s="8"/>
      <c r="F97" s="73" t="s">
        <v>957</v>
      </c>
      <c r="H97" s="8"/>
      <c r="I97" s="8"/>
      <c r="J97" s="8"/>
      <c r="K97" s="8"/>
      <c r="L97" s="8"/>
      <c r="M97" s="8"/>
      <c r="N97" s="8"/>
      <c r="O97" s="8"/>
      <c r="P97" s="8"/>
      <c r="Q97" s="8"/>
      <c r="R97" s="8"/>
      <c r="S97" s="8"/>
      <c r="T97" s="8"/>
      <c r="U97" s="8"/>
      <c r="V97" s="8"/>
      <c r="W97" s="8"/>
      <c r="X97" s="8"/>
      <c r="Y97" s="8"/>
      <c r="Z97" s="8"/>
    </row>
    <row r="98">
      <c r="A98" s="8"/>
      <c r="B98" s="8"/>
      <c r="C98" s="8"/>
      <c r="D98" s="8"/>
      <c r="E98" s="8"/>
      <c r="F98" s="73" t="s">
        <v>958</v>
      </c>
      <c r="H98" s="8"/>
      <c r="I98" s="8"/>
      <c r="J98" s="8"/>
      <c r="K98" s="8"/>
      <c r="L98" s="8"/>
      <c r="M98" s="8"/>
      <c r="N98" s="8"/>
      <c r="O98" s="8"/>
      <c r="P98" s="8"/>
      <c r="Q98" s="8"/>
      <c r="R98" s="8"/>
      <c r="S98" s="8"/>
      <c r="T98" s="8"/>
      <c r="U98" s="8"/>
      <c r="V98" s="8"/>
      <c r="W98" s="8"/>
      <c r="X98" s="8"/>
      <c r="Y98" s="8"/>
      <c r="Z98" s="8"/>
    </row>
    <row r="99">
      <c r="A99" s="8"/>
      <c r="B99" s="8"/>
      <c r="C99" s="8"/>
      <c r="D99" s="8"/>
      <c r="E99" s="8"/>
      <c r="F99" s="73" t="s">
        <v>959</v>
      </c>
      <c r="H99" s="8"/>
      <c r="I99" s="8"/>
      <c r="J99" s="8"/>
      <c r="K99" s="8"/>
      <c r="L99" s="8"/>
      <c r="M99" s="8"/>
      <c r="N99" s="8"/>
      <c r="O99" s="8"/>
      <c r="P99" s="8"/>
      <c r="Q99" s="8"/>
      <c r="R99" s="8"/>
      <c r="S99" s="8"/>
      <c r="T99" s="8"/>
      <c r="U99" s="8"/>
      <c r="V99" s="8"/>
      <c r="W99" s="8"/>
      <c r="X99" s="8"/>
      <c r="Y99" s="8"/>
      <c r="Z99" s="8"/>
    </row>
    <row r="100">
      <c r="A100" s="8"/>
      <c r="B100" s="8"/>
      <c r="C100" s="8"/>
      <c r="D100" s="8"/>
      <c r="E100" s="8"/>
      <c r="F100" s="73" t="s">
        <v>960</v>
      </c>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73" t="s">
        <v>961</v>
      </c>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73" t="s">
        <v>962</v>
      </c>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73" t="s">
        <v>963</v>
      </c>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73" t="s">
        <v>964</v>
      </c>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73" t="s">
        <v>965</v>
      </c>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73" t="s">
        <v>966</v>
      </c>
      <c r="G109" s="79" t="s">
        <v>966</v>
      </c>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73" t="s">
        <v>967</v>
      </c>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73" t="s">
        <v>968</v>
      </c>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73" t="s">
        <v>969</v>
      </c>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73" t="s">
        <v>970</v>
      </c>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73" t="s">
        <v>971</v>
      </c>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73" t="s">
        <v>972</v>
      </c>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73" t="s">
        <v>973</v>
      </c>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73" t="s">
        <v>974</v>
      </c>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73" t="s">
        <v>975</v>
      </c>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73" t="s">
        <v>976</v>
      </c>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73" t="s">
        <v>977</v>
      </c>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73" t="s">
        <v>978</v>
      </c>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73" t="s">
        <v>979</v>
      </c>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76" t="s">
        <v>966</v>
      </c>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73" t="s">
        <v>980</v>
      </c>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73" t="s">
        <v>981</v>
      </c>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73" t="s">
        <v>982</v>
      </c>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73" t="s">
        <v>983</v>
      </c>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73" t="s">
        <v>984</v>
      </c>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73" t="s">
        <v>985</v>
      </c>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73" t="s">
        <v>986</v>
      </c>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73" t="s">
        <v>987</v>
      </c>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73" t="s">
        <v>988</v>
      </c>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73" t="s">
        <v>989</v>
      </c>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73" t="s">
        <v>990</v>
      </c>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73" t="s">
        <v>991</v>
      </c>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73" t="s">
        <v>992</v>
      </c>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73"/>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73" t="s">
        <v>993</v>
      </c>
      <c r="G141" s="80" t="s">
        <v>993</v>
      </c>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73" t="s">
        <v>994</v>
      </c>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73" t="s">
        <v>993</v>
      </c>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73" t="s">
        <v>995</v>
      </c>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73" t="s">
        <v>996</v>
      </c>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73" t="s">
        <v>997</v>
      </c>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73" t="s">
        <v>998</v>
      </c>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73" t="s">
        <v>999</v>
      </c>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73" t="s">
        <v>1000</v>
      </c>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73" t="s">
        <v>1001</v>
      </c>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73" t="s">
        <v>1002</v>
      </c>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73" t="s">
        <v>1003</v>
      </c>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73" t="s">
        <v>1004</v>
      </c>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73" t="s">
        <v>1005</v>
      </c>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73" t="s">
        <v>1006</v>
      </c>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73" t="s">
        <v>1007</v>
      </c>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73" t="s">
        <v>1008</v>
      </c>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73" t="s">
        <v>1009</v>
      </c>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73" t="s">
        <v>1010</v>
      </c>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73" t="s">
        <v>1011</v>
      </c>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73" t="s">
        <v>1012</v>
      </c>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73" t="s">
        <v>1013</v>
      </c>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73" t="s">
        <v>1014</v>
      </c>
      <c r="G165" s="81" t="s">
        <v>1014</v>
      </c>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73" t="s">
        <v>1015</v>
      </c>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73" t="s">
        <v>1016</v>
      </c>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73" t="s">
        <v>1017</v>
      </c>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73" t="s">
        <v>1018</v>
      </c>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73" t="s">
        <v>1019</v>
      </c>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73" t="s">
        <v>1020</v>
      </c>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73" t="s">
        <v>1021</v>
      </c>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73" t="s">
        <v>1022</v>
      </c>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73" t="s">
        <v>1023</v>
      </c>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73" t="s">
        <v>1024</v>
      </c>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73" t="s">
        <v>1025</v>
      </c>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73" t="s">
        <v>1026</v>
      </c>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73" t="s">
        <v>1027</v>
      </c>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73" t="s">
        <v>1028</v>
      </c>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73" t="s">
        <v>1029</v>
      </c>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73" t="s">
        <v>1030</v>
      </c>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73" t="s">
        <v>1031</v>
      </c>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73" t="s">
        <v>1032</v>
      </c>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73" t="s">
        <v>1033</v>
      </c>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73" t="s">
        <v>1034</v>
      </c>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73" t="s">
        <v>1035</v>
      </c>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73" t="s">
        <v>1034</v>
      </c>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73" t="s">
        <v>1036</v>
      </c>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sheetData>
  <mergeCells count="7">
    <mergeCell ref="G2:G27"/>
    <mergeCell ref="G30:G44"/>
    <mergeCell ref="G48:G71"/>
    <mergeCell ref="G76:G105"/>
    <mergeCell ref="G109:G136"/>
    <mergeCell ref="G141:G162"/>
    <mergeCell ref="G165:G18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2024-11-25T18:05:27Z</dcterms:created>
  <dc:creator>Nuani</dc:creator>
</cp:coreProperties>
</file>